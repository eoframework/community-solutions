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Tmpoorv_975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58</v>
      </c>
      <c r="B2" s="35">
        <f>SUMPRODUCT(--(LEN(F5:F62)&gt;0))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IF('Technical Requirements'!A2="","",'Technical Requirements'!A2)</f>
        <v/>
      </c>
      <c r="B15" s="38">
        <f>IF('Technical Requirements'!B2="","",'Technical Requirements'!B2)</f>
        <v/>
      </c>
      <c r="C15" s="38">
        <f>IF('Technical Requirements'!C2="","",'Technical Requirements'!C2)</f>
        <v/>
      </c>
      <c r="D15" s="38">
        <f>IF('Technical Requirements'!D2="","",'Technical Requirements'!D2)</f>
        <v/>
      </c>
      <c r="E15" s="38">
        <f>IF('Technical Requirements'!E2="","",'Technical Requirements'!E2)</f>
        <v/>
      </c>
      <c r="F15" s="39">
        <f>IF('Technical Requirements'!F2="","",'Technical Requirements'!F2)</f>
        <v/>
      </c>
      <c r="G15" s="38">
        <f>IF('Technical Requirements'!G2="","",'Technical Requirements'!G2)</f>
        <v/>
      </c>
    </row>
    <row r="16">
      <c r="A16" s="40">
        <f>IF('Technical Requirements'!A3="","",'Technical Requirements'!A3)</f>
        <v/>
      </c>
      <c r="B16" s="40">
        <f>IF('Technical Requirements'!B3="","",'Technical Requirements'!B3)</f>
        <v/>
      </c>
      <c r="C16" s="40">
        <f>IF('Technical Requirements'!C3="","",'Technical Requirements'!C3)</f>
        <v/>
      </c>
      <c r="D16" s="40">
        <f>IF('Technical Requirements'!D3="","",'Technical Requirements'!D3)</f>
        <v/>
      </c>
      <c r="E16" s="40">
        <f>IF('Technical Requirements'!E3="","",'Technical Requirements'!E3)</f>
        <v/>
      </c>
      <c r="F16" s="39">
        <f>IF('Technical Requirements'!F3="","",'Technical Requirements'!F3)</f>
        <v/>
      </c>
      <c r="G16" s="40">
        <f>IF('Technical Requirements'!G3="","",'Technical Requirements'!G3)</f>
        <v/>
      </c>
    </row>
    <row r="17">
      <c r="A17" s="38">
        <f>IF('Technical Requirements'!A4="","",'Technical Requirements'!A4)</f>
        <v/>
      </c>
      <c r="B17" s="38">
        <f>IF('Technical Requirements'!B4="","",'Technical Requirements'!B4)</f>
        <v/>
      </c>
      <c r="C17" s="38">
        <f>IF('Technical Requirements'!C4="","",'Technical Requirements'!C4)</f>
        <v/>
      </c>
      <c r="D17" s="38">
        <f>IF('Technical Requirements'!D4="","",'Technical Requirements'!D4)</f>
        <v/>
      </c>
      <c r="E17" s="38">
        <f>IF('Technical Requirements'!E4="","",'Technical Requirements'!E4)</f>
        <v/>
      </c>
      <c r="F17" s="39">
        <f>IF('Technical Requirements'!F4="","",'Technical Requirements'!F4)</f>
        <v/>
      </c>
      <c r="G17" s="38">
        <f>IF('Technical Requirements'!G4="","",'Technical Requirements'!G4)</f>
        <v/>
      </c>
    </row>
    <row r="18">
      <c r="A18" s="40">
        <f>IF('Technical Requirements'!A5="","",'Technical Requirements'!A5)</f>
        <v/>
      </c>
      <c r="B18" s="40">
        <f>IF('Technical Requirements'!B5="","",'Technical Requirements'!B5)</f>
        <v/>
      </c>
      <c r="C18" s="40">
        <f>IF('Technical Requirements'!C5="","",'Technical Requirements'!C5)</f>
        <v/>
      </c>
      <c r="D18" s="40">
        <f>IF('Technical Requirements'!D5="","",'Technical Requirements'!D5)</f>
        <v/>
      </c>
      <c r="E18" s="40">
        <f>IF('Technical Requirements'!E5="","",'Technical Requirements'!E5)</f>
        <v/>
      </c>
      <c r="F18" s="39">
        <f>IF('Technical Requirements'!F5="","",'Technical Requirements'!F5)</f>
        <v/>
      </c>
      <c r="G18" s="40">
        <f>IF('Technical Requirements'!G5="","",'Technical Requirements'!G5)</f>
        <v/>
      </c>
    </row>
    <row r="19">
      <c r="A19" s="38">
        <f>IF('Technical Requirements'!A6="","",'Technical Requirements'!A6)</f>
        <v/>
      </c>
      <c r="B19" s="38">
        <f>IF('Technical Requirements'!B6="","",'Technical Requirements'!B6)</f>
        <v/>
      </c>
      <c r="C19" s="38">
        <f>IF('Technical Requirements'!C6="","",'Technical Requirements'!C6)</f>
        <v/>
      </c>
      <c r="D19" s="38">
        <f>IF('Technical Requirements'!D6="","",'Technical Requirements'!D6)</f>
        <v/>
      </c>
      <c r="E19" s="38">
        <f>IF('Technical Requirements'!E6="","",'Technical Requirements'!E6)</f>
        <v/>
      </c>
      <c r="F19" s="39">
        <f>IF('Technical Requirements'!F6="","",'Technical Requirements'!F6)</f>
        <v/>
      </c>
      <c r="G19" s="38">
        <f>IF('Technical Requirements'!G6="","",'Technical Requirements'!G6)</f>
        <v/>
      </c>
    </row>
    <row r="20">
      <c r="A20" s="40">
        <f>IF('Technical Requirements'!A7="","",'Technical Requirements'!A7)</f>
        <v/>
      </c>
      <c r="B20" s="40">
        <f>IF('Technical Requirements'!B7="","",'Technical Requirements'!B7)</f>
        <v/>
      </c>
      <c r="C20" s="40">
        <f>IF('Technical Requirements'!C7="","",'Technical Requirements'!C7)</f>
        <v/>
      </c>
      <c r="D20" s="40">
        <f>IF('Technical Requirements'!D7="","",'Technical Requirements'!D7)</f>
        <v/>
      </c>
      <c r="E20" s="40">
        <f>IF('Technical Requirements'!E7="","",'Technical Requirements'!E7)</f>
        <v/>
      </c>
      <c r="F20" s="39">
        <f>IF('Technical Requirements'!F7="","",'Technical Requirements'!F7)</f>
        <v/>
      </c>
      <c r="G20" s="40">
        <f>IF('Technical Requirements'!G7="","",'Technical Requirements'!G7)</f>
        <v/>
      </c>
    </row>
    <row r="21">
      <c r="A21" s="38">
        <f>IF('Technical Requirements'!A8="","",'Technical Requirements'!A8)</f>
        <v/>
      </c>
      <c r="B21" s="38">
        <f>IF('Technical Requirements'!B8="","",'Technical Requirements'!B8)</f>
        <v/>
      </c>
      <c r="C21" s="38">
        <f>IF('Technical Requirements'!C8="","",'Technical Requirements'!C8)</f>
        <v/>
      </c>
      <c r="D21" s="38">
        <f>IF('Technical Requirements'!D8="","",'Technical Requirements'!D8)</f>
        <v/>
      </c>
      <c r="E21" s="38">
        <f>IF('Technical Requirements'!E8="","",'Technical Requirements'!E8)</f>
        <v/>
      </c>
      <c r="F21" s="39">
        <f>IF('Technical Requirements'!F8="","",'Technical Requirements'!F8)</f>
        <v/>
      </c>
      <c r="G21" s="38">
        <f>IF('Technical Requirements'!G8="","",'Technical Requirements'!G8)</f>
        <v/>
      </c>
    </row>
    <row r="22">
      <c r="A22" s="40">
        <f>IF('Technical Requirements'!A9="","",'Technical Requirements'!A9)</f>
        <v/>
      </c>
      <c r="B22" s="40">
        <f>IF('Technical Requirements'!B9="","",'Technical Requirements'!B9)</f>
        <v/>
      </c>
      <c r="C22" s="40">
        <f>IF('Technical Requirements'!C9="","",'Technical Requirements'!C9)</f>
        <v/>
      </c>
      <c r="D22" s="40">
        <f>IF('Technical Requirements'!D9="","",'Technical Requirements'!D9)</f>
        <v/>
      </c>
      <c r="E22" s="40">
        <f>IF('Technical Requirements'!E9="","",'Technical Requirements'!E9)</f>
        <v/>
      </c>
      <c r="F22" s="39">
        <f>IF('Technical Requirements'!F9="","",'Technical Requirements'!F9)</f>
        <v/>
      </c>
      <c r="G22" s="40">
        <f>IF('Technical Requirements'!G9="","",'Technical Requirements'!G9)</f>
        <v/>
      </c>
    </row>
    <row r="23">
      <c r="A23" s="38">
        <f>IF('Technical Requirements'!A10="","",'Technical Requirements'!A10)</f>
        <v/>
      </c>
      <c r="B23" s="38">
        <f>IF('Technical Requirements'!B10="","",'Technical Requirements'!B10)</f>
        <v/>
      </c>
      <c r="C23" s="38">
        <f>IF('Technical Requirements'!C10="","",'Technical Requirements'!C10)</f>
        <v/>
      </c>
      <c r="D23" s="38">
        <f>IF('Technical Requirements'!D10="","",'Technical Requirements'!D10)</f>
        <v/>
      </c>
      <c r="E23" s="38">
        <f>IF('Technical Requirements'!E10="","",'Technical Requirements'!E10)</f>
        <v/>
      </c>
      <c r="F23" s="39">
        <f>IF('Technical Requirements'!F10="","",'Technical Requirements'!F10)</f>
        <v/>
      </c>
      <c r="G23" s="38">
        <f>IF('Technical Requirements'!G10="","",'Technical Requirements'!G10)</f>
        <v/>
      </c>
    </row>
    <row r="24">
      <c r="A24" s="40">
        <f>IF('Technical Requirements'!A11="","",'Technical Requirements'!A11)</f>
        <v/>
      </c>
      <c r="B24" s="40">
        <f>IF('Technical Requirements'!B11="","",'Technical Requirements'!B11)</f>
        <v/>
      </c>
      <c r="C24" s="40">
        <f>IF('Technical Requirements'!C11="","",'Technical Requirements'!C11)</f>
        <v/>
      </c>
      <c r="D24" s="40">
        <f>IF('Technical Requirements'!D11="","",'Technical Requirements'!D11)</f>
        <v/>
      </c>
      <c r="E24" s="40">
        <f>IF('Technical Requirements'!E11="","",'Technical Requirements'!E11)</f>
        <v/>
      </c>
      <c r="F24" s="39">
        <f>IF('Technical Requirements'!F11="","",'Technical Requirements'!F11)</f>
        <v/>
      </c>
      <c r="G24" s="40">
        <f>IF('Technical Requirements'!G11="","",'Technical Requirements'!G11)</f>
        <v/>
      </c>
    </row>
    <row r="25">
      <c r="A25" s="38">
        <f>IF('Technical Requirements'!A12="","",'Technical Requirements'!A12)</f>
        <v/>
      </c>
      <c r="B25" s="38">
        <f>IF('Technical Requirements'!B12="","",'Technical Requirements'!B12)</f>
        <v/>
      </c>
      <c r="C25" s="38">
        <f>IF('Technical Requirements'!C12="","",'Technical Requirements'!C12)</f>
        <v/>
      </c>
      <c r="D25" s="38">
        <f>IF('Technical Requirements'!D12="","",'Technical Requirements'!D12)</f>
        <v/>
      </c>
      <c r="E25" s="38">
        <f>IF('Technical Requirements'!E12="","",'Technical Requirements'!E12)</f>
        <v/>
      </c>
      <c r="F25" s="39">
        <f>IF('Technical Requirements'!F12="","",'Technical Requirements'!F12)</f>
        <v/>
      </c>
      <c r="G25" s="38">
        <f>IF('Technical Requirements'!G12="","",'Technical Requirements'!G12)</f>
        <v/>
      </c>
    </row>
    <row r="26">
      <c r="A26" s="40">
        <f>IF('Technical Requirements'!A13="","",'Technical Requirements'!A13)</f>
        <v/>
      </c>
      <c r="B26" s="40">
        <f>IF('Technical Requirements'!B13="","",'Technical Requirements'!B13)</f>
        <v/>
      </c>
      <c r="C26" s="40">
        <f>IF('Technical Requirements'!C13="","",'Technical Requirements'!C13)</f>
        <v/>
      </c>
      <c r="D26" s="40">
        <f>IF('Technical Requirements'!D13="","",'Technical Requirements'!D13)</f>
        <v/>
      </c>
      <c r="E26" s="40">
        <f>IF('Technical Requirements'!E13="","",'Technical Requirements'!E13)</f>
        <v/>
      </c>
      <c r="F26" s="39">
        <f>IF('Technical Requirements'!F13="","",'Technical Requirements'!F13)</f>
        <v/>
      </c>
      <c r="G26" s="40">
        <f>IF('Technical Requirements'!G13="","",'Technical Requirements'!G13)</f>
        <v/>
      </c>
    </row>
    <row r="27">
      <c r="A27" s="38">
        <f>IF('Technical Requirements'!A14="","",'Technical Requirements'!A14)</f>
        <v/>
      </c>
      <c r="B27" s="38">
        <f>IF('Technical Requirements'!B14="","",'Technical Requirements'!B14)</f>
        <v/>
      </c>
      <c r="C27" s="38">
        <f>IF('Technical Requirements'!C14="","",'Technical Requirements'!C14)</f>
        <v/>
      </c>
      <c r="D27" s="38">
        <f>IF('Technical Requirements'!D14="","",'Technical Requirements'!D14)</f>
        <v/>
      </c>
      <c r="E27" s="38">
        <f>IF('Technical Requirements'!E14="","",'Technical Requirements'!E14)</f>
        <v/>
      </c>
      <c r="F27" s="39">
        <f>IF('Technical Requirements'!F14="","",'Technical Requirements'!F14)</f>
        <v/>
      </c>
      <c r="G27" s="38">
        <f>IF('Technical Requirements'!G14="","",'Technical Requirements'!G14)</f>
        <v/>
      </c>
    </row>
    <row r="28">
      <c r="A28" s="40">
        <f>IF('Technical Requirements'!A15="","",'Technical Requirements'!A15)</f>
        <v/>
      </c>
      <c r="B28" s="40">
        <f>IF('Technical Requirements'!B15="","",'Technical Requirements'!B15)</f>
        <v/>
      </c>
      <c r="C28" s="40">
        <f>IF('Technical Requirements'!C15="","",'Technical Requirements'!C15)</f>
        <v/>
      </c>
      <c r="D28" s="40">
        <f>IF('Technical Requirements'!D15="","",'Technical Requirements'!D15)</f>
        <v/>
      </c>
      <c r="E28" s="40">
        <f>IF('Technical Requirements'!E15="","",'Technical Requirements'!E15)</f>
        <v/>
      </c>
      <c r="F28" s="39">
        <f>IF('Technical Requirements'!F15="","",'Technical Requirements'!F15)</f>
        <v/>
      </c>
      <c r="G28" s="40">
        <f>IF('Technical Requirements'!G15="","",'Technical Requirements'!G15)</f>
        <v/>
      </c>
    </row>
    <row r="29">
      <c r="A29" s="38">
        <f>IF('Technical Requirements'!A16="","",'Technical Requirements'!A16)</f>
        <v/>
      </c>
      <c r="B29" s="38">
        <f>IF('Technical Requirements'!B16="","",'Technical Requirements'!B16)</f>
        <v/>
      </c>
      <c r="C29" s="38">
        <f>IF('Technical Requirements'!C16="","",'Technical Requirements'!C16)</f>
        <v/>
      </c>
      <c r="D29" s="38">
        <f>IF('Technical Requirements'!D16="","",'Technical Requirements'!D16)</f>
        <v/>
      </c>
      <c r="E29" s="38">
        <f>IF('Technical Requirements'!E16="","",'Technical Requirements'!E16)</f>
        <v/>
      </c>
      <c r="F29" s="39">
        <f>IF('Technical Requirements'!F16="","",'Technical Requirements'!F16)</f>
        <v/>
      </c>
      <c r="G29" s="38">
        <f>IF('Technical Requirements'!G16="","",'Technical Requirements'!G16)</f>
        <v/>
      </c>
    </row>
    <row r="30">
      <c r="A30" s="40">
        <f>IF('Technical Requirements'!A17="","",'Technical Requirements'!A17)</f>
        <v/>
      </c>
      <c r="B30" s="40">
        <f>IF('Technical Requirements'!B17="","",'Technical Requirements'!B17)</f>
        <v/>
      </c>
      <c r="C30" s="40">
        <f>IF('Technical Requirements'!C17="","",'Technical Requirements'!C17)</f>
        <v/>
      </c>
      <c r="D30" s="40">
        <f>IF('Technical Requirements'!D17="","",'Technical Requirements'!D17)</f>
        <v/>
      </c>
      <c r="E30" s="40">
        <f>IF('Technical Requirements'!E17="","",'Technical Requirements'!E17)</f>
        <v/>
      </c>
      <c r="F30" s="39">
        <f>IF('Technical Requirements'!F17="","",'Technical Requirements'!F17)</f>
        <v/>
      </c>
      <c r="G30" s="40">
        <f>IF('Technical Requirements'!G17="","",'Technical Requirements'!G17)</f>
        <v/>
      </c>
    </row>
    <row r="31">
      <c r="A31" s="38">
        <f>IF('Technical Requirements'!A18="","",'Technical Requirements'!A18)</f>
        <v/>
      </c>
      <c r="B31" s="38">
        <f>IF('Technical Requirements'!B18="","",'Technical Requirements'!B18)</f>
        <v/>
      </c>
      <c r="C31" s="38">
        <f>IF('Technical Requirements'!C18="","",'Technical Requirements'!C18)</f>
        <v/>
      </c>
      <c r="D31" s="38">
        <f>IF('Technical Requirements'!D18="","",'Technical Requirements'!D18)</f>
        <v/>
      </c>
      <c r="E31" s="38">
        <f>IF('Technical Requirements'!E18="","",'Technical Requirements'!E18)</f>
        <v/>
      </c>
      <c r="F31" s="39">
        <f>IF('Technical Requirements'!F18="","",'Technical Requirements'!F18)</f>
        <v/>
      </c>
      <c r="G31" s="38">
        <f>IF('Technical Requirements'!G18="","",'Technical Requirements'!G18)</f>
        <v/>
      </c>
    </row>
    <row r="32">
      <c r="A32" s="40">
        <f>IF('Security &amp; Compliance'!A2="","",'Security &amp; Compliance'!A2)</f>
        <v/>
      </c>
      <c r="B32" s="40">
        <f>IF('Security &amp; Compliance'!B2="","",'Security &amp; Compliance'!B2)</f>
        <v/>
      </c>
      <c r="C32" s="40">
        <f>IF('Security &amp; Compliance'!C2="","",'Security &amp; Compliance'!C2)</f>
        <v/>
      </c>
      <c r="D32" s="40">
        <f>IF('Security &amp; Compliance'!D2="","",'Security &amp; Compliance'!D2)</f>
        <v/>
      </c>
      <c r="E32" s="40">
        <f>IF('Security &amp; Compliance'!E2="","",'Security &amp; Compliance'!E2)</f>
        <v/>
      </c>
      <c r="F32" s="39">
        <f>IF('Security &amp; Compliance'!F2="","",'Security &amp; Compliance'!F2)</f>
        <v/>
      </c>
      <c r="G32" s="40">
        <f>IF('Security &amp; Compliance'!G2="","",'Security &amp; Compliance'!G2)</f>
        <v/>
      </c>
    </row>
    <row r="33">
      <c r="A33" s="38">
        <f>IF('Security &amp; Compliance'!A3="","",'Security &amp; Compliance'!A3)</f>
        <v/>
      </c>
      <c r="B33" s="38">
        <f>IF('Security &amp; Compliance'!B3="","",'Security &amp; Compliance'!B3)</f>
        <v/>
      </c>
      <c r="C33" s="38">
        <f>IF('Security &amp; Compliance'!C3="","",'Security &amp; Compliance'!C3)</f>
        <v/>
      </c>
      <c r="D33" s="38">
        <f>IF('Security &amp; Compliance'!D3="","",'Security &amp; Compliance'!D3)</f>
        <v/>
      </c>
      <c r="E33" s="38">
        <f>IF('Security &amp; Compliance'!E3="","",'Security &amp; Compliance'!E3)</f>
        <v/>
      </c>
      <c r="F33" s="39">
        <f>IF('Security &amp; Compliance'!F3="","",'Security &amp; Compliance'!F3)</f>
        <v/>
      </c>
      <c r="G33" s="38">
        <f>IF('Security &amp; Compliance'!G3="","",'Security &amp; Compliance'!G3)</f>
        <v/>
      </c>
    </row>
    <row r="34">
      <c r="A34" s="40">
        <f>IF('Security &amp; Compliance'!A4="","",'Security &amp; Compliance'!A4)</f>
        <v/>
      </c>
      <c r="B34" s="40">
        <f>IF('Security &amp; Compliance'!B4="","",'Security &amp; Compliance'!B4)</f>
        <v/>
      </c>
      <c r="C34" s="40">
        <f>IF('Security &amp; Compliance'!C4="","",'Security &amp; Compliance'!C4)</f>
        <v/>
      </c>
      <c r="D34" s="40">
        <f>IF('Security &amp; Compliance'!D4="","",'Security &amp; Compliance'!D4)</f>
        <v/>
      </c>
      <c r="E34" s="40">
        <f>IF('Security &amp; Compliance'!E4="","",'Security &amp; Compliance'!E4)</f>
        <v/>
      </c>
      <c r="F34" s="39">
        <f>IF('Security &amp; Compliance'!F4="","",'Security &amp; Compliance'!F4)</f>
        <v/>
      </c>
      <c r="G34" s="40">
        <f>IF('Security &amp; Compliance'!G4="","",'Security &amp; Compliance'!G4)</f>
        <v/>
      </c>
    </row>
    <row r="35">
      <c r="A35" s="38">
        <f>IF('Security &amp; Compliance'!A5="","",'Security &amp; Compliance'!A5)</f>
        <v/>
      </c>
      <c r="B35" s="38">
        <f>IF('Security &amp; Compliance'!B5="","",'Security &amp; Compliance'!B5)</f>
        <v/>
      </c>
      <c r="C35" s="38">
        <f>IF('Security &amp; Compliance'!C5="","",'Security &amp; Compliance'!C5)</f>
        <v/>
      </c>
      <c r="D35" s="38">
        <f>IF('Security &amp; Compliance'!D5="","",'Security &amp; Compliance'!D5)</f>
        <v/>
      </c>
      <c r="E35" s="38">
        <f>IF('Security &amp; Compliance'!E5="","",'Security &amp; Compliance'!E5)</f>
        <v/>
      </c>
      <c r="F35" s="39">
        <f>IF('Security &amp; Compliance'!F5="","",'Security &amp; Compliance'!F5)</f>
        <v/>
      </c>
      <c r="G35" s="38">
        <f>IF('Security &amp; Compliance'!G5="","",'Security &amp; Compliance'!G5)</f>
        <v/>
      </c>
    </row>
    <row r="36">
      <c r="A36" s="40">
        <f>IF('Security &amp; Compliance'!A6="","",'Security &amp; Compliance'!A6)</f>
        <v/>
      </c>
      <c r="B36" s="40">
        <f>IF('Security &amp; Compliance'!B6="","",'Security &amp; Compliance'!B6)</f>
        <v/>
      </c>
      <c r="C36" s="40">
        <f>IF('Security &amp; Compliance'!C6="","",'Security &amp; Compliance'!C6)</f>
        <v/>
      </c>
      <c r="D36" s="40">
        <f>IF('Security &amp; Compliance'!D6="","",'Security &amp; Compliance'!D6)</f>
        <v/>
      </c>
      <c r="E36" s="40">
        <f>IF('Security &amp; Compliance'!E6="","",'Security &amp; Compliance'!E6)</f>
        <v/>
      </c>
      <c r="F36" s="39">
        <f>IF('Security &amp; Compliance'!F6="","",'Security &amp; Compliance'!F6)</f>
        <v/>
      </c>
      <c r="G36" s="40">
        <f>IF('Security &amp; Compliance'!G6="","",'Security &amp; Compliance'!G6)</f>
        <v/>
      </c>
    </row>
    <row r="37">
      <c r="A37" s="38">
        <f>IF('Security &amp; Compliance'!A7="","",'Security &amp; Compliance'!A7)</f>
        <v/>
      </c>
      <c r="B37" s="38">
        <f>IF('Security &amp; Compliance'!B7="","",'Security &amp; Compliance'!B7)</f>
        <v/>
      </c>
      <c r="C37" s="38">
        <f>IF('Security &amp; Compliance'!C7="","",'Security &amp; Compliance'!C7)</f>
        <v/>
      </c>
      <c r="D37" s="38">
        <f>IF('Security &amp; Compliance'!D7="","",'Security &amp; Compliance'!D7)</f>
        <v/>
      </c>
      <c r="E37" s="38">
        <f>IF('Security &amp; Compliance'!E7="","",'Security &amp; Compliance'!E7)</f>
        <v/>
      </c>
      <c r="F37" s="39">
        <f>IF('Security &amp; Compliance'!F7="","",'Security &amp; Compliance'!F7)</f>
        <v/>
      </c>
      <c r="G37" s="38">
        <f>IF('Security &amp; Compliance'!G7="","",'Security &amp; Compliance'!G7)</f>
        <v/>
      </c>
    </row>
    <row r="38">
      <c r="A38" s="40">
        <f>IF('Security &amp; Compliance'!A8="","",'Security &amp; Compliance'!A8)</f>
        <v/>
      </c>
      <c r="B38" s="40">
        <f>IF('Security &amp; Compliance'!B8="","",'Security &amp; Compliance'!B8)</f>
        <v/>
      </c>
      <c r="C38" s="40">
        <f>IF('Security &amp; Compliance'!C8="","",'Security &amp; Compliance'!C8)</f>
        <v/>
      </c>
      <c r="D38" s="40">
        <f>IF('Security &amp; Compliance'!D8="","",'Security &amp; Compliance'!D8)</f>
        <v/>
      </c>
      <c r="E38" s="40">
        <f>IF('Security &amp; Compliance'!E8="","",'Security &amp; Compliance'!E8)</f>
        <v/>
      </c>
      <c r="F38" s="39">
        <f>IF('Security &amp; Compliance'!F8="","",'Security &amp; Compliance'!F8)</f>
        <v/>
      </c>
      <c r="G38" s="40">
        <f>IF('Security &amp; Compliance'!G8="","",'Security &amp; Compliance'!G8)</f>
        <v/>
      </c>
    </row>
    <row r="39">
      <c r="A39" s="38">
        <f>IF('Security &amp; Compliance'!A9="","",'Security &amp; Compliance'!A9)</f>
        <v/>
      </c>
      <c r="B39" s="38">
        <f>IF('Security &amp; Compliance'!B9="","",'Security &amp; Compliance'!B9)</f>
        <v/>
      </c>
      <c r="C39" s="38">
        <f>IF('Security &amp; Compliance'!C9="","",'Security &amp; Compliance'!C9)</f>
        <v/>
      </c>
      <c r="D39" s="38">
        <f>IF('Security &amp; Compliance'!D9="","",'Security &amp; Compliance'!D9)</f>
        <v/>
      </c>
      <c r="E39" s="38">
        <f>IF('Security &amp; Compliance'!E9="","",'Security &amp; Compliance'!E9)</f>
        <v/>
      </c>
      <c r="F39" s="39">
        <f>IF('Security &amp; Compliance'!F9="","",'Security &amp; Compliance'!F9)</f>
        <v/>
      </c>
      <c r="G39" s="38">
        <f>IF('Security &amp; Compliance'!G9="","",'Security &amp; Compliance'!G9)</f>
        <v/>
      </c>
    </row>
    <row r="40">
      <c r="A40" s="40">
        <f>IF('Security &amp; Compliance'!A10="","",'Security &amp; Compliance'!A10)</f>
        <v/>
      </c>
      <c r="B40" s="40">
        <f>IF('Security &amp; Compliance'!B10="","",'Security &amp; Compliance'!B10)</f>
        <v/>
      </c>
      <c r="C40" s="40">
        <f>IF('Security &amp; Compliance'!C10="","",'Security &amp; Compliance'!C10)</f>
        <v/>
      </c>
      <c r="D40" s="40">
        <f>IF('Security &amp; Compliance'!D10="","",'Security &amp; Compliance'!D10)</f>
        <v/>
      </c>
      <c r="E40" s="40">
        <f>IF('Security &amp; Compliance'!E10="","",'Security &amp; Compliance'!E10)</f>
        <v/>
      </c>
      <c r="F40" s="39">
        <f>IF('Security &amp; Compliance'!F10="","",'Security &amp; Compliance'!F10)</f>
        <v/>
      </c>
      <c r="G40" s="40">
        <f>IF('Security &amp; Compliance'!G10="","",'Security &amp; Compliance'!G10)</f>
        <v/>
      </c>
    </row>
    <row r="41">
      <c r="A41" s="38">
        <f>IF('Security &amp; Compliance'!A11="","",'Security &amp; Compliance'!A11)</f>
        <v/>
      </c>
      <c r="B41" s="38">
        <f>IF('Security &amp; Compliance'!B11="","",'Security &amp; Compliance'!B11)</f>
        <v/>
      </c>
      <c r="C41" s="38">
        <f>IF('Security &amp; Compliance'!C11="","",'Security &amp; Compliance'!C11)</f>
        <v/>
      </c>
      <c r="D41" s="38">
        <f>IF('Security &amp; Compliance'!D11="","",'Security &amp; Compliance'!D11)</f>
        <v/>
      </c>
      <c r="E41" s="38">
        <f>IF('Security &amp; Compliance'!E11="","",'Security &amp; Compliance'!E11)</f>
        <v/>
      </c>
      <c r="F41" s="39">
        <f>IF('Security &amp; Compliance'!F11="","",'Security &amp; Compliance'!F11)</f>
        <v/>
      </c>
      <c r="G41" s="38">
        <f>IF('Security &amp; Compliance'!G11="","",'Security &amp; Compliance'!G11)</f>
        <v/>
      </c>
    </row>
    <row r="42">
      <c r="A42" s="40">
        <f>IF('Operations &amp; Support'!A2="","",'Operations &amp; Support'!A2)</f>
        <v/>
      </c>
      <c r="B42" s="40">
        <f>IF('Operations &amp; Support'!B2="","",'Operations &amp; Support'!B2)</f>
        <v/>
      </c>
      <c r="C42" s="40">
        <f>IF('Operations &amp; Support'!C2="","",'Operations &amp; Support'!C2)</f>
        <v/>
      </c>
      <c r="D42" s="40">
        <f>IF('Operations &amp; Support'!D2="","",'Operations &amp; Support'!D2)</f>
        <v/>
      </c>
      <c r="E42" s="40">
        <f>IF('Operations &amp; Support'!E2="","",'Operations &amp; Support'!E2)</f>
        <v/>
      </c>
      <c r="F42" s="39">
        <f>IF('Operations &amp; Support'!F2="","",'Operations &amp; Support'!F2)</f>
        <v/>
      </c>
      <c r="G42" s="40">
        <f>IF('Operations &amp; Support'!G2="","",'Operations &amp; Support'!G2)</f>
        <v/>
      </c>
    </row>
    <row r="43">
      <c r="A43" s="38">
        <f>IF('Operations &amp; Support'!A3="","",'Operations &amp; Support'!A3)</f>
        <v/>
      </c>
      <c r="B43" s="38">
        <f>IF('Operations &amp; Support'!B3="","",'Operations &amp; Support'!B3)</f>
        <v/>
      </c>
      <c r="C43" s="38">
        <f>IF('Operations &amp; Support'!C3="","",'Operations &amp; Support'!C3)</f>
        <v/>
      </c>
      <c r="D43" s="38">
        <f>IF('Operations &amp; Support'!D3="","",'Operations &amp; Support'!D3)</f>
        <v/>
      </c>
      <c r="E43" s="38">
        <f>IF('Operations &amp; Support'!E3="","",'Operations &amp; Support'!E3)</f>
        <v/>
      </c>
      <c r="F43" s="39">
        <f>IF('Operations &amp; Support'!F3="","",'Operations &amp; Support'!F3)</f>
        <v/>
      </c>
      <c r="G43" s="38">
        <f>IF('Operations &amp; Support'!G3="","",'Operations &amp; Support'!G3)</f>
        <v/>
      </c>
    </row>
    <row r="44">
      <c r="A44" s="40">
        <f>IF('Operations &amp; Support'!A4="","",'Operations &amp; Support'!A4)</f>
        <v/>
      </c>
      <c r="B44" s="40">
        <f>IF('Operations &amp; Support'!B4="","",'Operations &amp; Support'!B4)</f>
        <v/>
      </c>
      <c r="C44" s="40">
        <f>IF('Operations &amp; Support'!C4="","",'Operations &amp; Support'!C4)</f>
        <v/>
      </c>
      <c r="D44" s="40">
        <f>IF('Operations &amp; Support'!D4="","",'Operations &amp; Support'!D4)</f>
        <v/>
      </c>
      <c r="E44" s="40">
        <f>IF('Operations &amp; Support'!E4="","",'Operations &amp; Support'!E4)</f>
        <v/>
      </c>
      <c r="F44" s="39">
        <f>IF('Operations &amp; Support'!F4="","",'Operations &amp; Support'!F4)</f>
        <v/>
      </c>
      <c r="G44" s="40">
        <f>IF('Operations &amp; Support'!G4="","",'Operations &amp; Support'!G4)</f>
        <v/>
      </c>
    </row>
    <row r="45">
      <c r="A45" s="38">
        <f>IF('Operations &amp; Support'!A5="","",'Operations &amp; Support'!A5)</f>
        <v/>
      </c>
      <c r="B45" s="38">
        <f>IF('Operations &amp; Support'!B5="","",'Operations &amp; Support'!B5)</f>
        <v/>
      </c>
      <c r="C45" s="38">
        <f>IF('Operations &amp; Support'!C5="","",'Operations &amp; Support'!C5)</f>
        <v/>
      </c>
      <c r="D45" s="38">
        <f>IF('Operations &amp; Support'!D5="","",'Operations &amp; Support'!D5)</f>
        <v/>
      </c>
      <c r="E45" s="38">
        <f>IF('Operations &amp; Support'!E5="","",'Operations &amp; Support'!E5)</f>
        <v/>
      </c>
      <c r="F45" s="39">
        <f>IF('Operations &amp; Support'!F5="","",'Operations &amp; Support'!F5)</f>
        <v/>
      </c>
      <c r="G45" s="38">
        <f>IF('Operations &amp; Support'!G5="","",'Operations &amp; Support'!G5)</f>
        <v/>
      </c>
    </row>
    <row r="46">
      <c r="A46" s="40">
        <f>IF('Operations &amp; Support'!A6="","",'Operations &amp; Support'!A6)</f>
        <v/>
      </c>
      <c r="B46" s="40">
        <f>IF('Operations &amp; Support'!B6="","",'Operations &amp; Support'!B6)</f>
        <v/>
      </c>
      <c r="C46" s="40">
        <f>IF('Operations &amp; Support'!C6="","",'Operations &amp; Support'!C6)</f>
        <v/>
      </c>
      <c r="D46" s="40">
        <f>IF('Operations &amp; Support'!D6="","",'Operations &amp; Support'!D6)</f>
        <v/>
      </c>
      <c r="E46" s="40">
        <f>IF('Operations &amp; Support'!E6="","",'Operations &amp; Support'!E6)</f>
        <v/>
      </c>
      <c r="F46" s="39">
        <f>IF('Operations &amp; Support'!F6="","",'Operations &amp; Support'!F6)</f>
        <v/>
      </c>
      <c r="G46" s="40">
        <f>IF('Operations &amp; Support'!G6="","",'Operations &amp; Support'!G6)</f>
        <v/>
      </c>
    </row>
    <row r="47">
      <c r="A47" s="38">
        <f>IF('Operations &amp; Support'!A7="","",'Operations &amp; Support'!A7)</f>
        <v/>
      </c>
      <c r="B47" s="38">
        <f>IF('Operations &amp; Support'!B7="","",'Operations &amp; Support'!B7)</f>
        <v/>
      </c>
      <c r="C47" s="38">
        <f>IF('Operations &amp; Support'!C7="","",'Operations &amp; Support'!C7)</f>
        <v/>
      </c>
      <c r="D47" s="38">
        <f>IF('Operations &amp; Support'!D7="","",'Operations &amp; Support'!D7)</f>
        <v/>
      </c>
      <c r="E47" s="38">
        <f>IF('Operations &amp; Support'!E7="","",'Operations &amp; Support'!E7)</f>
        <v/>
      </c>
      <c r="F47" s="39">
        <f>IF('Operations &amp; Support'!F7="","",'Operations &amp; Support'!F7)</f>
        <v/>
      </c>
      <c r="G47" s="38">
        <f>IF('Operations &amp; Support'!G7="","",'Operations &amp; Support'!G7)</f>
        <v/>
      </c>
    </row>
    <row r="48">
      <c r="A48" s="40">
        <f>IF('Operations &amp; Support'!A8="","",'Operations &amp; Support'!A8)</f>
        <v/>
      </c>
      <c r="B48" s="40">
        <f>IF('Operations &amp; Support'!B8="","",'Operations &amp; Support'!B8)</f>
        <v/>
      </c>
      <c r="C48" s="40">
        <f>IF('Operations &amp; Support'!C8="","",'Operations &amp; Support'!C8)</f>
        <v/>
      </c>
      <c r="D48" s="40">
        <f>IF('Operations &amp; Support'!D8="","",'Operations &amp; Support'!D8)</f>
        <v/>
      </c>
      <c r="E48" s="40">
        <f>IF('Operations &amp; Support'!E8="","",'Operations &amp; Support'!E8)</f>
        <v/>
      </c>
      <c r="F48" s="39">
        <f>IF('Operations &amp; Support'!F8="","",'Operations &amp; Support'!F8)</f>
        <v/>
      </c>
      <c r="G48" s="40">
        <f>IF('Operations &amp; Support'!G8="","",'Operations &amp; Support'!G8)</f>
        <v/>
      </c>
    </row>
    <row r="49">
      <c r="A49" s="38">
        <f>IF('Operations &amp; Support'!A9="","",'Operations &amp; Support'!A9)</f>
        <v/>
      </c>
      <c r="B49" s="38">
        <f>IF('Operations &amp; Support'!B9="","",'Operations &amp; Support'!B9)</f>
        <v/>
      </c>
      <c r="C49" s="38">
        <f>IF('Operations &amp; Support'!C9="","",'Operations &amp; Support'!C9)</f>
        <v/>
      </c>
      <c r="D49" s="38">
        <f>IF('Operations &amp; Support'!D9="","",'Operations &amp; Support'!D9)</f>
        <v/>
      </c>
      <c r="E49" s="38">
        <f>IF('Operations &amp; Support'!E9="","",'Operations &amp; Support'!E9)</f>
        <v/>
      </c>
      <c r="F49" s="39">
        <f>IF('Operations &amp; Support'!F9="","",'Operations &amp; Support'!F9)</f>
        <v/>
      </c>
      <c r="G49" s="38">
        <f>IF('Operations &amp; Support'!G9="","",'Operations &amp; Support'!G9)</f>
        <v/>
      </c>
    </row>
    <row r="50">
      <c r="A50" s="40">
        <f>IF('Implementation Planning'!A2="","",'Implementation Planning'!A2)</f>
        <v/>
      </c>
      <c r="B50" s="40">
        <f>IF('Implementation Planning'!B2="","",'Implementation Planning'!B2)</f>
        <v/>
      </c>
      <c r="C50" s="40">
        <f>IF('Implementation Planning'!C2="","",'Implementation Planning'!C2)</f>
        <v/>
      </c>
      <c r="D50" s="40">
        <f>IF('Implementation Planning'!D2="","",'Implementation Planning'!D2)</f>
        <v/>
      </c>
      <c r="E50" s="40">
        <f>IF('Implementation Planning'!E2="","",'Implementation Planning'!E2)</f>
        <v/>
      </c>
      <c r="F50" s="39">
        <f>IF('Implementation Planning'!F2="","",'Implementation Planning'!F2)</f>
        <v/>
      </c>
      <c r="G50" s="40">
        <f>IF('Implementation Planning'!G2="","",'Implementation Planning'!G2)</f>
        <v/>
      </c>
    </row>
    <row r="51">
      <c r="A51" s="38">
        <f>IF('Implementation Planning'!A3="","",'Implementation Planning'!A3)</f>
        <v/>
      </c>
      <c r="B51" s="38">
        <f>IF('Implementation Planning'!B3="","",'Implementation Planning'!B3)</f>
        <v/>
      </c>
      <c r="C51" s="38">
        <f>IF('Implementation Planning'!C3="","",'Implementation Planning'!C3)</f>
        <v/>
      </c>
      <c r="D51" s="38">
        <f>IF('Implementation Planning'!D3="","",'Implementation Planning'!D3)</f>
        <v/>
      </c>
      <c r="E51" s="38">
        <f>IF('Implementation Planning'!E3="","",'Implementation Planning'!E3)</f>
        <v/>
      </c>
      <c r="F51" s="39">
        <f>IF('Implementation Planning'!F3="","",'Implementation Planning'!F3)</f>
        <v/>
      </c>
      <c r="G51" s="38">
        <f>IF('Implementation Planning'!G3="","",'Implementation Planning'!G3)</f>
        <v/>
      </c>
    </row>
    <row r="52">
      <c r="A52" s="40">
        <f>IF('Implementation Planning'!A4="","",'Implementation Planning'!A4)</f>
        <v/>
      </c>
      <c r="B52" s="40">
        <f>IF('Implementation Planning'!B4="","",'Implementation Planning'!B4)</f>
        <v/>
      </c>
      <c r="C52" s="40">
        <f>IF('Implementation Planning'!C4="","",'Implementation Planning'!C4)</f>
        <v/>
      </c>
      <c r="D52" s="40">
        <f>IF('Implementation Planning'!D4="","",'Implementation Planning'!D4)</f>
        <v/>
      </c>
      <c r="E52" s="40">
        <f>IF('Implementation Planning'!E4="","",'Implementation Planning'!E4)</f>
        <v/>
      </c>
      <c r="F52" s="39">
        <f>IF('Implementation Planning'!F4="","",'Implementation Planning'!F4)</f>
        <v/>
      </c>
      <c r="G52" s="40">
        <f>IF('Implementation Planning'!G4="","",'Implementation Planning'!G4)</f>
        <v/>
      </c>
    </row>
    <row r="53">
      <c r="A53" s="38">
        <f>IF('Implementation Planning'!A5="","",'Implementation Planning'!A5)</f>
        <v/>
      </c>
      <c r="B53" s="38">
        <f>IF('Implementation Planning'!B5="","",'Implementation Planning'!B5)</f>
        <v/>
      </c>
      <c r="C53" s="38">
        <f>IF('Implementation Planning'!C5="","",'Implementation Planning'!C5)</f>
        <v/>
      </c>
      <c r="D53" s="38">
        <f>IF('Implementation Planning'!D5="","",'Implementation Planning'!D5)</f>
        <v/>
      </c>
      <c r="E53" s="38">
        <f>IF('Implementation Planning'!E5="","",'Implementation Planning'!E5)</f>
        <v/>
      </c>
      <c r="F53" s="39">
        <f>IF('Implementation Planning'!F5="","",'Implementation Planning'!F5)</f>
        <v/>
      </c>
      <c r="G53" s="38">
        <f>IF('Implementation Planning'!G5="","",'Implementation Planning'!G5)</f>
        <v/>
      </c>
    </row>
    <row r="54">
      <c r="A54" s="40">
        <f>IF('Implementation Planning'!A6="","",'Implementation Planning'!A6)</f>
        <v/>
      </c>
      <c r="B54" s="40">
        <f>IF('Implementation Planning'!B6="","",'Implementation Planning'!B6)</f>
        <v/>
      </c>
      <c r="C54" s="40">
        <f>IF('Implementation Planning'!C6="","",'Implementation Planning'!C6)</f>
        <v/>
      </c>
      <c r="D54" s="40">
        <f>IF('Implementation Planning'!D6="","",'Implementation Planning'!D6)</f>
        <v/>
      </c>
      <c r="E54" s="40">
        <f>IF('Implementation Planning'!E6="","",'Implementation Planning'!E6)</f>
        <v/>
      </c>
      <c r="F54" s="39">
        <f>IF('Implementation Planning'!F6="","",'Implementation Planning'!F6)</f>
        <v/>
      </c>
      <c r="G54" s="40">
        <f>IF('Implementation Planning'!G6="","",'Implementation Planning'!G6)</f>
        <v/>
      </c>
    </row>
    <row r="55">
      <c r="A55" s="38">
        <f>IF('Implementation Planning'!A7="","",'Implementation Planning'!A7)</f>
        <v/>
      </c>
      <c r="B55" s="38">
        <f>IF('Implementation Planning'!B7="","",'Implementation Planning'!B7)</f>
        <v/>
      </c>
      <c r="C55" s="38">
        <f>IF('Implementation Planning'!C7="","",'Implementation Planning'!C7)</f>
        <v/>
      </c>
      <c r="D55" s="38">
        <f>IF('Implementation Planning'!D7="","",'Implementation Planning'!D7)</f>
        <v/>
      </c>
      <c r="E55" s="38">
        <f>IF('Implementation Planning'!E7="","",'Implementation Planning'!E7)</f>
        <v/>
      </c>
      <c r="F55" s="39">
        <f>IF('Implementation Planning'!F7="","",'Implementation Planning'!F7)</f>
        <v/>
      </c>
      <c r="G55" s="38">
        <f>IF('Implementation Planning'!G7="","",'Implementation Planning'!G7)</f>
        <v/>
      </c>
    </row>
    <row r="56">
      <c r="A56" s="40">
        <f>IF('Implementation Planning'!A8="","",'Implementation Planning'!A8)</f>
        <v/>
      </c>
      <c r="B56" s="40">
        <f>IF('Implementation Planning'!B8="","",'Implementation Planning'!B8)</f>
        <v/>
      </c>
      <c r="C56" s="40">
        <f>IF('Implementation Planning'!C8="","",'Implementation Planning'!C8)</f>
        <v/>
      </c>
      <c r="D56" s="40">
        <f>IF('Implementation Planning'!D8="","",'Implementation Planning'!D8)</f>
        <v/>
      </c>
      <c r="E56" s="40">
        <f>IF('Implementation Planning'!E8="","",'Implementation Planning'!E8)</f>
        <v/>
      </c>
      <c r="F56" s="39">
        <f>IF('Implementation Planning'!F8="","",'Implementation Planning'!F8)</f>
        <v/>
      </c>
      <c r="G56" s="40">
        <f>IF('Implementation Planning'!G8="","",'Implementation Planning'!G8)</f>
        <v/>
      </c>
    </row>
    <row r="57">
      <c r="A57" s="38">
        <f>IF('Implementation Planning'!A9="","",'Implementation Planning'!A9)</f>
        <v/>
      </c>
      <c r="B57" s="38">
        <f>IF('Implementation Planning'!B9="","",'Implementation Planning'!B9)</f>
        <v/>
      </c>
      <c r="C57" s="38">
        <f>IF('Implementation Planning'!C9="","",'Implementation Planning'!C9)</f>
        <v/>
      </c>
      <c r="D57" s="38">
        <f>IF('Implementation Planning'!D9="","",'Implementation Planning'!D9)</f>
        <v/>
      </c>
      <c r="E57" s="38">
        <f>IF('Implementation Planning'!E9="","",'Implementation Planning'!E9)</f>
        <v/>
      </c>
      <c r="F57" s="39">
        <f>IF('Implementation Planning'!F9="","",'Implementation Planning'!F9)</f>
        <v/>
      </c>
      <c r="G57" s="38">
        <f>IF('Implementation Planning'!G9="","",'Implementation Planning'!G9)</f>
        <v/>
      </c>
    </row>
    <row r="58">
      <c r="A58" s="40">
        <f>IF('Risk &amp; Constraints'!A2="","",'Risk &amp; Constraints'!A2)</f>
        <v/>
      </c>
      <c r="B58" s="40">
        <f>IF('Risk &amp; Constraints'!B2="","",'Risk &amp; Constraints'!B2)</f>
        <v/>
      </c>
      <c r="C58" s="40">
        <f>IF('Risk &amp; Constraints'!C2="","",'Risk &amp; Constraints'!C2)</f>
        <v/>
      </c>
      <c r="D58" s="40">
        <f>IF('Risk &amp; Constraints'!D2="","",'Risk &amp; Constraints'!D2)</f>
        <v/>
      </c>
      <c r="E58" s="40">
        <f>IF('Risk &amp; Constraints'!E2="","",'Risk &amp; Constraints'!E2)</f>
        <v/>
      </c>
      <c r="F58" s="39">
        <f>IF('Risk &amp; Constraints'!F2="","",'Risk &amp; Constraints'!F2)</f>
        <v/>
      </c>
      <c r="G58" s="40">
        <f>IF('Risk &amp; Constraints'!G2="","",'Risk &amp; Constraints'!G2)</f>
        <v/>
      </c>
    </row>
    <row r="59">
      <c r="A59" s="38">
        <f>IF('Risk &amp; Constraints'!A3="","",'Risk &amp; Constraints'!A3)</f>
        <v/>
      </c>
      <c r="B59" s="38">
        <f>IF('Risk &amp; Constraints'!B3="","",'Risk &amp; Constraints'!B3)</f>
        <v/>
      </c>
      <c r="C59" s="38">
        <f>IF('Risk &amp; Constraints'!C3="","",'Risk &amp; Constraints'!C3)</f>
        <v/>
      </c>
      <c r="D59" s="38">
        <f>IF('Risk &amp; Constraints'!D3="","",'Risk &amp; Constraints'!D3)</f>
        <v/>
      </c>
      <c r="E59" s="38">
        <f>IF('Risk &amp; Constraints'!E3="","",'Risk &amp; Constraints'!E3)</f>
        <v/>
      </c>
      <c r="F59" s="39">
        <f>IF('Risk &amp; Constraints'!F3="","",'Risk &amp; Constraints'!F3)</f>
        <v/>
      </c>
      <c r="G59" s="38">
        <f>IF('Risk &amp; Constraints'!G3="","",'Risk &amp; Constraints'!G3)</f>
        <v/>
      </c>
    </row>
    <row r="60">
      <c r="A60" s="40">
        <f>IF('Risk &amp; Constraints'!A4="","",'Risk &amp; Constraints'!A4)</f>
        <v/>
      </c>
      <c r="B60" s="40">
        <f>IF('Risk &amp; Constraints'!B4="","",'Risk &amp; Constraints'!B4)</f>
        <v/>
      </c>
      <c r="C60" s="40">
        <f>IF('Risk &amp; Constraints'!C4="","",'Risk &amp; Constraints'!C4)</f>
        <v/>
      </c>
      <c r="D60" s="40">
        <f>IF('Risk &amp; Constraints'!D4="","",'Risk &amp; Constraints'!D4)</f>
        <v/>
      </c>
      <c r="E60" s="40">
        <f>IF('Risk &amp; Constraints'!E4="","",'Risk &amp; Constraints'!E4)</f>
        <v/>
      </c>
      <c r="F60" s="39">
        <f>IF('Risk &amp; Constraints'!F4="","",'Risk &amp; Constraints'!F4)</f>
        <v/>
      </c>
      <c r="G60" s="40">
        <f>IF('Risk &amp; Constraints'!G4="","",'Risk &amp; Constraints'!G4)</f>
        <v/>
      </c>
    </row>
    <row r="61">
      <c r="A61" s="38">
        <f>IF('Risk &amp; Constraints'!A5="","",'Risk &amp; Constraints'!A5)</f>
        <v/>
      </c>
      <c r="B61" s="38">
        <f>IF('Risk &amp; Constraints'!B5="","",'Risk &amp; Constraints'!B5)</f>
        <v/>
      </c>
      <c r="C61" s="38">
        <f>IF('Risk &amp; Constraints'!C5="","",'Risk &amp; Constraints'!C5)</f>
        <v/>
      </c>
      <c r="D61" s="38">
        <f>IF('Risk &amp; Constraints'!D5="","",'Risk &amp; Constraints'!D5)</f>
        <v/>
      </c>
      <c r="E61" s="38">
        <f>IF('Risk &amp; Constraints'!E5="","",'Risk &amp; Constraints'!E5)</f>
        <v/>
      </c>
      <c r="F61" s="39">
        <f>IF('Risk &amp; Constraints'!F5="","",'Risk &amp; Constraints'!F5)</f>
        <v/>
      </c>
      <c r="G61" s="38">
        <f>IF('Risk &amp; Constraints'!G5="","",'Risk &amp; Constraints'!G5)</f>
        <v/>
      </c>
    </row>
    <row r="62">
      <c r="A62" s="40">
        <f>IF('Risk &amp; Constraints'!A6="","",'Risk &amp; Constraints'!A6)</f>
        <v/>
      </c>
      <c r="B62" s="40">
        <f>IF('Risk &amp; Constraints'!B6="","",'Risk &amp; Constraints'!B6)</f>
        <v/>
      </c>
      <c r="C62" s="40">
        <f>IF('Risk &amp; Constraints'!C6="","",'Risk &amp; Constraints'!C6)</f>
        <v/>
      </c>
      <c r="D62" s="40">
        <f>IF('Risk &amp; Constraints'!D6="","",'Risk &amp; Constraints'!D6)</f>
        <v/>
      </c>
      <c r="E62" s="40">
        <f>IF('Risk &amp; Constraints'!E6="","",'Risk &amp; Constraints'!E6)</f>
        <v/>
      </c>
      <c r="F62" s="39">
        <f>IF('Risk &amp; Constraints'!F6="","",'Risk &amp; Constraints'!F6)</f>
        <v/>
      </c>
      <c r="G62" s="40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pain points with the current manual EO Framework generation process?</t>
        </is>
      </c>
      <c r="E2" s="40" t="inlineStr">
        <is>
          <t>Describe top 3-5 pain points — e.g. senior-consultant time per engagement, iteration cycles, lack of audit trail, inability to run parallel pipelines</t>
        </is>
      </c>
      <c r="F2" s="39" t="n"/>
      <c r="G2" s="40" t="inlineStr">
        <is>
          <t>Understanding root pain points ensures the solution addresses the most critical gaps first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many presales engagements does Amatra run per month today, and what is the target volume once the platform is live?</t>
        </is>
      </c>
      <c r="E3" s="38" t="inlineStr">
        <is>
          <t>Provide current monthly throughput and 12-month projected target; note that the platform is sized for a global cap of 1 000 solutions/month</t>
        </is>
      </c>
      <c r="F3" s="39" t="n"/>
      <c r="G3" s="38" t="inlineStr">
        <is>
          <t>Drives quota design, DynamoDB throughput provisioning, and Bedrock token budget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measurable outcomes define success for this platform at the end of the 12-week engagement?</t>
        </is>
      </c>
      <c r="E4" s="40" t="inlineStr">
        <is>
          <t>Examples: end-to-end generation under 1 hour, 90% reduction in senior-consultant effort, zero manual retries, green CloudWatch baseline</t>
        </is>
      </c>
      <c r="F4" s="39" t="n"/>
      <c r="G4" s="40" t="inlineStr">
        <is>
          <t>Defines acceptance criteria for Phase 3 sign-off and executive demonstration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What are the minimum demonstrable capabilities required for the Q2 2026 executive sponsor demo?</t>
        </is>
      </c>
      <c r="E5" s="38" t="inlineStr">
        <is>
          <t>The brief names four core capabilities: CLI auth, presales generation, delivery generation, automation bundle with Terraform — confirm priorities and add any others</t>
        </is>
      </c>
      <c r="F5" s="39" t="n"/>
      <c r="G5" s="38" t="inlineStr">
        <is>
          <t>Scope guard; any capability not listed here can be deferred to a phase-two engagement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Stakeholders</t>
        </is>
      </c>
      <c r="D6" s="40" t="inlineStr">
        <is>
          <t>Who are the approvers for production deployment and the Cognito user pool configuration?</t>
        </is>
      </c>
      <c r="E6" s="40" t="inlineStr">
        <is>
          <t>CTO sign-off has been identified; confirm full approval chain and expected lead times</t>
        </is>
      </c>
      <c r="F6" s="39" t="n"/>
      <c r="G6" s="40" t="inlineStr">
        <is>
          <t>Prevents deployment blockers late in the engagement; identify sign-off dependencies early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Stakeholders</t>
        </is>
      </c>
      <c r="D7" s="38" t="inlineStr">
        <is>
          <t>Which internal teams (Sales, Pre-Sales Engineering, Delivery Operations) will consume the platform's output, and what are their distinct needs?</t>
        </is>
      </c>
      <c r="E7" s="38" t="inlineStr">
        <is>
          <t>Sarah Lin (CRO), Marcus Patel (Pre-Sales Engineering), Daniel Park (Delivery Operations) are named — confirm each team's use cases and access requirements</t>
        </is>
      </c>
      <c r="F7" s="39" t="n"/>
      <c r="G7" s="38" t="inlineStr">
        <is>
          <t>Shapes role-based access design and per-phase artifact delivery policy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Confirm the total approved budget envelope and the split between professional services and first-year run cost.</t>
        </is>
      </c>
      <c r="E8" s="40" t="inlineStr">
        <is>
          <t>Brief states $350k-$500k total ($250k PS + $100k-$200k infrastructure/run); confirm whether this is approved or indicative</t>
        </is>
      </c>
      <c r="F8" s="39" t="n"/>
      <c r="G8" s="40" t="inlineStr">
        <is>
          <t>Prevents mid-engagement scope creep; confirms procurement involvement threshold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Is there an existing AWS spend commitment (EDP, EDP credits, or MAP credits) that this platform should draw from?</t>
        </is>
      </c>
      <c r="E9" s="38" t="inlineStr">
        <is>
          <t>AWS MAP or EDP credits can offset Bedrock and AgentCore costs; confirm existing agreements in the us-west-2 account</t>
        </is>
      </c>
      <c r="F9" s="39" t="n"/>
      <c r="G9" s="38" t="inlineStr">
        <is>
          <t>May materially reduce first-year run cost estimate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Timeline</t>
        </is>
      </c>
      <c r="D10" s="40" t="inlineStr">
        <is>
          <t>Are the Phase 1 / Phase 2 / Phase 3 milestone dates fixed, or is there flexibility if scope changes?</t>
        </is>
      </c>
      <c r="E10" s="40" t="inlineStr">
        <is>
          <t>Phase 1 (weeks 1-4), Phase 2 (weeks 5-9), Phase 3 (weeks 10-12); hard demo deadline end of April 2026</t>
        </is>
      </c>
      <c r="F10" s="39" t="n"/>
      <c r="G10" s="40" t="inlineStr">
        <is>
          <t>Fixed timeline directly impacts staffing plan and which features can be deferred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ROI &amp; Metrics</t>
        </is>
      </c>
      <c r="D11" s="38" t="inlineStr">
        <is>
          <t>What baseline metrics exist today to measure the 90% effort-reduction target?</t>
        </is>
      </c>
      <c r="E11" s="38" t="inlineStr">
        <is>
          <t>Current state: 6-10 senior-consultant hours per presales package; confirm whether this is tracked formally</t>
        </is>
      </c>
      <c r="F11" s="39" t="n"/>
      <c r="G11" s="38" t="inlineStr">
        <is>
          <t>Without a baseline measurement, the ROI claim cannot be validated post-go-live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the existing AWS account structure and any Service Control Policies (SCPs) or permission boundaries that apply to the new us-west-2 footprint.</t>
        </is>
      </c>
      <c r="E2" s="40" t="inlineStr">
        <is>
          <t>Is the new footprint a net-new AWS account, a new OU, or a new region in an existing account? Are there org-level SCPs that restrict service usage?</t>
        </is>
      </c>
      <c r="F2" s="39" t="n"/>
      <c r="G2" s="40" t="inlineStr">
        <is>
          <t>Account and permission structure directly impacts IAM design and deployment approach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AWS Services</t>
        </is>
      </c>
      <c r="D3" s="38" t="inlineStr">
        <is>
          <t>Which AWS services are already provisioned in the existing account (us-east-1), and are any shared services (e.g. Route 53, AWS Organizations, SSO) expected to be reused?</t>
        </is>
      </c>
      <c r="E3" s="38" t="inlineStr">
        <is>
          <t>Confirm whether DNS, identity federation, or billing is shared with the us-east-1 workloads</t>
        </is>
      </c>
      <c r="F3" s="39" t="n"/>
      <c r="G3" s="38" t="inlineStr">
        <is>
          <t>Prevents duplicate provisioning and identifies cross-region dependencies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Agentic Architecture</t>
        </is>
      </c>
      <c r="D4" s="40" t="inlineStr">
        <is>
          <t>Confirm the agent topology: five agents per solution (Input Validator, Pre-Sales Generator, Delivery Generator, Code Generator, EO Validator) — are these orchestrated as a sequential graph or can they run in parallel?</t>
        </is>
      </c>
      <c r="E4" s="40" t="inlineStr">
        <is>
          <t>Strands Agents multi-agent graph; clarify whether the orchestration is a linear pipeline or a DAG with parallel branches</t>
        </is>
      </c>
      <c r="F4" s="39" t="n"/>
      <c r="G4" s="40" t="inlineStr">
        <is>
          <t>Determines AgentCore Runtime concurrency requirements and task-queue design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Model Selection</t>
        </is>
      </c>
      <c r="D5" s="38" t="inlineStr">
        <is>
          <t>Are Claude Sonnet 4.6 (primary generation) and Claude Haiku 4.5 (validation) the final model selections, or are alternatives being evaluated?</t>
        </is>
      </c>
      <c r="E5" s="38" t="inlineStr">
        <is>
          <t>Confirm model IDs and whether on-demand inference or provisioned throughput (PTUs) is preferred</t>
        </is>
      </c>
      <c r="F5" s="39" t="n"/>
      <c r="G5" s="38" t="inlineStr">
        <is>
          <t>Model choice and throughput mode are the primary Bedrock cost drivers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API &amp; CLI</t>
        </is>
      </c>
      <c r="D6" s="40" t="inlineStr">
        <is>
          <t>Describe the expected CLI distribution model — pip package on PyPI (public or private), internal Artifactory, or bundled installer?</t>
        </is>
      </c>
      <c r="E6" s="40" t="inlineStr">
        <is>
          <t>Brief mentions a pip-installable CLI with 14 subcommands; confirm distribution channel, versioning strategy, and target OS environments (macOS, Linux, Windows)</t>
        </is>
      </c>
      <c r="F6" s="39" t="n"/>
      <c r="G6" s="40" t="inlineStr">
        <is>
          <t>Affects CI/CD pipeline and release management scope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API &amp; CLI</t>
        </is>
      </c>
      <c r="D7" s="38" t="inlineStr">
        <is>
          <t>Confirm the 11 Lambda route signatures for the HTTP API — which routes require synchronous responses and which can be async (polling or webhook)?</t>
        </is>
      </c>
      <c r="E7" s="38" t="inlineStr">
        <is>
          <t>Long-running generation jobs may need async patterns (SQS, Step Functions, or polling endpoint) to avoid Lambda timeouts</t>
        </is>
      </c>
      <c r="F7" s="39" t="n"/>
      <c r="G7" s="38" t="inlineStr">
        <is>
          <t>Synchronous vs. async design decision impacts API Gateway timeout configuration and client UX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Authentication &amp; Identity</t>
        </is>
      </c>
      <c r="D8" s="40" t="inlineStr">
        <is>
          <t>How should the Cognito User Pool be populated initially — admin-created users, self-registration with email verification, or federated SSO (SAML/OIDC)?</t>
        </is>
      </c>
      <c r="E8" s="40" t="inlineStr">
        <is>
          <t>Brief mentions a post-confirmation Lambda that writes user profiles to DynamoDB; confirm identity source</t>
        </is>
      </c>
      <c r="F8" s="39" t="n"/>
      <c r="G8" s="40" t="inlineStr">
        <is>
          <t>Determines Cognito trigger configuration and onboarding workflow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Authentication &amp; Identity</t>
        </is>
      </c>
      <c r="D9" s="38" t="inlineStr">
        <is>
          <t>What is the expected number of Cognito Monthly Active Users (MAUs) at launch and at 12-month steady state?</t>
        </is>
      </c>
      <c r="E9" s="38" t="inlineStr">
        <is>
          <t>MAU count drives Cognito cost tier; confirm whether MAUs are internal consultants only or include client users</t>
        </is>
      </c>
      <c r="F9" s="39" t="n"/>
      <c r="G9" s="38" t="inlineStr">
        <is>
          <t>Directly affects Cognito line item in infrastructure cost estimate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Data &amp; Storage</t>
        </is>
      </c>
      <c r="D10" s="40" t="inlineStr">
        <is>
          <t>What is the expected S3 storage volume per solution (raw markdown, CSVs, converted DOCX/PPTX/XLSX, Terraform bundles)?</t>
        </is>
      </c>
      <c r="E10" s="40" t="inlineStr">
        <is>
          <t>12 artifacts per solution; estimate average artifact size and total monthly new data ingested at steady-state throughput (200 solutions/month)</t>
        </is>
      </c>
      <c r="F10" s="39" t="n"/>
      <c r="G10" s="40" t="inlineStr">
        <is>
          <t>S3 storage and data-transfer costs scale with artifact volume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Data &amp; Storage</t>
        </is>
      </c>
      <c r="D11" s="38" t="inlineStr">
        <is>
          <t>What is the DynamoDB access pattern — primarily write-heavy (quota tracking) or read-heavy (solution status polling)?</t>
        </is>
      </c>
      <c r="E11" s="38" t="inlineStr">
        <is>
          <t>Quota enforcement is atomic writes; status polling may be frequent during generation; confirm read/write ratio</t>
        </is>
      </c>
      <c r="F11" s="39" t="n"/>
      <c r="G11" s="38" t="inlineStr">
        <is>
          <t>Determines DynamoDB capacity mode (on-demand vs. provisioned) and GSI design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Container &amp; Image Pipeline</t>
        </is>
      </c>
      <c r="D12" s="40" t="inlineStr">
        <is>
          <t>Describe the Docker image build and deployment pipeline — GitHub Actions, AWS CodePipeline, or another CI system?</t>
        </is>
      </c>
      <c r="E12" s="40" t="inlineStr">
        <is>
          <t>The eof-tools converter library (~30 Python modules) must be baked into the agent container image; confirm base image, registry (ECR), and image scanning requirements</t>
        </is>
      </c>
      <c r="F12" s="39" t="n"/>
      <c r="G12" s="40" t="inlineStr">
        <is>
          <t>Container build pipeline is on the critical path for Phase 2; identify who owns it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Terraform &amp; IaC</t>
        </is>
      </c>
      <c r="D13" s="38" t="inlineStr">
        <is>
          <t>What Terraform version and state backend (S3 + DynamoDB lock) configuration is required?</t>
        </is>
      </c>
      <c r="E13" s="38" t="inlineStr">
        <is>
          <t>Brief names `terraform validate` as a syntax gate; confirm whether `terraform plan` and `terraform apply` are also automated or remain manual</t>
        </is>
      </c>
      <c r="F13" s="39" t="n"/>
      <c r="G13" s="38" t="inlineStr">
        <is>
          <t>Determines scope of the automation bundle and what the Code Generator agent must produce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GitHub Integration</t>
        </is>
      </c>
      <c r="D14" s="40" t="inlineStr">
        <is>
          <t>Confirm the GitHub repository structure — single monorepo or per-solution repository — and the token-rotation policy for the stored personal access token.</t>
        </is>
      </c>
      <c r="E14" s="40" t="inlineStr">
        <is>
          <t>Brief states artifacts are committed via a stored PAT to a fixed public repository; confirm branching strategy and PR-vs-direct-commit approach</t>
        </is>
      </c>
      <c r="F14" s="39" t="n"/>
      <c r="G14" s="40" t="inlineStr">
        <is>
          <t>PAT storage in Secrets Manager or Parameter Store is a security requirement; rotation policy must be defined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Performance &amp; Scalability</t>
        </is>
      </c>
      <c r="D15" s="38" t="inlineStr">
        <is>
          <t>What is the maximum acceptable end-to-end generation time per solution (all 12 artifacts)?</t>
        </is>
      </c>
      <c r="E15" s="38" t="inlineStr">
        <is>
          <t>Brief targets under 1 hour; confirm whether this is a hard SLA or a soft target, and whether it applies to the 95th-percentile case</t>
        </is>
      </c>
      <c r="F15" s="39" t="n"/>
      <c r="G15" s="38" t="inlineStr">
        <is>
          <t>Drives concurrency design and Lambda/AgentCore timeout configuration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Performance &amp; Scalability</t>
        </is>
      </c>
      <c r="D16" s="40" t="inlineStr">
        <is>
          <t>What is the expected burst scenario — how many solutions might be submitted simultaneously during a peak sales event?</t>
        </is>
      </c>
      <c r="E16" s="40" t="inlineStr">
        <is>
          <t>Per-user quota is 10 solutions/month; global cap is 1 000/month; identify likely burst patterns (e.g. end-of-quarter pipeline flush)</t>
        </is>
      </c>
      <c r="F16" s="39" t="n"/>
      <c r="G16" s="40" t="inlineStr">
        <is>
          <t>Determines Lambda reserved-concurrency settings and Bedrock rate-limit headroom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Observability</t>
        </is>
      </c>
      <c r="D17" s="38" t="inlineStr">
        <is>
          <t>What CloudWatch metrics, dashboards, and alarms are required for the Phase 3 green baseline?</t>
        </is>
      </c>
      <c r="E17" s="38" t="inlineStr">
        <is>
          <t>Brief mentions per-phase token usage surfaced in CLI status and admin usage endpoint; confirm additional KPIs (error rates, latency p95, queue depth)</t>
        </is>
      </c>
      <c r="F17" s="39" t="n"/>
      <c r="G17" s="38" t="inlineStr">
        <is>
          <t>Observability scope is a Phase 3 exit criterion; define early to avoid last-minute instrumentation work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eof-tools Integration</t>
        </is>
      </c>
      <c r="D18" s="40" t="inlineStr">
        <is>
          <t>Which of the ~30 eof-tools converter modules are required for the 12 artifact types at launch, and are any modules currently unstable or under active development?</t>
        </is>
      </c>
      <c r="E18" s="40" t="inlineStr">
        <is>
          <t>Identify any converter modules that may need patching or replacement; confirm test coverage for each module</t>
        </is>
      </c>
      <c r="F18" s="39" t="n"/>
      <c r="G18" s="40" t="inlineStr">
        <is>
          <t>Unstable converters are the most likely source of Phase 2 integration failures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What compliance frameworks apply to this platform and the data it processes?</t>
        </is>
      </c>
      <c r="E2" s="40" t="inlineStr">
        <is>
          <t>Likely candidates: SOC 2 Type II, ISO 27001; if any customer PII or client-confidential data flows through the platform, GDPR or CCPA may also apply</t>
        </is>
      </c>
      <c r="F2" s="39" t="n"/>
      <c r="G2" s="40" t="inlineStr">
        <is>
          <t>Drives security controls, audit logging retention, and penetration testing requirements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is the highest data classification level for artifacts stored in S3 and DynamoDB?</t>
        </is>
      </c>
      <c r="E3" s="38" t="inlineStr">
        <is>
          <t>PREDICTif client briefings may contain confidential commercial or technical data; confirm classification policy</t>
        </is>
      </c>
      <c r="F3" s="39" t="n"/>
      <c r="G3" s="38" t="inlineStr">
        <is>
          <t>Determines encryption key management approach (AWS-managed vs. customer-managed KMS keys)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</t>
        </is>
      </c>
      <c r="D4" s="40" t="inlineStr">
        <is>
          <t>Will JWT tokens issued by Cognito be validated at the API Gateway layer (Lambda authoriser or native JWT authoriser) or within each Lambda function?</t>
        </is>
      </c>
      <c r="E4" s="40" t="inlineStr">
        <is>
          <t>Native HTTP API JWT authoriser is simpler; Lambda authoriser allows custom claim validation</t>
        </is>
      </c>
      <c r="F4" s="39" t="n"/>
      <c r="G4" s="40" t="inlineStr">
        <is>
          <t>Authentication enforcement point impacts latency and cost; confirm architecture decision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</t>
        </is>
      </c>
      <c r="D5" s="38" t="inlineStr">
        <is>
          <t>What is the token expiry policy — 30-day refresh tokens are mentioned; what is the access token lifetime?</t>
        </is>
      </c>
      <c r="E5" s="38" t="inlineStr">
        <is>
          <t>Short access token lifetimes (e.g. 1 hour) reduce exposure; refresh token rotation policy should also be defined</t>
        </is>
      </c>
      <c r="F5" s="39" t="n"/>
      <c r="G5" s="38" t="inlineStr">
        <is>
          <t>Access token lifetime is a security posture decision; confirm with CTO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IAM &amp; Least Privilege</t>
        </is>
      </c>
      <c r="D6" s="40" t="inlineStr">
        <is>
          <t>Describe the expected IAM role structure — one execution role per Lambda, per agent, or a shared role across the platform?</t>
        </is>
      </c>
      <c r="E6" s="40" t="inlineStr">
        <is>
          <t>Least-privilege IAM is a Well-Architected requirement; confirm whether the team has an existing IAM baseline or policy templates</t>
        </is>
      </c>
      <c r="F6" s="39" t="n"/>
      <c r="G6" s="40" t="inlineStr">
        <is>
          <t>IAM design is foundational to Phase 1 and must be agreed before any service provisioning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Secrets Management</t>
        </is>
      </c>
      <c r="D7" s="38" t="inlineStr">
        <is>
          <t>How will the GitHub PAT, Bedrock API credentials, and any third-party API keys be stored and rotated?</t>
        </is>
      </c>
      <c r="E7" s="38" t="inlineStr">
        <is>
          <t>AWS Secrets Manager with automatic rotation is the recommended approach; confirm whether rotation is in scope</t>
        </is>
      </c>
      <c r="F7" s="39" t="n"/>
      <c r="G7" s="38" t="inlineStr">
        <is>
          <t>Hardcoded or Parameter Store plaintext secrets are a common audit finding; address in Phase 1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Network Security</t>
        </is>
      </c>
      <c r="D8" s="40" t="inlineStr">
        <is>
          <t>Will the Lambda functions and AgentCore Runtime run in a VPC, or in the default AWS public network?</t>
        </is>
      </c>
      <c r="E8" s="40" t="inlineStr">
        <is>
          <t>VPC deployment increases security posture but adds NAT Gateway costs and ENI provisioning complexity</t>
        </is>
      </c>
      <c r="F8" s="39" t="n"/>
      <c r="G8" s="40" t="inlineStr">
        <is>
          <t>VPC-vs-public is a key architecture decision with cost and operational implications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Audit Logging</t>
        </is>
      </c>
      <c r="D9" s="38" t="inlineStr">
        <is>
          <t>What audit log retention period is required for API calls, agent invocations, and artifact generation events?</t>
        </is>
      </c>
      <c r="E9" s="38" t="inlineStr">
        <is>
          <t>CloudTrail + CloudWatch Logs; confirm retention period (e.g. 90 days hot, 1 year cold in S3 Glacier)</t>
        </is>
      </c>
      <c r="F9" s="39" t="n"/>
      <c r="G9" s="38" t="inlineStr">
        <is>
          <t>Retention period drives CloudWatch Logs and S3 storage costs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Data Residency</t>
        </is>
      </c>
      <c r="D10" s="40" t="inlineStr">
        <is>
          <t>Must all data (S3 artifacts, DynamoDB records, CloudWatch logs) remain within the us-west-2 region?</t>
        </is>
      </c>
      <c r="E10" s="40" t="inlineStr">
        <is>
          <t>Confirm whether any cross-region replication or backup to another region is permitted or required</t>
        </is>
      </c>
      <c r="F10" s="39" t="n"/>
      <c r="G10" s="40" t="inlineStr">
        <is>
          <t>Drives S3 replication policy and DynamoDB global table decisions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Is a container image vulnerability scanning requirement in place for the ECR repository hosting the agent image?</t>
        </is>
      </c>
      <c r="E11" s="38" t="inlineStr">
        <is>
          <t>Amazon Inspector or ECR enhanced scanning; confirm whether critical findings must be remediated before deployment</t>
        </is>
      </c>
      <c r="F11" s="39" t="n"/>
      <c r="G11" s="38" t="inlineStr">
        <is>
          <t>Container scanning policy is a pre-deployment gate; define in Phase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 &amp; RPO</t>
        </is>
      </c>
      <c r="D2" s="40" t="inlineStr">
        <is>
          <t>What are the Recovery Time Objective (RTO) and Recovery Point Objective (RPO) targets for the platform?</t>
        </is>
      </c>
      <c r="E2" s="40" t="inlineStr">
        <is>
          <t>For an internal tooling platform, RTO of 4-8 hours and RPO of 24 hours may be acceptable; confirm with Head of Delivery Operations</t>
        </is>
      </c>
      <c r="F2" s="39" t="n"/>
      <c r="G2" s="40" t="inlineStr">
        <is>
          <t>Drives multi-AZ design, DynamoDB backup policy, and S3 versioning requirements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Monitoring &amp; Alerting</t>
        </is>
      </c>
      <c r="D3" s="38" t="inlineStr">
        <is>
          <t>Which teams should receive CloudWatch alarms — only the platform ops team, or also the sales and pre-sales teams?</t>
        </is>
      </c>
      <c r="E3" s="38" t="inlineStr">
        <is>
          <t>Define escalation paths for generation failures, quota exhaustion, and Bedrock throttling events</t>
        </is>
      </c>
      <c r="F3" s="39" t="n"/>
      <c r="G3" s="38" t="inlineStr">
        <is>
          <t>Alerting design must be completed before Phase 3 green-baseline certification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Support Coverage</t>
        </is>
      </c>
      <c r="D4" s="40" t="inlineStr">
        <is>
          <t>What support coverage is required for the platform during and after the 12-week engagement?</t>
        </is>
      </c>
      <c r="E4" s="40" t="inlineStr">
        <is>
          <t>Business hours (8x5) vs. 24x7; confirm whether PREDICTif will operate the platform internally or whether Amatra provides ongoing managed support</t>
        </is>
      </c>
      <c r="F4" s="39" t="n"/>
      <c r="G4" s="40" t="inlineStr">
        <is>
          <t>Support model determines whether an AWS Support plan upgrade is needed and whether on-call runbooks are in scope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Maintenance Windows</t>
        </is>
      </c>
      <c r="D5" s="38" t="inlineStr">
        <is>
          <t>What maintenance windows are available for Lambda deployments, DynamoDB schema changes, and Bedrock model updates?</t>
        </is>
      </c>
      <c r="E5" s="38" t="inlineStr">
        <is>
          <t>Identify low-traffic periods (e.g. weekends, off-peak hours) when blue-green deployments and schema migrations can be performed</t>
        </is>
      </c>
      <c r="F5" s="39" t="n"/>
      <c r="G5" s="38" t="inlineStr">
        <is>
          <t>Maintenance window definition is required before Phase 2 deployment planning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Quota &amp; Cost Governance</t>
        </is>
      </c>
      <c r="D6" s="40" t="inlineStr">
        <is>
          <t>How should per-user and global quota exhaustion be handled — hard block with an error response, or a soft limit with an admin override path?</t>
        </is>
      </c>
      <c r="E6" s="40" t="inlineStr">
        <is>
          <t>Brief specifies atomic DynamoDB enforcement; confirm the UX for quota-exceeded scenarios and the admin override workflow</t>
        </is>
      </c>
      <c r="F6" s="39" t="n"/>
      <c r="G6" s="40" t="inlineStr">
        <is>
          <t>Quota design must be implemented in Phase 1 (DynamoDB) before agent invocations begin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Cost Governance</t>
        </is>
      </c>
      <c r="D7" s="38" t="inlineStr">
        <is>
          <t>What cost governance controls are required — AWS Budgets alerts, cost allocation tags, or chargeback to individual business units?</t>
        </is>
      </c>
      <c r="E7" s="38" t="inlineStr">
        <is>
          <t>Tagging strategy (solution_id, user_id, phase) should be agreed in Phase 1 to ensure all resources are attributable</t>
        </is>
      </c>
      <c r="F7" s="39" t="n"/>
      <c r="G7" s="38" t="inlineStr">
        <is>
          <t>Without a tagging strategy, per-solution cost attribution (target &lt;$5 model spend) cannot be tracked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Capacity Planning</t>
        </is>
      </c>
      <c r="D8" s="40" t="inlineStr">
        <is>
          <t>At steady-state throughput of 200 solutions/month, what is the expected daily and peak-hour distribution?</t>
        </is>
      </c>
      <c r="E8" s="40" t="inlineStr">
        <is>
          <t>Uniform distribution (≈7 solutions/day) vs. end-of-quarter spike; confirm whether Lambda concurrency reservations are needed</t>
        </is>
      </c>
      <c r="F8" s="39" t="n"/>
      <c r="G8" s="40" t="inlineStr">
        <is>
          <t>Capacity planning informs reserved concurrency and provisioned-throughput decisions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Backup &amp; Recovery</t>
        </is>
      </c>
      <c r="D9" s="38" t="inlineStr">
        <is>
          <t>Should S3 artifacts be versioned and backed up to a separate account or Glacier tier for long-term retention?</t>
        </is>
      </c>
      <c r="E9" s="38" t="inlineStr">
        <is>
          <t>12 artifacts per solution × 200 solutions/month = 2 400 artifacts/month; confirm retention policy (e.g. keep all versions for 1 year)</t>
        </is>
      </c>
      <c r="F9" s="39" t="n"/>
      <c r="G9" s="38" t="inlineStr">
        <is>
          <t>S3 versioning and lifecycle policies are a Phase 1 configuration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What is the agreed migration strategy for transitioning consultants from the current manual Claude Code CLI process to the new platform?</t>
        </is>
      </c>
      <c r="E2" s="40" t="inlineStr">
        <is>
          <t>Options: hard cutover on go-live date, parallel run (old + new for N weeks), or gradual team-by-team rollout</t>
        </is>
      </c>
      <c r="F2" s="39" t="n"/>
      <c r="G2" s="40" t="inlineStr">
        <is>
          <t>Migration approach determines training load and whether legacy processes need to continue post-launch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Phased Delivery</t>
        </is>
      </c>
      <c r="D3" s="38" t="inlineStr">
        <is>
          <t>Are the four Phase milestones (Foundation, Agents, Validation, Green Baseline) aligned with internal budget release gates or procurement checkpoints?</t>
        </is>
      </c>
      <c r="E3" s="38" t="inlineStr">
        <is>
          <t>Confirm whether each phase requires a formal sign-off or invoice milestone before the next phase begins</t>
        </is>
      </c>
      <c r="F3" s="39" t="n"/>
      <c r="G3" s="38" t="inlineStr">
        <is>
          <t>Phase gates with financial releases can block progress if not planned in advance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Resource Availability</t>
        </is>
      </c>
      <c r="D4" s="40" t="inlineStr">
        <is>
          <t>What PREDICTif / Amatra internal resources are available to support the engagement — AWS account access, architecture review, UAT participation?</t>
        </is>
      </c>
      <c r="E4" s="40" t="inlineStr">
        <is>
          <t>Identify named individuals for: AWS account owner, security/IAM approver, eof-tools subject-matter expert, UAT lead</t>
        </is>
      </c>
      <c r="F4" s="39" t="n"/>
      <c r="G4" s="40" t="inlineStr">
        <is>
          <t>Internal resource bottlenecks (e.g. IAM approvals) are the most common cause of schedule slippage in platform builds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Testing &amp; UAT</t>
        </is>
      </c>
      <c r="D5" s="38" t="inlineStr">
        <is>
          <t>What user acceptance testing (UAT) criteria must be met before Phase 3 sign-off?</t>
        </is>
      </c>
      <c r="E5" s="38" t="inlineStr">
        <is>
          <t>Define test scenarios: successful end-to-end generation for at least N solution types, quota enforcement verification, auth token validation, GitHub commit verification</t>
        </is>
      </c>
      <c r="F5" s="39" t="n"/>
      <c r="G5" s="38" t="inlineStr">
        <is>
          <t>UAT criteria define the Phase 3 exit checklist; agree before development begins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Training Needs</t>
        </is>
      </c>
      <c r="D6" s="40" t="inlineStr">
        <is>
          <t>What training is required for the Amatra consultant team — platform administration, CLI usage, or both?</t>
        </is>
      </c>
      <c r="E6" s="40" t="inlineStr">
        <is>
          <t>Identify whether training will be delivered as written runbooks, live sessions, or embedded in the CLI --help documentation</t>
        </is>
      </c>
      <c r="F6" s="39" t="n"/>
      <c r="G6" s="40" t="inlineStr">
        <is>
          <t>Training scope must be planned in Phase 3 to avoid a post-go-live knowledge gap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Go-Live Readiness</t>
        </is>
      </c>
      <c r="D7" s="38" t="inlineStr">
        <is>
          <t>What go-live readiness criteria must be satisfied before the platform is made available to the full sales organisation?</t>
        </is>
      </c>
      <c r="E7" s="38" t="inlineStr">
        <is>
          <t>Examples: all 12 artifact types validated, green CloudWatch dashboard, security review passed, at least one end-to-end run with real client data</t>
        </is>
      </c>
      <c r="F7" s="39" t="n"/>
      <c r="G7" s="38" t="inlineStr">
        <is>
          <t>Go-live criteria prevent premature rollout; align with Sarah Lin (CRO) and Daniel Park (Delivery Ops)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Change Management</t>
        </is>
      </c>
      <c r="D8" s="40" t="inlineStr">
        <is>
          <t>How will the transition from manual artifact generation to automated generation be communicated to the sales and delivery teams?</t>
        </is>
      </c>
      <c r="E8" s="40" t="inlineStr">
        <is>
          <t>Change management plan: announcement timeline, champion identification, feedback channel, escalation path for generation quality issues</t>
        </is>
      </c>
      <c r="F8" s="39" t="n"/>
      <c r="G8" s="40" t="inlineStr">
        <is>
          <t>Adoption risk is highest in the first 30 days post-go-live; a change management plan reduces rejection risk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Rollback Plan</t>
        </is>
      </c>
      <c r="D9" s="38" t="inlineStr">
        <is>
          <t>What is the rollback plan if the platform fails to meet go-live criteria at the end of Phase 3?</t>
        </is>
      </c>
      <c r="E9" s="38" t="inlineStr">
        <is>
          <t>Options: extend timeline by N weeks, defer scope, maintain parallel manual process as fallback</t>
        </is>
      </c>
      <c r="F9" s="39" t="n"/>
      <c r="G9" s="38" t="inlineStr">
        <is>
          <t>A defined rollback plan is a risk management requirement for the executive sponsor demo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Technical Risks</t>
        </is>
      </c>
      <c r="D2" s="40" t="inlineStr">
        <is>
          <t>What is the risk appetite for using Bedrock AgentCore Runtime, which is a relatively new AWS service?</t>
        </is>
      </c>
      <c r="E2" s="40" t="inlineStr">
        <is>
          <t>AgentCore Runtime may have limited reference architectures and support history; confirm whether a fallback to ECS/Fargate-hosted agents is acceptable if AgentCore Runtime does not meet requirements</t>
        </is>
      </c>
      <c r="F2" s="39" t="n"/>
      <c r="G2" s="40" t="inlineStr">
        <is>
          <t>New service adoption risk should be evaluated in Phase 1 with a time-boxed proof-of-concept spike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Technical Risks</t>
        </is>
      </c>
      <c r="D3" s="38" t="inlineStr">
        <is>
          <t>Are there known limitations in the eof-tools converter library that could prevent any of the 12 artifact types from being generated automatically?</t>
        </is>
      </c>
      <c r="E3" s="38" t="inlineStr">
        <is>
          <t>Identify any converters with known bugs, missing test coverage, or hard dependencies on local file system paths</t>
        </is>
      </c>
      <c r="F3" s="39" t="n"/>
      <c r="G3" s="38" t="inlineStr">
        <is>
          <t>eof-tools integration is the highest-probability technical risk; surface blockers before Phase 2 begins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Dependencies</t>
        </is>
      </c>
      <c r="D4" s="40" t="inlineStr">
        <is>
          <t>What external dependencies (AWS service quotas, ECR image pull limits, GitHub API rate limits) could throttle the platform under peak load?</t>
        </is>
      </c>
      <c r="E4" s="40" t="inlineStr">
        <is>
          <t>Bedrock RPM/TPM quotas for Claude Sonnet 4.6 in us-west-2 should be requested in advance; GitHub API rate limits apply to PAT-based commits</t>
        </is>
      </c>
      <c r="F4" s="39" t="n"/>
      <c r="G4" s="40" t="inlineStr">
        <is>
          <t>Service quota requests can take days to weeks; submit in Phase 1 to avoid Phase 2 blockers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Constraints</t>
        </is>
      </c>
      <c r="D5" s="38" t="inlineStr">
        <is>
          <t>Are there organisational constraints on using public PyPI for CLI distribution, or on committing artifacts to a public GitHub repository?</t>
        </is>
      </c>
      <c r="E5" s="38" t="inlineStr">
        <is>
          <t>Some enterprise policies prohibit public distribution channels or public repositories for internal tooling; confirm with PREDICTif IT security</t>
        </is>
      </c>
      <c r="F5" s="39" t="n"/>
      <c r="G5" s="38" t="inlineStr">
        <is>
          <t>A policy constraint discovered late could require a significant rework of the distribution and GitHub integration design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Assumptions</t>
        </is>
      </c>
      <c r="D6" s="40" t="inlineStr">
        <is>
          <t>Confirm the key assumptions baked into the $5 per-solution model-spend target — input token counts, number of retries, and model selection.</t>
        </is>
      </c>
      <c r="E6" s="40" t="inlineStr">
        <is>
          <t>The target assumes Claude Haiku 4.5 for validation (lower cost) and a bounded retry limit (max 3); if average retries are higher or Sonnet is used more broadly, cost will exceed target</t>
        </is>
      </c>
      <c r="F6" s="39" t="n"/>
      <c r="G6" s="40" t="inlineStr">
        <is>
          <t>Cost assumption validation in Phase 1 prevents budget overrun in Phase 2 and Phase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2026-06-05T15:23:39Z</dcterms:modified>
  <cp:lastModifiedBy>Kishan Siram</cp:lastModifiedBy>
</cp:coreProperties>
</file>