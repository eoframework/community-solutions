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Guidelines'!$A$2:$F$10</definedName>
    <definedName name="_xlnm._FilterDatabase" localSheetId="2" hidden="1">'Infrastructure Costs'!$A$2:$K$23</definedName>
    <definedName name="_xlnm._FilterDatabase" localSheetId="3" hidden="1">'Credits'!$A$2:$D$10</definedName>
    <definedName name="_xlnm._FilterDatabase" localSheetId="4" hidden="1">'3-Year Summary'!$A$2:$G$9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19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left" vertical="center" wrapText="1" indent="1"/>
    </xf>
    <xf numFmtId="0" fontId="16" fillId="4" borderId="5" applyAlignment="1" pivotButton="0" quotePrefix="0" xfId="0">
      <alignment horizontal="left" vertical="center" wrapText="1" indent="1"/>
    </xf>
    <xf numFmtId="3" fontId="16" fillId="4" borderId="5" applyAlignment="1" pivotButton="0" quotePrefix="0" xfId="0">
      <alignment horizontal="right" vertical="center" wrapText="1"/>
    </xf>
    <xf numFmtId="165" fontId="16" fillId="4" borderId="5" applyAlignment="1" pivotButton="0" quotePrefix="0" xfId="0">
      <alignment horizontal="right" vertical="center" wrapText="1"/>
    </xf>
    <xf numFmtId="0" fontId="17" fillId="10" borderId="5" applyAlignment="1" pivotButton="0" quotePrefix="0" xfId="0">
      <alignment horizontal="left" vertical="center" wrapText="1" indent="1"/>
    </xf>
    <xf numFmtId="0" fontId="16" fillId="10" borderId="5" applyAlignment="1" pivotButton="0" quotePrefix="0" xfId="0">
      <alignment horizontal="left" vertical="center" wrapText="1" indent="1"/>
    </xf>
    <xf numFmtId="3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0" fontId="18" fillId="5" borderId="5" applyAlignment="1" pivotButton="0" quotePrefix="0" xfId="0">
      <alignment horizontal="left" vertical="center"/>
    </xf>
    <xf numFmtId="0" fontId="18" fillId="5" borderId="5" applyAlignment="1" pivotButton="0" quotePrefix="0" xfId="0">
      <alignment horizontal="center" vertical="center"/>
    </xf>
    <xf numFmtId="165" fontId="18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Infrastructure Costs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05, 2026</t>
        </is>
      </c>
    </row>
    <row r="6" ht="18" customHeight="1">
      <c r="B6" s="2" t="inlineStr">
        <is>
          <t>Solution:</t>
        </is>
      </c>
      <c r="C6" s="3" t="inlineStr">
        <is>
          <t>Tmpoorv_975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4" t="inlineStr">
        <is>
          <t>Sizing Guidelines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Small</t>
        </is>
      </c>
      <c r="D2" s="35" t="inlineStr">
        <is>
          <t>Medium</t>
        </is>
      </c>
      <c r="E2" s="35" t="inlineStr">
        <is>
          <t>Large</t>
        </is>
      </c>
      <c r="F2" s="35" t="inlineStr">
        <is>
          <t>Notes</t>
        </is>
      </c>
    </row>
    <row r="3" ht="26" customHeight="1">
      <c r="A3" s="36" t="inlineStr">
        <is>
          <t>Cloud Services</t>
        </is>
      </c>
      <c r="B3" s="37" t="inlineStr">
        <is>
          <t>Solutions per Month</t>
        </is>
      </c>
      <c r="C3" s="38" t="inlineStr">
        <is>
          <t>50 solutions</t>
        </is>
      </c>
      <c r="D3" s="38" t="inlineStr">
        <is>
          <t>200 solutions</t>
        </is>
      </c>
      <c r="E3" s="38" t="inlineStr">
        <is>
          <t>1000 solutions</t>
        </is>
      </c>
      <c r="F3" s="37" t="inlineStr">
        <is>
          <t>Monthly solution generation throughput</t>
        </is>
      </c>
    </row>
    <row r="4" ht="26" customHeight="1">
      <c r="A4" s="39" t="inlineStr">
        <is>
          <t>Cloud Services</t>
        </is>
      </c>
      <c r="B4" s="40" t="inlineStr">
        <is>
          <t>Bedrock Token Volume</t>
        </is>
      </c>
      <c r="C4" s="41" t="inlineStr">
        <is>
          <t>&lt;5M tokens/month</t>
        </is>
      </c>
      <c r="D4" s="41" t="inlineStr">
        <is>
          <t>5M-25M tokens/month</t>
        </is>
      </c>
      <c r="E4" s="41" t="inlineStr">
        <is>
          <t>&gt;25M tokens/month</t>
        </is>
      </c>
      <c r="F4" s="40" t="inlineStr">
        <is>
          <t>Aggregate Claude Sonnet 4.6 + Haiku 4.5 token spend</t>
        </is>
      </c>
    </row>
    <row r="5" ht="26" customHeight="1">
      <c r="A5" s="36" t="inlineStr">
        <is>
          <t>Cloud Services</t>
        </is>
      </c>
      <c r="B5" s="37" t="inlineStr">
        <is>
          <t>Lambda Invocations</t>
        </is>
      </c>
      <c r="C5" s="38" t="inlineStr">
        <is>
          <t>&lt;500K/month</t>
        </is>
      </c>
      <c r="D5" s="38" t="inlineStr">
        <is>
          <t>500K-2.5M/month</t>
        </is>
      </c>
      <c r="E5" s="38" t="inlineStr">
        <is>
          <t>&gt;2.5M/month</t>
        </is>
      </c>
      <c r="F5" s="37" t="inlineStr">
        <is>
          <t>11 API routes + agent triggers across all solutions</t>
        </is>
      </c>
    </row>
    <row r="6" ht="26" customHeight="1">
      <c r="A6" s="39" t="inlineStr">
        <is>
          <t>Cloud Services</t>
        </is>
      </c>
      <c r="B6" s="40" t="inlineStr">
        <is>
          <t>DynamoDB Throughput</t>
        </is>
      </c>
      <c r="C6" s="41" t="inlineStr">
        <is>
          <t>&lt;1M RCU + 500K WCU/month</t>
        </is>
      </c>
      <c r="D6" s="41" t="inlineStr">
        <is>
          <t>1M-10M RCU + 5M WCU/month</t>
        </is>
      </c>
      <c r="E6" s="41" t="inlineStr">
        <is>
          <t>&gt;10M RCU/month</t>
        </is>
      </c>
      <c r="F6" s="40" t="inlineStr">
        <is>
          <t>Quota enforcement + user profiles + solution state</t>
        </is>
      </c>
    </row>
    <row r="7" ht="26" customHeight="1">
      <c r="A7" s="36" t="inlineStr">
        <is>
          <t>Cloud Services</t>
        </is>
      </c>
      <c r="B7" s="37" t="inlineStr">
        <is>
          <t>S3 Storage Volume</t>
        </is>
      </c>
      <c r="C7" s="38" t="inlineStr">
        <is>
          <t>&lt;100 GB</t>
        </is>
      </c>
      <c r="D7" s="38" t="inlineStr">
        <is>
          <t>100-500 GB</t>
        </is>
      </c>
      <c r="E7" s="38" t="inlineStr">
        <is>
          <t>&gt;500 GB</t>
        </is>
      </c>
      <c r="F7" s="37" t="inlineStr">
        <is>
          <t>Artifact storage per solution (raw + converted)</t>
        </is>
      </c>
    </row>
    <row r="8" ht="26" customHeight="1">
      <c r="A8" s="39" t="inlineStr">
        <is>
          <t>Cloud Services</t>
        </is>
      </c>
      <c r="B8" s="40" t="inlineStr">
        <is>
          <t>Cognito MAUs</t>
        </is>
      </c>
      <c r="C8" s="41" t="inlineStr">
        <is>
          <t>&lt;1000 MAUs</t>
        </is>
      </c>
      <c r="D8" s="41" t="inlineStr">
        <is>
          <t>1000-5000 MAUs</t>
        </is>
      </c>
      <c r="E8" s="41" t="inlineStr">
        <is>
          <t>&gt;5000 MAUs</t>
        </is>
      </c>
      <c r="F8" s="40" t="inlineStr">
        <is>
          <t>Monthly active users of CLI + API platform</t>
        </is>
      </c>
    </row>
    <row r="9" ht="26" customHeight="1">
      <c r="A9" s="36" t="inlineStr">
        <is>
          <t>Software Licenses</t>
        </is>
      </c>
      <c r="B9" s="37" t="inlineStr">
        <is>
          <t>Agent Framework</t>
        </is>
      </c>
      <c r="C9" s="38" t="inlineStr">
        <is>
          <t>Strands Agents (OSS)</t>
        </is>
      </c>
      <c r="D9" s="38" t="inlineStr">
        <is>
          <t>Strands Agents (OSS)</t>
        </is>
      </c>
      <c r="E9" s="38" t="inlineStr">
        <is>
          <t>Strands Agents (OSS)</t>
        </is>
      </c>
      <c r="F9" s="37" t="inlineStr">
        <is>
          <t>Open-source framework — no license cost</t>
        </is>
      </c>
    </row>
    <row r="10" ht="26" customHeight="1">
      <c r="A10" s="39" t="inlineStr">
        <is>
          <t>Support &amp; Maintenance</t>
        </is>
      </c>
      <c r="B10" s="40" t="inlineStr">
        <is>
          <t>AWS Support Plan</t>
        </is>
      </c>
      <c r="C10" s="41" t="inlineStr">
        <is>
          <t>Developer</t>
        </is>
      </c>
      <c r="D10" s="41" t="inlineStr">
        <is>
          <t>Business</t>
        </is>
      </c>
      <c r="E10" s="41" t="inlineStr">
        <is>
          <t>Enterprise</t>
        </is>
      </c>
      <c r="F10" s="40" t="inlineStr">
        <is>
          <t>Support tier based on criticality and throughput</t>
        </is>
      </c>
    </row>
  </sheetData>
  <autoFilter ref="A2:F10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4" t="inlineStr">
        <is>
          <t>Infrastructure Costs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Description</t>
        </is>
      </c>
      <c r="D2" s="35" t="inlineStr">
        <is>
          <t>Quantity</t>
        </is>
      </c>
      <c r="E2" s="35" t="inlineStr">
        <is>
          <t>Unit</t>
        </is>
      </c>
      <c r="F2" s="35" t="inlineStr">
        <is>
          <t>Unit Price</t>
        </is>
      </c>
      <c r="G2" s="35" t="inlineStr">
        <is>
          <t>Annual Cost</t>
        </is>
      </c>
      <c r="H2" s="35" t="inlineStr">
        <is>
          <t>Year 2</t>
        </is>
      </c>
      <c r="I2" s="35" t="inlineStr">
        <is>
          <t>Year 3</t>
        </is>
      </c>
      <c r="J2" s="35" t="inlineStr">
        <is>
          <t>3-Year Total</t>
        </is>
      </c>
      <c r="K2" s="35" t="inlineStr">
        <is>
          <t>Notes</t>
        </is>
      </c>
    </row>
    <row r="3" ht="26" customHeight="1">
      <c r="A3" s="42" t="inlineStr">
        <is>
          <t>Cloud Services</t>
        </is>
      </c>
      <c r="B3" s="43" t="inlineStr">
        <is>
          <t>Amazon Bedrock – Claude Sonnet 4.6</t>
        </is>
      </c>
      <c r="C3" s="43" t="inlineStr">
        <is>
          <t>Primary generation model; ~200 solutions/month at avg 25K input + 8K output tokens/solution</t>
        </is>
      </c>
      <c r="D3" s="44" t="n">
        <v>1</v>
      </c>
      <c r="E3" s="43" t="inlineStr">
        <is>
          <t>Service/Month</t>
        </is>
      </c>
      <c r="F3" s="45" t="n">
        <v>4500</v>
      </c>
      <c r="G3" s="45">
        <f>D3*F3*12</f>
        <v/>
      </c>
      <c r="H3" s="45">
        <f>G3*1.3</f>
        <v/>
      </c>
      <c r="I3" s="45">
        <f>H3*1.3</f>
        <v/>
      </c>
      <c r="J3" s="45">
        <f>G3+H3+I3</f>
        <v/>
      </c>
      <c r="K3" s="43" t="inlineStr">
        <is>
          <t>Input $3/M tokens + output $15/M tokens; Year 2-3 scale with volume growth</t>
        </is>
      </c>
    </row>
    <row r="4" ht="26" customHeight="1">
      <c r="A4" s="46" t="inlineStr">
        <is>
          <t>Cloud Services</t>
        </is>
      </c>
      <c r="B4" s="47" t="inlineStr">
        <is>
          <t>Amazon Bedrock – Claude Haiku 4.5</t>
        </is>
      </c>
      <c r="C4" s="47" t="inlineStr">
        <is>
          <t>Validation agent; ~200 solutions/month at avg 8K tokens x 3 retries x 12 artifacts</t>
        </is>
      </c>
      <c r="D4" s="48" t="n">
        <v>1</v>
      </c>
      <c r="E4" s="47" t="inlineStr">
        <is>
          <t>Service/Month</t>
        </is>
      </c>
      <c r="F4" s="49" t="n">
        <v>850</v>
      </c>
      <c r="G4" s="49">
        <f>D4*F4*12</f>
        <v/>
      </c>
      <c r="H4" s="49">
        <f>G4*1.3</f>
        <v/>
      </c>
      <c r="I4" s="49">
        <f>H4*1.3</f>
        <v/>
      </c>
      <c r="J4" s="49">
        <f>G4+H4+I4</f>
        <v/>
      </c>
      <c r="K4" s="47" t="inlineStr">
        <is>
          <t>Input $0.80/M tokens + output $4/M tokens for cost-efficient validation</t>
        </is>
      </c>
    </row>
    <row r="5" ht="26" customHeight="1">
      <c r="A5" s="42" t="inlineStr">
        <is>
          <t>Cloud Services</t>
        </is>
      </c>
      <c r="B5" s="43" t="inlineStr">
        <is>
          <t>Bedrock AgentCore Runtime</t>
        </is>
      </c>
      <c r="C5" s="43" t="inlineStr">
        <is>
          <t>Serverless agent hosting for 5 agents per solution: Input Validator + Pre-Sales + Delivery + Code + EO Validator</t>
        </is>
      </c>
      <c r="D5" s="44" t="n">
        <v>1</v>
      </c>
      <c r="E5" s="43" t="inlineStr">
        <is>
          <t>Service/Month</t>
        </is>
      </c>
      <c r="F5" s="45" t="n">
        <v>1200</v>
      </c>
      <c r="G5" s="45">
        <f>D5*F5*12</f>
        <v/>
      </c>
      <c r="H5" s="45">
        <f>G5*1.3</f>
        <v/>
      </c>
      <c r="I5" s="45">
        <f>H5*1.3</f>
        <v/>
      </c>
      <c r="J5" s="45">
        <f>G5+H5+I5</f>
        <v/>
      </c>
      <c r="K5" s="43" t="inlineStr">
        <is>
          <t>AgentCore Runtime billed per agent-second; scales linearly with solution volume</t>
        </is>
      </c>
    </row>
    <row r="6" ht="26" customHeight="1">
      <c r="A6" s="46" t="inlineStr">
        <is>
          <t>Cloud Services</t>
        </is>
      </c>
      <c r="B6" s="47" t="inlineStr">
        <is>
          <t>AWS Lambda</t>
        </is>
      </c>
      <c r="C6" s="47" t="inlineStr">
        <is>
          <t>11 API route handlers + post-confirmation trigger + converter pipeline; ~2.5M invocations/month</t>
        </is>
      </c>
      <c r="D6" s="48" t="n">
        <v>1</v>
      </c>
      <c r="E6" s="47" t="inlineStr">
        <is>
          <t>Service/Month</t>
        </is>
      </c>
      <c r="F6" s="49" t="n">
        <v>180</v>
      </c>
      <c r="G6" s="49">
        <f>D6*F6*12</f>
        <v/>
      </c>
      <c r="H6" s="49">
        <f>G6</f>
        <v/>
      </c>
      <c r="I6" s="49">
        <f>G6</f>
        <v/>
      </c>
      <c r="J6" s="49">
        <f>G6+H6+I6</f>
        <v/>
      </c>
      <c r="K6" s="47" t="inlineStr">
        <is>
          <t>1M free tier + $0.20/M requests; 512MB avg memory; 3s avg duration</t>
        </is>
      </c>
    </row>
    <row r="7" ht="26" customHeight="1">
      <c r="A7" s="42" t="inlineStr">
        <is>
          <t>Cloud Services</t>
        </is>
      </c>
      <c r="B7" s="43" t="inlineStr">
        <is>
          <t>API Gateway HTTP API v2</t>
        </is>
      </c>
      <c r="C7" s="43" t="inlineStr">
        <is>
          <t>JWT-protected HTTP API with 11 routes; ~2.5M requests/month at 200 solutions/month</t>
        </is>
      </c>
      <c r="D7" s="44" t="n">
        <v>1</v>
      </c>
      <c r="E7" s="43" t="inlineStr">
        <is>
          <t>Service/Month</t>
        </is>
      </c>
      <c r="F7" s="45" t="n">
        <v>10</v>
      </c>
      <c r="G7" s="45">
        <f>D7*F7*12</f>
        <v/>
      </c>
      <c r="H7" s="45">
        <f>G7</f>
        <v/>
      </c>
      <c r="I7" s="45">
        <f>G7</f>
        <v/>
      </c>
      <c r="J7" s="45">
        <f>G7+H7+I7</f>
        <v/>
      </c>
      <c r="K7" s="43" t="inlineStr">
        <is>
          <t>$1.00/M requests us-west-2; lightweight HTTP API v2 tier</t>
        </is>
      </c>
    </row>
    <row r="8" ht="26" customHeight="1">
      <c r="A8" s="46" t="inlineStr">
        <is>
          <t>Cloud Services</t>
        </is>
      </c>
      <c r="B8" s="47" t="inlineStr">
        <is>
          <t>Amazon Cognito User Pools</t>
        </is>
      </c>
      <c r="C8" s="47" t="inlineStr">
        <is>
          <t>JWT auth with 30-day refresh tokens; post-confirmation Lambda trigger; estimated 500-2000 MAUs</t>
        </is>
      </c>
      <c r="D8" s="48" t="n">
        <v>1</v>
      </c>
      <c r="E8" s="47" t="inlineStr">
        <is>
          <t>Service/Month</t>
        </is>
      </c>
      <c r="F8" s="49" t="n">
        <v>75</v>
      </c>
      <c r="G8" s="49">
        <f>D8*F8*12</f>
        <v/>
      </c>
      <c r="H8" s="49">
        <f>G8*1.5</f>
        <v/>
      </c>
      <c r="I8" s="49">
        <f>H8*1.5</f>
        <v/>
      </c>
      <c r="J8" s="49">
        <f>G8+H8+I8</f>
        <v/>
      </c>
      <c r="K8" s="47" t="inlineStr">
        <is>
          <t>First 50K MAUs $0.0055/MAU; includes post-confirmation Lambda trigger cost</t>
        </is>
      </c>
    </row>
    <row r="9" ht="26" customHeight="1">
      <c r="A9" s="42" t="inlineStr">
        <is>
          <t>Cloud Services</t>
        </is>
      </c>
      <c r="B9" s="43" t="inlineStr">
        <is>
          <t>Amazon DynamoDB</t>
        </is>
      </c>
      <c r="C9" s="43" t="inlineStr">
        <is>
          <t>On-demand capacity for quota enforcement + user profiles + solution state; 3 tables; atomic quota updates</t>
        </is>
      </c>
      <c r="D9" s="44" t="n">
        <v>1</v>
      </c>
      <c r="E9" s="43" t="inlineStr">
        <is>
          <t>Service/Month</t>
        </is>
      </c>
      <c r="F9" s="45" t="n">
        <v>120</v>
      </c>
      <c r="G9" s="45">
        <f>D9*F9*12</f>
        <v/>
      </c>
      <c r="H9" s="45">
        <f>G9</f>
        <v/>
      </c>
      <c r="I9" s="45">
        <f>G9</f>
        <v/>
      </c>
      <c r="J9" s="45">
        <f>G9+H9+I9</f>
        <v/>
      </c>
      <c r="K9" s="43" t="inlineStr">
        <is>
          <t>On-demand mode; $1.25/M WRU + $0.25/M RRU; per-user monthly quotas enforced atomically</t>
        </is>
      </c>
    </row>
    <row r="10" ht="26" customHeight="1">
      <c r="A10" s="46" t="inlineStr">
        <is>
          <t>Cloud Services</t>
        </is>
      </c>
      <c r="B10" s="47" t="inlineStr">
        <is>
          <t>Amazon S3</t>
        </is>
      </c>
      <c r="C10" s="47" t="inlineStr">
        <is>
          <t>Artifact storage: raw markdown/CSV + converted DOCX/PPTX/XLSX; 12 artifacts x 200 solutions/month</t>
        </is>
      </c>
      <c r="D10" s="48" t="n">
        <v>1</v>
      </c>
      <c r="E10" s="47" t="inlineStr">
        <is>
          <t>Service/Month</t>
        </is>
      </c>
      <c r="F10" s="49" t="n">
        <v>45</v>
      </c>
      <c r="G10" s="49">
        <f>D10*F10*12</f>
        <v/>
      </c>
      <c r="H10" s="49">
        <f>G10*1.2</f>
        <v/>
      </c>
      <c r="I10" s="49">
        <f>H10*1.2</f>
        <v/>
      </c>
      <c r="J10" s="49">
        <f>G10+H10+I10</f>
        <v/>
      </c>
      <c r="K10" s="47" t="inlineStr">
        <is>
          <t>Standard tier $0.023/GB; ~200GB Year 1 growing with solution archive</t>
        </is>
      </c>
    </row>
    <row r="11" ht="26" customHeight="1">
      <c r="A11" s="42" t="inlineStr">
        <is>
          <t>Cloud Services</t>
        </is>
      </c>
      <c r="B11" s="43" t="inlineStr">
        <is>
          <t>Amazon ECR</t>
        </is>
      </c>
      <c r="C11" s="43" t="inlineStr">
        <is>
          <t>Container registry for agent Docker images with eof-tools baked in; ~5 images with vulnerability scanning</t>
        </is>
      </c>
      <c r="D11" s="44" t="n">
        <v>1</v>
      </c>
      <c r="E11" s="43" t="inlineStr">
        <is>
          <t>Service/Month</t>
        </is>
      </c>
      <c r="F11" s="45" t="n">
        <v>15</v>
      </c>
      <c r="G11" s="45">
        <f>D11*F11*12</f>
        <v/>
      </c>
      <c r="H11" s="45">
        <f>G11</f>
        <v/>
      </c>
      <c r="I11" s="45">
        <f>G11</f>
        <v/>
      </c>
      <c r="J11" s="45">
        <f>G11+H11+I11</f>
        <v/>
      </c>
      <c r="K11" s="43" t="inlineStr">
        <is>
          <t>$0.10/GB/month storage; image scan + lifecycle policies</t>
        </is>
      </c>
    </row>
    <row r="12" ht="26" customHeight="1">
      <c r="A12" s="46" t="inlineStr">
        <is>
          <t>Cloud Services</t>
        </is>
      </c>
      <c r="B12" s="47" t="inlineStr">
        <is>
          <t>Amazon CloudWatch</t>
        </is>
      </c>
      <c r="C12" s="47" t="inlineStr">
        <is>
          <t>Logs ingestion for Lambda + AgentCore; per-phase token usage metrics; dashboards for CLI status + admin endpoint</t>
        </is>
      </c>
      <c r="D12" s="48" t="n">
        <v>1</v>
      </c>
      <c r="E12" s="47" t="inlineStr">
        <is>
          <t>Service/Month</t>
        </is>
      </c>
      <c r="F12" s="49" t="n">
        <v>220</v>
      </c>
      <c r="G12" s="49">
        <f>D12*F12*12</f>
        <v/>
      </c>
      <c r="H12" s="49">
        <f>G12</f>
        <v/>
      </c>
      <c r="I12" s="49">
        <f>G12</f>
        <v/>
      </c>
      <c r="J12" s="49">
        <f>G12+H12+I12</f>
        <v/>
      </c>
      <c r="K12" s="47" t="inlineStr">
        <is>
          <t>$0.50/GB logs ingestion; custom metrics for token usage surfacing</t>
        </is>
      </c>
    </row>
    <row r="13" ht="26" customHeight="1">
      <c r="A13" s="42" t="inlineStr">
        <is>
          <t>Cloud Services</t>
        </is>
      </c>
      <c r="B13" s="43" t="inlineStr">
        <is>
          <t>AWS Secrets Manager</t>
        </is>
      </c>
      <c r="C13" s="43" t="inlineStr">
        <is>
          <t>GitHub PAT + Cognito secrets + API keys; automatic rotation; ~10 secrets total</t>
        </is>
      </c>
      <c r="D13" s="44" t="n">
        <v>1</v>
      </c>
      <c r="E13" s="43" t="inlineStr">
        <is>
          <t>Service/Month</t>
        </is>
      </c>
      <c r="F13" s="45" t="n">
        <v>20</v>
      </c>
      <c r="G13" s="45">
        <f>D13*F13*12</f>
        <v/>
      </c>
      <c r="H13" s="45">
        <f>G13</f>
        <v/>
      </c>
      <c r="I13" s="45">
        <f>G13</f>
        <v/>
      </c>
      <c r="J13" s="45">
        <f>G13+H13+I13</f>
        <v/>
      </c>
      <c r="K13" s="43" t="inlineStr">
        <is>
          <t>$0.40/secret/month + $0.05/10K API calls</t>
        </is>
      </c>
    </row>
    <row r="14" ht="26" customHeight="1">
      <c r="A14" s="46" t="inlineStr">
        <is>
          <t>Cloud Services</t>
        </is>
      </c>
      <c r="B14" s="47" t="inlineStr">
        <is>
          <t>Amazon VPC and NAT Gateway</t>
        </is>
      </c>
      <c r="C14" s="47" t="inlineStr">
        <is>
          <t>VPC for Lambda + AgentCore isolation; NAT Gateway for outbound GitHub API calls from private subnets</t>
        </is>
      </c>
      <c r="D14" s="48" t="n">
        <v>1</v>
      </c>
      <c r="E14" s="47" t="inlineStr">
        <is>
          <t>Service/Month</t>
        </is>
      </c>
      <c r="F14" s="49" t="n">
        <v>95</v>
      </c>
      <c r="G14" s="49">
        <f>D14*F14*12</f>
        <v/>
      </c>
      <c r="H14" s="49">
        <f>G14</f>
        <v/>
      </c>
      <c r="I14" s="49">
        <f>G14</f>
        <v/>
      </c>
      <c r="J14" s="49">
        <f>G14+H14+I14</f>
        <v/>
      </c>
      <c r="K14" s="47" t="inlineStr">
        <is>
          <t>$0.045/GB processed + $0.045/hour NAT; ~30GB/month GitHub push + external API traffic</t>
        </is>
      </c>
    </row>
    <row r="15" ht="26" customHeight="1">
      <c r="A15" s="42" t="inlineStr">
        <is>
          <t>Cloud Services</t>
        </is>
      </c>
      <c r="B15" s="43" t="inlineStr">
        <is>
          <t>AWS Step Functions</t>
        </is>
      </c>
      <c r="C15" s="43" t="inlineStr">
        <is>
          <t>Orchestration state machine for agent graph execution; graded artifact-delivery policy enforcement</t>
        </is>
      </c>
      <c r="D15" s="44" t="n">
        <v>1</v>
      </c>
      <c r="E15" s="43" t="inlineStr">
        <is>
          <t>Service/Month</t>
        </is>
      </c>
      <c r="F15" s="45" t="n">
        <v>35</v>
      </c>
      <c r="G15" s="45">
        <f>D15*F15*12</f>
        <v/>
      </c>
      <c r="H15" s="45">
        <f>G15</f>
        <v/>
      </c>
      <c r="I15" s="45">
        <f>G15</f>
        <v/>
      </c>
      <c r="J15" s="45">
        <f>G15+H15+I15</f>
        <v/>
      </c>
      <c r="K15" s="43" t="inlineStr">
        <is>
          <t>$0.025/1K state transitions; ~500 state transitions per solution</t>
        </is>
      </c>
    </row>
    <row r="16" ht="26" customHeight="1">
      <c r="A16" s="46" t="inlineStr">
        <is>
          <t>Cloud Services</t>
        </is>
      </c>
      <c r="B16" s="47" t="inlineStr">
        <is>
          <t>Data Transfer Out</t>
        </is>
      </c>
      <c r="C16" s="47" t="inlineStr">
        <is>
          <t>Outbound data to GitHub + CLI downloads + API responses; grows with solution volume</t>
        </is>
      </c>
      <c r="D16" s="48" t="n">
        <v>200</v>
      </c>
      <c r="E16" s="47" t="inlineStr">
        <is>
          <t>GB/Month</t>
        </is>
      </c>
      <c r="F16" s="49" t="n">
        <v>0.09</v>
      </c>
      <c r="G16" s="49">
        <f>D16*F16*12</f>
        <v/>
      </c>
      <c r="H16" s="49">
        <f>G16*1.2</f>
        <v/>
      </c>
      <c r="I16" s="49">
        <f>H16*1.2</f>
        <v/>
      </c>
      <c r="J16" s="49">
        <f>G16+H16+I16</f>
        <v/>
      </c>
      <c r="K16" s="47" t="inlineStr">
        <is>
          <t>$0.09/GB first 10TB us-west-2</t>
        </is>
      </c>
    </row>
    <row r="17" ht="26" customHeight="1">
      <c r="A17" s="42" t="inlineStr">
        <is>
          <t>Software Licenses</t>
        </is>
      </c>
      <c r="B17" s="43" t="inlineStr">
        <is>
          <t>GitHub Repository Access</t>
        </is>
      </c>
      <c r="C17" s="43" t="inlineStr">
        <is>
          <t>Public GitHub repository for artifact commits via stored PAT; no additional license cost</t>
        </is>
      </c>
      <c r="D17" s="44" t="n">
        <v>0</v>
      </c>
      <c r="E17" s="43" t="inlineStr">
        <is>
          <t>Service/Month</t>
        </is>
      </c>
      <c r="F17" s="45" t="n">
        <v>0</v>
      </c>
      <c r="G17" s="45">
        <f>D17*F17*12</f>
        <v/>
      </c>
      <c r="H17" s="45">
        <f>G17</f>
        <v/>
      </c>
      <c r="I17" s="45">
        <f>G17</f>
        <v/>
      </c>
      <c r="J17" s="45">
        <f>G17+H17+I17</f>
        <v/>
      </c>
      <c r="K17" s="43" t="inlineStr">
        <is>
          <t>Existing public GitHub repo — no cost; PAT stored in Secrets Manager</t>
        </is>
      </c>
    </row>
    <row r="18" ht="26" customHeight="1">
      <c r="A18" s="46" t="inlineStr">
        <is>
          <t>Software Licenses</t>
        </is>
      </c>
      <c r="B18" s="47" t="inlineStr">
        <is>
          <t>Strands Agents Framework</t>
        </is>
      </c>
      <c r="C18" s="47" t="inlineStr">
        <is>
          <t>Open-source multi-agent framework for agent graph construction — Apache 2.0 license</t>
        </is>
      </c>
      <c r="D18" s="48" t="n">
        <v>0</v>
      </c>
      <c r="E18" s="47" t="inlineStr">
        <is>
          <t>Service/Month</t>
        </is>
      </c>
      <c r="F18" s="49" t="n">
        <v>0</v>
      </c>
      <c r="G18" s="49">
        <f>D18*F18*12</f>
        <v/>
      </c>
      <c r="H18" s="49">
        <f>G18</f>
        <v/>
      </c>
      <c r="I18" s="49">
        <f>G18</f>
        <v/>
      </c>
      <c r="J18" s="49">
        <f>G18+H18+I18</f>
        <v/>
      </c>
      <c r="K18" s="47" t="inlineStr">
        <is>
          <t>OSS — no licensing cost; packaged in ECR container image</t>
        </is>
      </c>
    </row>
    <row r="19" ht="26" customHeight="1">
      <c r="A19" s="42" t="inlineStr">
        <is>
          <t>Software Licenses</t>
        </is>
      </c>
      <c r="B19" s="43" t="inlineStr">
        <is>
          <t>pip-installable CLI Distribution</t>
        </is>
      </c>
      <c r="C19" s="43" t="inlineStr">
        <is>
          <t>PyPI distribution of 14-subcommand CLI; no hosting cost beyond existing infrastructure</t>
        </is>
      </c>
      <c r="D19" s="44" t="n">
        <v>0</v>
      </c>
      <c r="E19" s="43" t="inlineStr">
        <is>
          <t>Service/Month</t>
        </is>
      </c>
      <c r="F19" s="45" t="n">
        <v>0</v>
      </c>
      <c r="G19" s="45">
        <f>D19*F19*12</f>
        <v/>
      </c>
      <c r="H19" s="45">
        <f>G19</f>
        <v/>
      </c>
      <c r="I19" s="45">
        <f>G19</f>
        <v/>
      </c>
      <c r="J19" s="45">
        <f>G19+H19+I19</f>
        <v/>
      </c>
      <c r="K19" s="43" t="inlineStr">
        <is>
          <t>No additional cost; CLI auth via Cognito JWT already included</t>
        </is>
      </c>
    </row>
    <row r="20" ht="26" customHeight="1">
      <c r="A20" s="46" t="inlineStr">
        <is>
          <t>Connectivity</t>
        </is>
      </c>
      <c r="B20" s="47" t="inlineStr">
        <is>
          <t>AWS Direct Connect or VPN</t>
        </is>
      </c>
      <c r="C20" s="47" t="inlineStr">
        <is>
          <t>No dedicated circuit required; all access via public AWS endpoints and HTTPS</t>
        </is>
      </c>
      <c r="D20" s="48" t="n">
        <v>0</v>
      </c>
      <c r="E20" s="47" t="inlineStr">
        <is>
          <t>Circuit/Month</t>
        </is>
      </c>
      <c r="F20" s="49" t="n">
        <v>0</v>
      </c>
      <c r="G20" s="49">
        <f>D20*F20*12</f>
        <v/>
      </c>
      <c r="H20" s="49">
        <f>G20</f>
        <v/>
      </c>
      <c r="I20" s="49">
        <f>G20</f>
        <v/>
      </c>
      <c r="J20" s="49">
        <f>G20+H20+I20</f>
        <v/>
      </c>
      <c r="K20" s="47" t="inlineStr">
        <is>
          <t>Cloud-native architecture — no MPLS or WAN circuits needed</t>
        </is>
      </c>
    </row>
    <row r="21" ht="26" customHeight="1">
      <c r="A21" s="42" t="inlineStr">
        <is>
          <t>Support &amp; Maintenance</t>
        </is>
      </c>
      <c r="B21" s="43" t="inlineStr">
        <is>
          <t>AWS Business Support</t>
        </is>
      </c>
      <c r="C21" s="43" t="inlineStr">
        <is>
          <t>10% of monthly AWS spend; covers Lambda + Bedrock + AgentCore + DynamoDB + Cognito + S3 critical path</t>
        </is>
      </c>
      <c r="D21" s="44" t="n">
        <v>1</v>
      </c>
      <c r="E21" s="43" t="inlineStr">
        <is>
          <t>Service/Month</t>
        </is>
      </c>
      <c r="F21" s="45" t="n">
        <v>740</v>
      </c>
      <c r="G21" s="45">
        <f>D21*F21*12</f>
        <v/>
      </c>
      <c r="H21" s="45">
        <f>G21*1.2</f>
        <v/>
      </c>
      <c r="I21" s="45">
        <f>H21*1.2</f>
        <v/>
      </c>
      <c r="J21" s="45">
        <f>G21+H21+I21</f>
        <v/>
      </c>
      <c r="K21" s="43" t="inlineStr">
        <is>
          <t>AWS Business Support 10% of monthly bill; includes Trusted Advisor + TAM access</t>
        </is>
      </c>
    </row>
    <row r="22" ht="26" customHeight="1">
      <c r="A22" s="46" t="inlineStr">
        <is>
          <t>Facilities</t>
        </is>
      </c>
      <c r="B22" s="47" t="inlineStr">
        <is>
          <t>Data Center Facilities</t>
        </is>
      </c>
      <c r="C22" s="47" t="inlineStr">
        <is>
          <t>Cloud-only solution — no physical data center or rack space required</t>
        </is>
      </c>
      <c r="D22" s="48" t="n">
        <v>0</v>
      </c>
      <c r="E22" s="47" t="inlineStr">
        <is>
          <t>Service/Month</t>
        </is>
      </c>
      <c r="F22" s="49" t="n">
        <v>0</v>
      </c>
      <c r="G22" s="49">
        <f>D22*F22*12</f>
        <v/>
      </c>
      <c r="H22" s="49">
        <f>G22</f>
        <v/>
      </c>
      <c r="I22" s="49">
        <f>G22</f>
        <v/>
      </c>
      <c r="J22" s="49">
        <f>G22+H22+I22</f>
        <v/>
      </c>
      <c r="K22" s="47" t="inlineStr">
        <is>
          <t>Fully serverless AWS deployment in us-west-2 — no facilities cost</t>
        </is>
      </c>
    </row>
    <row r="23" ht="26" customHeight="1">
      <c r="A23" s="50" t="inlineStr">
        <is>
          <t>TOTAL</t>
        </is>
      </c>
      <c r="B23" s="51" t="n"/>
      <c r="C23" s="51" t="n"/>
      <c r="D23" s="51" t="n"/>
      <c r="E23" s="51" t="n"/>
      <c r="F23" s="51" t="n"/>
      <c r="G23" s="52">
        <f>SUM(G3:G22)</f>
        <v/>
      </c>
      <c r="H23" s="52">
        <f>SUM(H3:H22)</f>
        <v/>
      </c>
      <c r="I23" s="52">
        <f>SUM(I3:I22)</f>
        <v/>
      </c>
      <c r="J23" s="52">
        <f>SUM(J3:J22)</f>
        <v/>
      </c>
      <c r="K23" s="51" t="n"/>
    </row>
  </sheetData>
  <autoFilter ref="A2:K23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Category</t>
        </is>
      </c>
      <c r="B2" s="35" t="inlineStr">
        <is>
          <t>Credit Type</t>
        </is>
      </c>
      <c r="C2" s="35" t="inlineStr">
        <is>
          <t>Credit Amount</t>
        </is>
      </c>
      <c r="D2" s="35" t="inlineStr">
        <is>
          <t>Credit Comments</t>
        </is>
      </c>
    </row>
    <row r="3" ht="26" customHeight="1">
      <c r="A3" s="42" t="inlineStr">
        <is>
          <t>Hardware</t>
        </is>
      </c>
      <c r="B3" s="43" t="inlineStr">
        <is>
          <t>Equipment Credit</t>
        </is>
      </c>
      <c r="C3" s="45" t="n">
        <v>0</v>
      </c>
      <c r="D3" s="43" t="inlineStr">
        <is>
          <t>No hardware — fully cloud-native serverless architecture</t>
        </is>
      </c>
    </row>
    <row r="4" ht="26" customHeight="1">
      <c r="A4" s="46" t="inlineStr">
        <is>
          <t>Cloud Services</t>
        </is>
      </c>
      <c r="B4" s="47" t="inlineStr">
        <is>
          <t>AWS Activate Credit</t>
        </is>
      </c>
      <c r="C4" s="49" t="n">
        <v>-10000</v>
      </c>
      <c r="D4" s="47" t="inlineStr">
        <is>
          <t>AWS Activate portfolio credit applicable as net-new AWS workload in us-west-2</t>
        </is>
      </c>
    </row>
    <row r="5" ht="26" customHeight="1">
      <c r="A5" s="42" t="inlineStr">
        <is>
          <t>Cloud Services</t>
        </is>
      </c>
      <c r="B5" s="43" t="inlineStr">
        <is>
          <t>AWS MAP Credit</t>
        </is>
      </c>
      <c r="C5" s="45" t="n">
        <v>-15000</v>
      </c>
      <c r="D5" s="43" t="inlineStr">
        <is>
          <t>Migration Acceleration Program credit for migrating from manual on-premises workflow to AWS</t>
        </is>
      </c>
    </row>
    <row r="6" ht="26" customHeight="1">
      <c r="A6" s="46" t="inlineStr">
        <is>
          <t>Cloud Services</t>
        </is>
      </c>
      <c r="B6" s="47" t="inlineStr">
        <is>
          <t>Bedrock Early Adopter Credit</t>
        </is>
      </c>
      <c r="C6" s="49" t="n">
        <v>-5000</v>
      </c>
      <c r="D6" s="47" t="inlineStr">
        <is>
          <t>Amazon Bedrock AgentCore GA launch credit for early-adopter partners</t>
        </is>
      </c>
    </row>
    <row r="7" ht="26" customHeight="1">
      <c r="A7" s="42" t="inlineStr">
        <is>
          <t>Software Licenses</t>
        </is>
      </c>
      <c r="B7" s="43" t="inlineStr">
        <is>
          <t>Open Source Savings</t>
        </is>
      </c>
      <c r="C7" s="45" t="n">
        <v>0</v>
      </c>
      <c r="D7" s="43" t="inlineStr">
        <is>
          <t>Strands Agents and eof-tools are OSS — savings already reflected as $0 license lines</t>
        </is>
      </c>
    </row>
    <row r="8" ht="26" customHeight="1">
      <c r="A8" s="46" t="inlineStr">
        <is>
          <t>Connectivity</t>
        </is>
      </c>
      <c r="B8" s="47" t="inlineStr">
        <is>
          <t>Network Credit</t>
        </is>
      </c>
      <c r="C8" s="49" t="n">
        <v>0</v>
      </c>
      <c r="D8" s="47" t="inlineStr">
        <is>
          <t>No WAN circuits or connectivity credits applicable</t>
        </is>
      </c>
    </row>
    <row r="9" ht="26" customHeight="1">
      <c r="A9" s="42" t="inlineStr">
        <is>
          <t>Support &amp; Maintenance</t>
        </is>
      </c>
      <c r="B9" s="43" t="inlineStr">
        <is>
          <t>Support Discount</t>
        </is>
      </c>
      <c r="C9" s="45" t="n">
        <v>0</v>
      </c>
      <c r="D9" s="43" t="inlineStr">
        <is>
          <t>Standard Business Support rate — no volume discount at POC scale</t>
        </is>
      </c>
    </row>
    <row r="10" ht="26" customHeight="1">
      <c r="A10" s="46" t="inlineStr">
        <is>
          <t>Facilities</t>
        </is>
      </c>
      <c r="B10" s="47" t="inlineStr">
        <is>
          <t>Facilities Credit</t>
        </is>
      </c>
      <c r="C10" s="49" t="n">
        <v>0</v>
      </c>
      <c r="D10" s="47" t="inlineStr">
        <is>
          <t>No facilities costs (cloud-only deployment)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4" t="inlineStr">
        <is>
          <t>3-Year Summary</t>
        </is>
      </c>
    </row>
    <row r="2" ht="32" customHeight="1">
      <c r="A2" s="35" t="inlineStr">
        <is>
          <t>Category</t>
        </is>
      </c>
      <c r="B2" s="35" t="inlineStr">
        <is>
          <t>Year 1 List</t>
        </is>
      </c>
      <c r="C2" s="35" t="inlineStr">
        <is>
          <t>Year 1 Credits</t>
        </is>
      </c>
      <c r="D2" s="35" t="inlineStr">
        <is>
          <t>Year 1 Net</t>
        </is>
      </c>
      <c r="E2" s="35" t="inlineStr">
        <is>
          <t>Year 2</t>
        </is>
      </c>
      <c r="F2" s="35" t="inlineStr">
        <is>
          <t>Year 3</t>
        </is>
      </c>
      <c r="G2" s="35" t="inlineStr">
        <is>
          <t>3-Year Total</t>
        </is>
      </c>
    </row>
    <row r="3" ht="26" customHeight="1">
      <c r="A3" s="42" t="inlineStr">
        <is>
          <t>Hardware</t>
        </is>
      </c>
      <c r="B3" s="45">
        <f>SUMIF('Infrastructure Costs'!$A:$A,A3,'Infrastructure Costs'!$G:$G)</f>
        <v/>
      </c>
      <c r="C3" s="45">
        <f>SUMIF(Credits!$A:$A,A3,Credits!$C:$C)</f>
        <v/>
      </c>
      <c r="D3" s="45">
        <f>B3+C3</f>
        <v/>
      </c>
      <c r="E3" s="45">
        <f>SUMIF('Infrastructure Costs'!$A:$A,A3,'Infrastructure Costs'!$H:$H)</f>
        <v/>
      </c>
      <c r="F3" s="45">
        <f>SUMIF('Infrastructure Costs'!$A:$A,A3,'Infrastructure Costs'!$I:$I)</f>
        <v/>
      </c>
      <c r="G3" s="45">
        <f>D3+E3+F3</f>
        <v/>
      </c>
    </row>
    <row r="4" ht="26" customHeight="1">
      <c r="A4" s="46" t="inlineStr">
        <is>
          <t>Cloud Services</t>
        </is>
      </c>
      <c r="B4" s="49">
        <f>SUMIF('Infrastructure Costs'!$A:$A,A4,'Infrastructure Costs'!$G:$G)</f>
        <v/>
      </c>
      <c r="C4" s="49">
        <f>SUMIF(Credits!$A:$A,A4,Credits!$C:$C)</f>
        <v/>
      </c>
      <c r="D4" s="49">
        <f>B4+C4</f>
        <v/>
      </c>
      <c r="E4" s="49">
        <f>SUMIF('Infrastructure Costs'!$A:$A,A4,'Infrastructure Costs'!$H:$H)</f>
        <v/>
      </c>
      <c r="F4" s="49">
        <f>SUMIF('Infrastructure Costs'!$A:$A,A4,'Infrastructure Costs'!$I:$I)</f>
        <v/>
      </c>
      <c r="G4" s="49">
        <f>D4+E4+F4</f>
        <v/>
      </c>
    </row>
    <row r="5" ht="26" customHeight="1">
      <c r="A5" s="42" t="inlineStr">
        <is>
          <t>Software Licenses</t>
        </is>
      </c>
      <c r="B5" s="45">
        <f>SUMIF('Infrastructure Costs'!$A:$A,A5,'Infrastructure Costs'!$G:$G)</f>
        <v/>
      </c>
      <c r="C5" s="45">
        <f>SUMIF(Credits!$A:$A,A5,Credits!$C:$C)</f>
        <v/>
      </c>
      <c r="D5" s="45">
        <f>B5+C5</f>
        <v/>
      </c>
      <c r="E5" s="45">
        <f>SUMIF('Infrastructure Costs'!$A:$A,A5,'Infrastructure Costs'!$H:$H)</f>
        <v/>
      </c>
      <c r="F5" s="45">
        <f>SUMIF('Infrastructure Costs'!$A:$A,A5,'Infrastructure Costs'!$I:$I)</f>
        <v/>
      </c>
      <c r="G5" s="45">
        <f>D5+E5+F5</f>
        <v/>
      </c>
    </row>
    <row r="6" ht="26" customHeight="1">
      <c r="A6" s="46" t="inlineStr">
        <is>
          <t>Connectivity</t>
        </is>
      </c>
      <c r="B6" s="49">
        <f>SUMIF('Infrastructure Costs'!$A:$A,A6,'Infrastructure Costs'!$G:$G)</f>
        <v/>
      </c>
      <c r="C6" s="49">
        <f>SUMIF(Credits!$A:$A,A6,Credits!$C:$C)</f>
        <v/>
      </c>
      <c r="D6" s="49">
        <f>B6+C6</f>
        <v/>
      </c>
      <c r="E6" s="49">
        <f>SUMIF('Infrastructure Costs'!$A:$A,A6,'Infrastructure Costs'!$H:$H)</f>
        <v/>
      </c>
      <c r="F6" s="49">
        <f>SUMIF('Infrastructure Costs'!$A:$A,A6,'Infrastructure Costs'!$I:$I)</f>
        <v/>
      </c>
      <c r="G6" s="49">
        <f>D6+E6+F6</f>
        <v/>
      </c>
    </row>
    <row r="7" ht="26" customHeight="1">
      <c r="A7" s="42" t="inlineStr">
        <is>
          <t>Support &amp; Maintenance</t>
        </is>
      </c>
      <c r="B7" s="45">
        <f>SUMIF('Infrastructure Costs'!$A:$A,A7,'Infrastructure Costs'!$G:$G)</f>
        <v/>
      </c>
      <c r="C7" s="45">
        <f>SUMIF(Credits!$A:$A,A7,Credits!$C:$C)</f>
        <v/>
      </c>
      <c r="D7" s="45">
        <f>B7+C7</f>
        <v/>
      </c>
      <c r="E7" s="45">
        <f>SUMIF('Infrastructure Costs'!$A:$A,A7,'Infrastructure Costs'!$H:$H)</f>
        <v/>
      </c>
      <c r="F7" s="45">
        <f>SUMIF('Infrastructure Costs'!$A:$A,A7,'Infrastructure Costs'!$I:$I)</f>
        <v/>
      </c>
      <c r="G7" s="45">
        <f>D7+E7+F7</f>
        <v/>
      </c>
    </row>
    <row r="8" ht="26" customHeight="1">
      <c r="A8" s="46" t="inlineStr">
        <is>
          <t>Facilities</t>
        </is>
      </c>
      <c r="B8" s="49">
        <f>SUMIF('Infrastructure Costs'!$A:$A,A8,'Infrastructure Costs'!$G:$G)</f>
        <v/>
      </c>
      <c r="C8" s="49">
        <f>SUMIF(Credits!$A:$A,A8,Credits!$C:$C)</f>
        <v/>
      </c>
      <c r="D8" s="49">
        <f>B8+C8</f>
        <v/>
      </c>
      <c r="E8" s="49">
        <f>SUMIF('Infrastructure Costs'!$A:$A,A8,'Infrastructure Costs'!$H:$H)</f>
        <v/>
      </c>
      <c r="F8" s="49">
        <f>SUMIF('Infrastructure Costs'!$A:$A,A8,'Infrastructure Costs'!$I:$I)</f>
        <v/>
      </c>
      <c r="G8" s="49">
        <f>D8+E8+F8</f>
        <v/>
      </c>
    </row>
    <row r="9" ht="26" customHeight="1">
      <c r="A9" s="50" t="inlineStr">
        <is>
          <t>TOTAL</t>
        </is>
      </c>
      <c r="B9" s="52">
        <f>SUM(B3:B8)</f>
        <v/>
      </c>
      <c r="C9" s="52">
        <f>SUM(C3:C8)</f>
        <v/>
      </c>
      <c r="D9" s="52">
        <f>SUM(D3:D8)</f>
        <v/>
      </c>
      <c r="E9" s="52">
        <f>SUM(E3:E8)</f>
        <v/>
      </c>
      <c r="F9" s="52">
        <f>SUM(F3:F8)</f>
        <v/>
      </c>
      <c r="G9" s="52">
        <f>SUM(G3:G8)</f>
        <v/>
      </c>
    </row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2026-06-05T15:23:39Z</dcterms:modified>
  <cp:lastModifiedBy>Kishan Siram</cp:lastModifiedBy>
</cp:coreProperties>
</file>