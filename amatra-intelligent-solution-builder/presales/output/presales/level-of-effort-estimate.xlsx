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Assumptions'!$A$2:$G$11</definedName>
    <definedName name="_xlnm._FilterDatabase" localSheetId="2" hidden="1">'Estimate Settings'!$A$2:$D$7</definedName>
    <definedName name="_xlnm._FilterDatabase" localSheetId="3" hidden="1">'LOE'!$A$2:$K$57</definedName>
    <definedName name="_xlnm._FilterDatabase" localSheetId="4" hidden="1">'Credits'!$A$2:$C$6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4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right" vertical="center" wrapText="1"/>
    </xf>
    <xf numFmtId="0" fontId="17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left" vertical="center" wrapText="1" indent="1"/>
    </xf>
    <xf numFmtId="0" fontId="17" fillId="11" borderId="5" applyAlignment="1" pivotButton="0" quotePrefix="0" xfId="0">
      <alignment horizontal="left" vertical="center" wrapText="1" indent="1"/>
    </xf>
    <xf numFmtId="3" fontId="17" fillId="11" borderId="5" applyAlignment="1" pivotButton="0" quotePrefix="0" xfId="0">
      <alignment horizontal="right" vertical="center" wrapText="1"/>
    </xf>
    <xf numFmtId="165" fontId="17" fillId="11" borderId="5" applyAlignment="1" pivotButton="0" quotePrefix="0" xfId="0">
      <alignment horizontal="center" vertical="center" wrapText="1"/>
    </xf>
    <xf numFmtId="166" fontId="17" fillId="11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left" vertical="center" wrapText="1"/>
    </xf>
    <xf numFmtId="166" fontId="4" fillId="5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Level of Effort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05, 2026</t>
        </is>
      </c>
    </row>
    <row r="6" ht="18" customHeight="1">
      <c r="B6" s="2" t="inlineStr">
        <is>
          <t>Solution:</t>
        </is>
      </c>
      <c r="C6" s="3" t="inlineStr">
        <is>
          <t>Tmpoorv_975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34" t="inlineStr">
        <is>
          <t>SCOPE ASSUMPTIONS</t>
        </is>
      </c>
    </row>
    <row r="2" ht="32" customHeight="1">
      <c r="A2" s="35" t="inlineStr">
        <is>
          <t>Category</t>
        </is>
      </c>
      <c r="B2" s="35" t="inlineStr">
        <is>
          <t>Baseline Assumption</t>
        </is>
      </c>
      <c r="C2" s="35" t="inlineStr">
        <is>
          <t>Current Scope</t>
        </is>
      </c>
      <c r="D2" s="35" t="inlineStr">
        <is>
          <t>Small (1x)</t>
        </is>
      </c>
      <c r="E2" s="35" t="inlineStr">
        <is>
          <t>Medium (2x)</t>
        </is>
      </c>
      <c r="F2" s="35" t="inlineStr">
        <is>
          <t>Large (3x)</t>
        </is>
      </c>
      <c r="G2" s="35" t="inlineStr">
        <is>
          <t>Notes</t>
        </is>
      </c>
    </row>
    <row r="3" ht="26" customHeight="1">
      <c r="A3" s="36" t="inlineStr">
        <is>
          <t>Users / Consultants</t>
        </is>
      </c>
      <c r="B3" s="37" t="inlineStr">
        <is>
          <t>Single team of 5-10 consultants</t>
        </is>
      </c>
      <c r="C3" s="38" t="inlineStr">
        <is>
          <t>~120 consultants (US &amp; CA)</t>
        </is>
      </c>
      <c r="D3" s="37" t="inlineStr">
        <is>
          <t>Up to 10 users</t>
        </is>
      </c>
      <c r="E3" s="37" t="inlineStr">
        <is>
          <t>10-50 users</t>
        </is>
      </c>
      <c r="F3" s="37" t="inlineStr">
        <is>
          <t>50+ users</t>
        </is>
      </c>
      <c r="G3" s="37" t="inlineStr">
        <is>
          <t>PREDICTif has 120 distributed consultants needing concurrent access</t>
        </is>
      </c>
    </row>
    <row r="4" ht="26" customHeight="1">
      <c r="A4" s="39" t="inlineStr">
        <is>
          <t>Regions / Geographies</t>
        </is>
      </c>
      <c r="B4" s="40" t="inlineStr">
        <is>
          <t>Single AWS region</t>
        </is>
      </c>
      <c r="C4" s="38" t="inlineStr">
        <is>
          <t>us-west-2 (primary; isolated from us-east-1 workloads)</t>
        </is>
      </c>
      <c r="D4" s="40" t="inlineStr">
        <is>
          <t>1 region</t>
        </is>
      </c>
      <c r="E4" s="40" t="inlineStr">
        <is>
          <t>2 regions</t>
        </is>
      </c>
      <c r="F4" s="40" t="inlineStr">
        <is>
          <t>3+ regions</t>
        </is>
      </c>
      <c r="G4" s="40" t="inlineStr">
        <is>
          <t>Fresh footprint in us-west-2 to isolate PoC blast radius</t>
        </is>
      </c>
    </row>
    <row r="5" ht="26" customHeight="1">
      <c r="A5" s="36" t="inlineStr">
        <is>
          <t>AI Agents / Pipelines</t>
        </is>
      </c>
      <c r="B5" s="37" t="inlineStr">
        <is>
          <t>Single agent workflow</t>
        </is>
      </c>
      <c r="C5" s="38" t="inlineStr">
        <is>
          <t>5 agents per solution (Input Validator + 4 generators)</t>
        </is>
      </c>
      <c r="D5" s="37" t="inlineStr">
        <is>
          <t>1-2 agents</t>
        </is>
      </c>
      <c r="E5" s="37" t="inlineStr">
        <is>
          <t>3-4 agents</t>
        </is>
      </c>
      <c r="F5" s="37" t="inlineStr">
        <is>
          <t>5+ agents</t>
        </is>
      </c>
      <c r="G5" s="37" t="inlineStr">
        <is>
          <t>Input Validator; Pre-Sales; Delivery; Code; EO Validator agents</t>
        </is>
      </c>
    </row>
    <row r="6" ht="26" customHeight="1">
      <c r="A6" s="39" t="inlineStr">
        <is>
          <t>Artifacts per Solution</t>
        </is>
      </c>
      <c r="B6" s="40" t="inlineStr">
        <is>
          <t>3 artifacts</t>
        </is>
      </c>
      <c r="C6" s="38" t="inlineStr">
        <is>
          <t>12 artifacts (5 presales + 6 delivery + 1 automation bundle)</t>
        </is>
      </c>
      <c r="D6" s="40" t="inlineStr">
        <is>
          <t>Up to 5</t>
        </is>
      </c>
      <c r="E6" s="40" t="inlineStr">
        <is>
          <t>6-9</t>
        </is>
      </c>
      <c r="F6" s="40" t="inlineStr">
        <is>
          <t>10-12</t>
        </is>
      </c>
      <c r="G6" s="40" t="inlineStr">
        <is>
          <t>Full bundle: DOCX + PPTX + XLSX + Terraform IaC per solution</t>
        </is>
      </c>
    </row>
    <row r="7" ht="26" customHeight="1">
      <c r="A7" s="36" t="inlineStr">
        <is>
          <t>Integration Points</t>
        </is>
      </c>
      <c r="B7" s="37" t="inlineStr">
        <is>
          <t>1 integration</t>
        </is>
      </c>
      <c r="C7" s="38" t="inlineStr">
        <is>
          <t>5 integrations (Bedrock; Cognito; DynamoDB; S3; GitHub)</t>
        </is>
      </c>
      <c r="D7" s="37" t="inlineStr">
        <is>
          <t>1-2</t>
        </is>
      </c>
      <c r="E7" s="37" t="inlineStr">
        <is>
          <t>3-4</t>
        </is>
      </c>
      <c r="F7" s="37" t="inlineStr">
        <is>
          <t>5+</t>
        </is>
      </c>
      <c r="G7" s="37" t="inlineStr">
        <is>
          <t>API Gateway HTTP v2; Lambda; Cognito; DynamoDB; GitHub PAT; S3</t>
        </is>
      </c>
    </row>
    <row r="8" ht="26" customHeight="1">
      <c r="A8" s="39" t="inlineStr">
        <is>
          <t>Environments</t>
        </is>
      </c>
      <c r="B8" s="40" t="inlineStr">
        <is>
          <t>Dev only</t>
        </is>
      </c>
      <c r="C8" s="38" t="inlineStr">
        <is>
          <t>3 environments (dev / staging / prod)</t>
        </is>
      </c>
      <c r="D8" s="40" t="inlineStr">
        <is>
          <t>1 (dev)</t>
        </is>
      </c>
      <c r="E8" s="40" t="inlineStr">
        <is>
          <t>2 (dev + staging)</t>
        </is>
      </c>
      <c r="F8" s="40" t="inlineStr">
        <is>
          <t>3 (dev + staging + prod)</t>
        </is>
      </c>
      <c r="G8" s="40" t="inlineStr">
        <is>
          <t>Prod requires CTO sign-off and Cognito User Pool review</t>
        </is>
      </c>
    </row>
    <row r="9" ht="26" customHeight="1">
      <c r="A9" s="36" t="inlineStr">
        <is>
          <t>Compliance / Governance</t>
        </is>
      </c>
      <c r="B9" s="37" t="inlineStr">
        <is>
          <t>No quota enforcement</t>
        </is>
      </c>
      <c r="C9" s="38" t="inlineStr">
        <is>
          <t>Per-user monthly quotas + global pool (1000 sol/mo)</t>
        </is>
      </c>
      <c r="D9" s="37" t="inlineStr">
        <is>
          <t>None</t>
        </is>
      </c>
      <c r="E9" s="37" t="inlineStr">
        <is>
          <t>Per-user only</t>
        </is>
      </c>
      <c r="F9" s="37" t="inlineStr">
        <is>
          <t>Per-user (10/mo) + global (1000/mo), atomic DynamoDB enforcement</t>
        </is>
      </c>
      <c r="G9" s="37" t="inlineStr"/>
    </row>
    <row r="10" ht="26" customHeight="1">
      <c r="A10" s="39" t="inlineStr">
        <is>
          <t>Monthly Solution Throughput</t>
        </is>
      </c>
      <c r="B10" s="40" t="inlineStr">
        <is>
          <t>Ad hoc (manual)</t>
        </is>
      </c>
      <c r="C10" s="38" t="inlineStr">
        <is>
          <t>200 solutions/month steady-state target</t>
        </is>
      </c>
      <c r="D10" s="40" t="inlineStr">
        <is>
          <t>&lt;10/mo</t>
        </is>
      </c>
      <c r="E10" s="40" t="inlineStr">
        <is>
          <t>10-100/mo</t>
        </is>
      </c>
      <c r="F10" s="40" t="inlineStr">
        <is>
          <t>100-1000+/mo</t>
        </is>
      </c>
      <c r="G10" s="40" t="inlineStr">
        <is>
          <t>Platform must scale linearly; per-solution target &lt;$5 Bedrock spend</t>
        </is>
      </c>
    </row>
    <row r="11" ht="26" customHeight="1">
      <c r="A11" s="36" t="inlineStr">
        <is>
          <t>SLA / Availability Target</t>
        </is>
      </c>
      <c r="B11" s="37" t="inlineStr">
        <is>
          <t>Best effort</t>
        </is>
      </c>
      <c r="C11" s="38" t="inlineStr">
        <is>
          <t>End-to-end in under 1 hour; PoC live by end of April 2026</t>
        </is>
      </c>
      <c r="D11" s="37" t="inlineStr">
        <is>
          <t>Best effort</t>
        </is>
      </c>
      <c r="E11" s="37" t="inlineStr">
        <is>
          <t>99% uptime</t>
        </is>
      </c>
      <c r="F11" s="37" t="inlineStr">
        <is>
          <t>99.9% uptime</t>
        </is>
      </c>
      <c r="G11" s="37" t="inlineStr">
        <is>
          <t>Hard deadline: Q2 2026 executive sponsor demo</t>
        </is>
      </c>
    </row>
  </sheetData>
  <autoFilter ref="A2:G11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80" customWidth="1" min="4" max="4"/>
  </cols>
  <sheetData>
    <row r="1" ht="32" customHeight="1">
      <c r="A1" s="34" t="inlineStr">
        <is>
          <t>ESTIMATE SETTINGS</t>
        </is>
      </c>
    </row>
    <row r="2" ht="32" customHeight="1">
      <c r="A2" s="35" t="inlineStr">
        <is>
          <t>Phase</t>
        </is>
      </c>
      <c r="B2" s="35" t="inlineStr">
        <is>
          <t>Variable Name</t>
        </is>
      </c>
      <c r="C2" s="35" t="inlineStr">
        <is>
          <t>Multiplier</t>
        </is>
      </c>
      <c r="D2" s="35" t="inlineStr">
        <is>
          <t>Description / Applies To Tasks</t>
        </is>
      </c>
    </row>
    <row r="3" ht="26" customHeight="1">
      <c r="A3" s="36" t="inlineStr">
        <is>
          <t>Discovery</t>
        </is>
      </c>
      <c r="B3" s="37" t="inlineStr">
        <is>
          <t>discovery_factor</t>
        </is>
      </c>
      <c r="C3" s="41" t="n">
        <v>1</v>
      </c>
      <c r="D3" s="37" t="inlineStr">
        <is>
          <t>Baseline stakeholder interviews; requirements gathering; current-state review of legacy CLI workflow</t>
        </is>
      </c>
    </row>
    <row r="4" ht="26" customHeight="1">
      <c r="A4" s="39" t="inlineStr">
        <is>
          <t>Planning</t>
        </is>
      </c>
      <c r="B4" s="40" t="inlineStr">
        <is>
          <t>planning_factor</t>
        </is>
      </c>
      <c r="C4" s="42" t="n">
        <v>1.2</v>
      </c>
      <c r="D4" s="40" t="inlineStr">
        <is>
          <t>Elevated for multi-agent graph design; AWS AgentCore + Strands framework; Cognito + API Gateway architecture planning</t>
        </is>
      </c>
    </row>
    <row r="5" ht="26" customHeight="1">
      <c r="A5" s="36" t="inlineStr">
        <is>
          <t>Development</t>
        </is>
      </c>
      <c r="B5" s="37" t="inlineStr">
        <is>
          <t>development_factor</t>
        </is>
      </c>
      <c r="C5" s="41" t="n">
        <v>1.3</v>
      </c>
      <c r="D5" s="37" t="inlineStr">
        <is>
          <t>Elevated for 5-agent pipeline; 14-subcommand CLI; 11 Lambda routes; eof-tools container integration; Terraform IaC</t>
        </is>
      </c>
    </row>
    <row r="6" ht="26" customHeight="1">
      <c r="A6" s="39" t="inlineStr">
        <is>
          <t>Testing</t>
        </is>
      </c>
      <c r="B6" s="40" t="inlineStr">
        <is>
          <t>testing_factor</t>
        </is>
      </c>
      <c r="C6" s="42" t="n">
        <v>1.1</v>
      </c>
      <c r="D6" s="40" t="inlineStr">
        <is>
          <t>Covers format-check + LLM quality-check validation loops; Terraform validate gate; 12 artifact type coverage</t>
        </is>
      </c>
    </row>
    <row r="7" ht="26" customHeight="1">
      <c r="A7" s="36" t="inlineStr">
        <is>
          <t>Deployment</t>
        </is>
      </c>
      <c r="B7" s="37" t="inlineStr">
        <is>
          <t>deployment_factor</t>
        </is>
      </c>
      <c r="C7" s="41" t="n">
        <v>1</v>
      </c>
      <c r="D7" s="37" t="inlineStr">
        <is>
          <t>Baseline for production deployment; GitHub integration; hypercare; knowledge transfer</t>
        </is>
      </c>
    </row>
    <row r="9" ht="20" customHeight="1">
      <c r="A9" s="43" t="inlineStr">
        <is>
          <t>EO Sales Engineer Updates Multipliers Based on Customer Scope</t>
        </is>
      </c>
    </row>
  </sheetData>
  <autoFilter ref="A2:D7"/>
  <mergeCells count="2">
    <mergeCell ref="A1:D1"/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4" t="inlineStr">
        <is>
          <t>LEVEL OF EFFORT</t>
        </is>
      </c>
    </row>
    <row r="2" ht="32" customHeight="1">
      <c r="A2" s="35" t="inlineStr">
        <is>
          <t>Phase</t>
        </is>
      </c>
      <c r="B2" s="35" t="inlineStr">
        <is>
          <t>Work Package</t>
        </is>
      </c>
      <c r="C2" s="35" t="inlineStr">
        <is>
          <t>Task Description</t>
        </is>
      </c>
      <c r="D2" s="35" t="inlineStr">
        <is>
          <t>Resource Type</t>
        </is>
      </c>
      <c r="E2" s="35" t="inlineStr">
        <is>
          <t>Base Hours</t>
        </is>
      </c>
      <c r="F2" s="35" t="inlineStr">
        <is>
          <t>Effort Multiplier</t>
        </is>
      </c>
      <c r="G2" s="35" t="inlineStr">
        <is>
          <t>Actual Hours</t>
        </is>
      </c>
      <c r="H2" s="35" t="inlineStr">
        <is>
          <t>Rate</t>
        </is>
      </c>
      <c r="I2" s="35" t="inlineStr">
        <is>
          <t>Cost Estimate</t>
        </is>
      </c>
      <c r="J2" s="35" t="inlineStr">
        <is>
          <t>Dependencies</t>
        </is>
      </c>
      <c r="K2" s="35" t="inlineStr">
        <is>
          <t>Notes</t>
        </is>
      </c>
    </row>
    <row r="3" ht="26" customHeight="1">
      <c r="A3" s="44" t="inlineStr">
        <is>
          <t>Discovery</t>
        </is>
      </c>
      <c r="B3" s="45" t="inlineStr">
        <is>
          <t>Project Kickoff</t>
        </is>
      </c>
      <c r="C3" s="45" t="inlineStr">
        <is>
          <t>Project kickoff meeting with Sarah Lin (CRO) and Marcus Patel (Dir Pre-Sales); agenda and minutes</t>
        </is>
      </c>
      <c r="D3" s="45" t="inlineStr">
        <is>
          <t>Project Manager</t>
        </is>
      </c>
      <c r="E3" s="46" t="n">
        <v>8</v>
      </c>
      <c r="F3" s="47" t="n">
        <v>1</v>
      </c>
      <c r="G3" s="46" t="n">
        <v>8</v>
      </c>
      <c r="H3" s="48" t="n">
        <v>175</v>
      </c>
      <c r="I3" s="49">
        <f>TEXT(8*175,"$#,##0")</f>
        <v/>
      </c>
      <c r="J3" s="45" t="inlineStr">
        <is>
          <t>None</t>
        </is>
      </c>
      <c r="K3" s="45" t="inlineStr">
        <is>
          <t>Include CTO briefing on Cognito User Pool scope</t>
        </is>
      </c>
    </row>
    <row r="4" ht="26" customHeight="1">
      <c r="A4" s="50" t="inlineStr">
        <is>
          <t>Discovery</t>
        </is>
      </c>
      <c r="B4" s="51" t="inlineStr">
        <is>
          <t>Current State Assessment</t>
        </is>
      </c>
      <c r="C4" s="51" t="inlineStr">
        <is>
          <t>Document legacy CLI workflow: Claude Code CLI; OneDrive storage; manual GitHub push; 6-10 hr/engagement baseline</t>
        </is>
      </c>
      <c r="D4" s="51" t="inlineStr">
        <is>
          <t>Solution Architect</t>
        </is>
      </c>
      <c r="E4" s="52" t="n">
        <v>16</v>
      </c>
      <c r="F4" s="53" t="n">
        <v>1</v>
      </c>
      <c r="G4" s="52" t="n">
        <v>16</v>
      </c>
      <c r="H4" s="54" t="n">
        <v>225</v>
      </c>
      <c r="I4" s="55">
        <f>TEXT(16*225,"$#,##0")</f>
        <v/>
      </c>
      <c r="J4" s="51" t="inlineStr">
        <is>
          <t>Kickoff</t>
        </is>
      </c>
      <c r="K4" s="51" t="inlineStr">
        <is>
          <t>Baseline for 90% effort-reduction KPI</t>
        </is>
      </c>
    </row>
    <row r="5" ht="26" customHeight="1">
      <c r="A5" s="44" t="inlineStr">
        <is>
          <t>Discovery</t>
        </is>
      </c>
      <c r="B5" s="45" t="inlineStr">
        <is>
          <t>Requirements Gathering</t>
        </is>
      </c>
      <c r="C5" s="45" t="inlineStr">
        <is>
          <t>Stakeholder interviews: Marcus Patel (technical); Daniel Park (delivery ops); CTO (Cognito sign-off); budget owner</t>
        </is>
      </c>
      <c r="D5" s="45" t="inlineStr">
        <is>
          <t>Solution Architect</t>
        </is>
      </c>
      <c r="E5" s="46" t="n">
        <v>24</v>
      </c>
      <c r="F5" s="47" t="n">
        <v>1</v>
      </c>
      <c r="G5" s="46" t="n">
        <v>24</v>
      </c>
      <c r="H5" s="48" t="n">
        <v>225</v>
      </c>
      <c r="I5" s="49">
        <f>TEXT(24*225,"$#,##0")</f>
        <v/>
      </c>
      <c r="J5" s="45" t="inlineStr">
        <is>
          <t>Current State Assessment</t>
        </is>
      </c>
      <c r="K5" s="45" t="inlineStr">
        <is>
          <t>Capture all 14 CLI subcommands and 11 API routes</t>
        </is>
      </c>
    </row>
    <row r="6" ht="26" customHeight="1">
      <c r="A6" s="50" t="inlineStr">
        <is>
          <t>Discovery</t>
        </is>
      </c>
      <c r="B6" s="51" t="inlineStr">
        <is>
          <t>Architecture Feasibility</t>
        </is>
      </c>
      <c r="C6" s="51" t="inlineStr">
        <is>
          <t>Assess Bedrock AgentCore Runtime; Strands Agents framework; Claude Sonnet 4.6 + Haiku 4.5 model selection</t>
        </is>
      </c>
      <c r="D6" s="51" t="inlineStr">
        <is>
          <t>Solution Architect</t>
        </is>
      </c>
      <c r="E6" s="52" t="n">
        <v>24</v>
      </c>
      <c r="F6" s="53" t="n">
        <v>1</v>
      </c>
      <c r="G6" s="52" t="n">
        <v>24</v>
      </c>
      <c r="H6" s="54" t="n">
        <v>225</v>
      </c>
      <c r="I6" s="55">
        <f>TEXT(24*225,"$#,##0")</f>
        <v/>
      </c>
      <c r="J6" s="51" t="inlineStr">
        <is>
          <t>Requirements Gathering</t>
        </is>
      </c>
      <c r="K6" s="51" t="inlineStr">
        <is>
          <t>Validate AgentCore Runtime GA availability in us-west-2</t>
        </is>
      </c>
    </row>
    <row r="7" ht="26" customHeight="1">
      <c r="A7" s="44" t="inlineStr">
        <is>
          <t>Discovery</t>
        </is>
      </c>
      <c r="B7" s="45" t="inlineStr">
        <is>
          <t>Gap Analysis</t>
        </is>
      </c>
      <c r="C7" s="45" t="inlineStr">
        <is>
          <t>Identify gaps: no central orchestration; no audit trail; no quota enforcement; no automated retry in legacy system</t>
        </is>
      </c>
      <c r="D7" s="45" t="inlineStr">
        <is>
          <t>Solutions Engineer</t>
        </is>
      </c>
      <c r="E7" s="46" t="n">
        <v>16</v>
      </c>
      <c r="F7" s="47" t="n">
        <v>1</v>
      </c>
      <c r="G7" s="46" t="n">
        <v>16</v>
      </c>
      <c r="H7" s="48" t="n">
        <v>200</v>
      </c>
      <c r="I7" s="49">
        <f>TEXT(16*200,"$#,##0")</f>
        <v/>
      </c>
      <c r="J7" s="45" t="inlineStr">
        <is>
          <t>Current State Assessment</t>
        </is>
      </c>
      <c r="K7" s="45" t="inlineStr">
        <is>
          <t>Map gaps to Phase 1-3 delivery milestones</t>
        </is>
      </c>
    </row>
    <row r="8" ht="26" customHeight="1">
      <c r="A8" s="50" t="inlineStr">
        <is>
          <t>Discovery</t>
        </is>
      </c>
      <c r="B8" s="51" t="inlineStr">
        <is>
          <t>Cloud Readiness Assessment</t>
        </is>
      </c>
      <c r="C8" s="51" t="inlineStr">
        <is>
          <t>Review existing us-east-1 AWS account; plan fresh us-west-2 footprint; IAM boundary design; blast-radius analysis</t>
        </is>
      </c>
      <c r="D8" s="51" t="inlineStr">
        <is>
          <t>Cloud Engineer</t>
        </is>
      </c>
      <c r="E8" s="52" t="n">
        <v>16</v>
      </c>
      <c r="F8" s="53" t="n">
        <v>1</v>
      </c>
      <c r="G8" s="52" t="n">
        <v>16</v>
      </c>
      <c r="H8" s="54" t="n">
        <v>200</v>
      </c>
      <c r="I8" s="55">
        <f>TEXT(16*200,"$#,##0")</f>
        <v/>
      </c>
      <c r="J8" s="51" t="inlineStr">
        <is>
          <t>Architecture Feasibility</t>
        </is>
      </c>
      <c r="K8" s="51" t="inlineStr">
        <is>
          <t>Confirm procurement trigger if new spend exceeds existing envelope</t>
        </is>
      </c>
    </row>
    <row r="9" ht="26" customHeight="1">
      <c r="A9" s="44" t="inlineStr">
        <is>
          <t>Discovery</t>
        </is>
      </c>
      <c r="B9" s="45" t="inlineStr">
        <is>
          <t>Risk Assessment</t>
        </is>
      </c>
      <c r="C9" s="45" t="inlineStr">
        <is>
          <t>Identify top risks: hard April deadline; Cognito CTO sign-off; Bedrock quota limits; GitHub PAT rotation; eof-tools compatibility</t>
        </is>
      </c>
      <c r="D9" s="45" t="inlineStr">
        <is>
          <t>Project Manager</t>
        </is>
      </c>
      <c r="E9" s="46" t="n">
        <v>8</v>
      </c>
      <c r="F9" s="47" t="n">
        <v>1</v>
      </c>
      <c r="G9" s="46" t="n">
        <v>8</v>
      </c>
      <c r="H9" s="48" t="n">
        <v>175</v>
      </c>
      <c r="I9" s="49">
        <f>TEXT(8*175,"$#,##0")</f>
        <v/>
      </c>
      <c r="J9" s="45" t="inlineStr">
        <is>
          <t>Gap Analysis</t>
        </is>
      </c>
      <c r="K9" s="45" t="inlineStr">
        <is>
          <t>Risk register feeds Phase 3 contingency buffer</t>
        </is>
      </c>
    </row>
    <row r="10" ht="26" customHeight="1">
      <c r="A10" s="50" t="inlineStr">
        <is>
          <t>Discovery</t>
        </is>
      </c>
      <c r="B10" s="51" t="inlineStr">
        <is>
          <t>Assessment Report</t>
        </is>
      </c>
      <c r="C10" s="51" t="inlineStr">
        <is>
          <t>Document findings; recommended architecture; phased delivery plan aligned to 12-week schedule</t>
        </is>
      </c>
      <c r="D10" s="51" t="inlineStr">
        <is>
          <t>Technical Writer</t>
        </is>
      </c>
      <c r="E10" s="52" t="n">
        <v>16</v>
      </c>
      <c r="F10" s="53" t="n">
        <v>1</v>
      </c>
      <c r="G10" s="52" t="n">
        <v>16</v>
      </c>
      <c r="H10" s="54" t="n">
        <v>125</v>
      </c>
      <c r="I10" s="55">
        <f>TEXT(16*125,"$#,##0")</f>
        <v/>
      </c>
      <c r="J10" s="51" t="inlineStr">
        <is>
          <t>Risk Assessment</t>
        </is>
      </c>
      <c r="K10" s="51" t="inlineStr">
        <is>
          <t>Distribute to Sarah Lin; Marcus Patel; Daniel Park</t>
        </is>
      </c>
    </row>
    <row r="11" ht="26" customHeight="1">
      <c r="A11" s="44" t="inlineStr">
        <is>
          <t>Planning</t>
        </is>
      </c>
      <c r="B11" s="45" t="inlineStr">
        <is>
          <t>Detailed Architecture Design</t>
        </is>
      </c>
      <c r="C11" s="45" t="inlineStr">
        <is>
          <t>Multi-agent graph design: Agent 0 (Input Validator); Pre-Sales Generator; Delivery Generator; Code Generator; EO Validator</t>
        </is>
      </c>
      <c r="D11" s="45" t="inlineStr">
        <is>
          <t>Solution Architect</t>
        </is>
      </c>
      <c r="E11" s="46" t="n">
        <v>40</v>
      </c>
      <c r="F11" s="47" t="n">
        <v>1.2</v>
      </c>
      <c r="G11" s="46" t="n">
        <v>48</v>
      </c>
      <c r="H11" s="48" t="n">
        <v>225</v>
      </c>
      <c r="I11" s="49">
        <f>TEXT(48*225,"$#,##0")</f>
        <v/>
      </c>
      <c r="J11" s="45" t="inlineStr">
        <is>
          <t>Assessment Report</t>
        </is>
      </c>
      <c r="K11" s="45" t="inlineStr">
        <is>
          <t>Strands agent-graph topology; inter-agent message contracts</t>
        </is>
      </c>
    </row>
    <row r="12" ht="26" customHeight="1">
      <c r="A12" s="50" t="inlineStr">
        <is>
          <t>Planning</t>
        </is>
      </c>
      <c r="B12" s="51" t="inlineStr">
        <is>
          <t>AWS Landing Zone Setup</t>
        </is>
      </c>
      <c r="C12" s="51" t="inlineStr">
        <is>
          <t>us-west-2 account structure: VPC; IAM roles; S3 bucket policies; CloudTrail; Cost Allocation Tags; resource boundaries</t>
        </is>
      </c>
      <c r="D12" s="51" t="inlineStr">
        <is>
          <t>Cloud Engineer</t>
        </is>
      </c>
      <c r="E12" s="52" t="n">
        <v>32</v>
      </c>
      <c r="F12" s="53" t="n">
        <v>1.2</v>
      </c>
      <c r="G12" s="52" t="n">
        <v>38</v>
      </c>
      <c r="H12" s="54" t="n">
        <v>200</v>
      </c>
      <c r="I12" s="55">
        <f>TEXT(38*200,"$#,##0")</f>
        <v/>
      </c>
      <c r="J12" s="51" t="inlineStr">
        <is>
          <t>Detailed Architecture Design</t>
        </is>
      </c>
      <c r="K12" s="51" t="inlineStr">
        <is>
          <t>Isolated from us-east-1 managed-services workloads</t>
        </is>
      </c>
    </row>
    <row r="13" ht="26" customHeight="1">
      <c r="A13" s="44" t="inlineStr">
        <is>
          <t>Planning</t>
        </is>
      </c>
      <c r="B13" s="45" t="inlineStr">
        <is>
          <t>Cognito User Pool Design</t>
        </is>
      </c>
      <c r="C13" s="45" t="inlineStr">
        <is>
          <t>Amazon Cognito User Pool: 30-day refresh tokens; post-confirmation trigger Lambda; DynamoDB user profile eager-write</t>
        </is>
      </c>
      <c r="D13" s="45" t="inlineStr">
        <is>
          <t>Security Engineer</t>
        </is>
      </c>
      <c r="E13" s="46" t="n">
        <v>24</v>
      </c>
      <c r="F13" s="47" t="n">
        <v>1.2</v>
      </c>
      <c r="G13" s="46" t="n">
        <v>29</v>
      </c>
      <c r="H13" s="48" t="n">
        <v>200</v>
      </c>
      <c r="I13" s="49">
        <f>TEXT(29*200,"$#,##0")</f>
        <v/>
      </c>
      <c r="J13" s="45" t="inlineStr">
        <is>
          <t>AWS Landing Zone Setup</t>
        </is>
      </c>
      <c r="K13" s="45" t="inlineStr">
        <is>
          <t>CTO sign-off gate before implementation</t>
        </is>
      </c>
    </row>
    <row r="14" ht="26" customHeight="1">
      <c r="A14" s="50" t="inlineStr">
        <is>
          <t>Planning</t>
        </is>
      </c>
      <c r="B14" s="51" t="inlineStr">
        <is>
          <t>API Gateway &amp; Lambda Design</t>
        </is>
      </c>
      <c r="C14" s="51" t="inlineStr">
        <is>
          <t>HTTP API v2: 11 routes; JWT authoriser; Lambda proxy integrations; per-route throttling; per-user quota enforcement</t>
        </is>
      </c>
      <c r="D14" s="51" t="inlineStr">
        <is>
          <t>Solutions Engineer</t>
        </is>
      </c>
      <c r="E14" s="52" t="n">
        <v>32</v>
      </c>
      <c r="F14" s="53" t="n">
        <v>1.2</v>
      </c>
      <c r="G14" s="52" t="n">
        <v>38</v>
      </c>
      <c r="H14" s="54" t="n">
        <v>200</v>
      </c>
      <c r="I14" s="55">
        <f>TEXT(38*200,"$#,##0")</f>
        <v/>
      </c>
      <c r="J14" s="51" t="inlineStr">
        <is>
          <t>Cognito User Pool Design</t>
        </is>
      </c>
      <c r="K14" s="51" t="inlineStr">
        <is>
          <t>Includes admin usage endpoint and CLI auth flow</t>
        </is>
      </c>
    </row>
    <row r="15" ht="26" customHeight="1">
      <c r="A15" s="44" t="inlineStr">
        <is>
          <t>Planning</t>
        </is>
      </c>
      <c r="B15" s="45" t="inlineStr">
        <is>
          <t>DynamoDB Schema Design</t>
        </is>
      </c>
      <c r="C15" s="45" t="inlineStr">
        <is>
          <t>Tables: user profiles; solution state; per-user quota counters; global pool counter; atomic conditional writes</t>
        </is>
      </c>
      <c r="D15" s="45" t="inlineStr">
        <is>
          <t>Solutions Engineer</t>
        </is>
      </c>
      <c r="E15" s="46" t="n">
        <v>16</v>
      </c>
      <c r="F15" s="47" t="n">
        <v>1.2</v>
      </c>
      <c r="G15" s="46" t="n">
        <v>19</v>
      </c>
      <c r="H15" s="48" t="n">
        <v>200</v>
      </c>
      <c r="I15" s="49">
        <f>TEXT(19*200,"$#,##0")</f>
        <v/>
      </c>
      <c r="J15" s="45" t="inlineStr">
        <is>
          <t>API Gateway &amp; Lambda Design</t>
        </is>
      </c>
      <c r="K15" s="45" t="inlineStr">
        <is>
          <t>Atomic quota enforcement design (10 sol/user/mo; 1000 global/mo)</t>
        </is>
      </c>
    </row>
    <row r="16" ht="26" customHeight="1">
      <c r="A16" s="50" t="inlineStr">
        <is>
          <t>Planning</t>
        </is>
      </c>
      <c r="B16" s="51" t="inlineStr">
        <is>
          <t>Container Image Architecture</t>
        </is>
      </c>
      <c r="C16" s="51" t="inlineStr">
        <is>
          <t>eof-tools (~30 Python modules) baked into AgentCore container image; Docker layer strategy; ECR repository design</t>
        </is>
      </c>
      <c r="D16" s="51" t="inlineStr">
        <is>
          <t>DevOps Engineer</t>
        </is>
      </c>
      <c r="E16" s="52" t="n">
        <v>24</v>
      </c>
      <c r="F16" s="53" t="n">
        <v>1.2</v>
      </c>
      <c r="G16" s="52" t="n">
        <v>29</v>
      </c>
      <c r="H16" s="54" t="n">
        <v>200</v>
      </c>
      <c r="I16" s="55">
        <f>TEXT(29*200,"$#,##0")</f>
        <v/>
      </c>
      <c r="J16" s="51" t="inlineStr">
        <is>
          <t>DynamoDB Schema Design</t>
        </is>
      </c>
      <c r="K16" s="51" t="inlineStr">
        <is>
          <t>Validate eof-tools converter library compatibility with container runtime</t>
        </is>
      </c>
    </row>
    <row r="17" ht="26" customHeight="1">
      <c r="A17" s="44" t="inlineStr">
        <is>
          <t>Planning</t>
        </is>
      </c>
      <c r="B17" s="45" t="inlineStr">
        <is>
          <t>Security Baseline Design</t>
        </is>
      </c>
      <c r="C17" s="45" t="inlineStr">
        <is>
          <t>IAM least-privilege policies; Secrets Manager for GitHub PAT; KMS key policy; CloudWatch log encryption; VPC endpoints</t>
        </is>
      </c>
      <c r="D17" s="45" t="inlineStr">
        <is>
          <t>Security Engineer</t>
        </is>
      </c>
      <c r="E17" s="46" t="n">
        <v>16</v>
      </c>
      <c r="F17" s="47" t="n">
        <v>1.2</v>
      </c>
      <c r="G17" s="46" t="n">
        <v>19</v>
      </c>
      <c r="H17" s="48" t="n">
        <v>200</v>
      </c>
      <c r="I17" s="49">
        <f>TEXT(19*200,"$#,##0")</f>
        <v/>
      </c>
      <c r="J17" s="45" t="inlineStr">
        <is>
          <t>Container Image Architecture</t>
        </is>
      </c>
      <c r="K17" s="45" t="inlineStr">
        <is>
          <t>Aligns with CTO security review requirements</t>
        </is>
      </c>
    </row>
    <row r="18" ht="26" customHeight="1">
      <c r="A18" s="50" t="inlineStr">
        <is>
          <t>Planning</t>
        </is>
      </c>
      <c r="B18" s="51" t="inlineStr">
        <is>
          <t>Monitoring &amp; Observability Design</t>
        </is>
      </c>
      <c r="C18" s="51" t="inlineStr">
        <is>
          <t>CloudWatch dashboards: per-phase token usage; per-solution latency; validation retry rates; quota utilisation metrics</t>
        </is>
      </c>
      <c r="D18" s="51" t="inlineStr">
        <is>
          <t>DevOps Engineer</t>
        </is>
      </c>
      <c r="E18" s="52" t="n">
        <v>16</v>
      </c>
      <c r="F18" s="53" t="n">
        <v>1.2</v>
      </c>
      <c r="G18" s="52" t="n">
        <v>19</v>
      </c>
      <c r="H18" s="54" t="n">
        <v>200</v>
      </c>
      <c r="I18" s="55">
        <f>TEXT(19*200,"$#,##0")</f>
        <v/>
      </c>
      <c r="J18" s="51" t="inlineStr">
        <is>
          <t>Security Baseline Design</t>
        </is>
      </c>
      <c r="K18" s="51" t="inlineStr">
        <is>
          <t>Token usage must surface in CLI status command and admin API</t>
        </is>
      </c>
    </row>
    <row r="19" ht="26" customHeight="1">
      <c r="A19" s="44" t="inlineStr">
        <is>
          <t>Planning</t>
        </is>
      </c>
      <c r="B19" s="45" t="inlineStr">
        <is>
          <t>Design Documentation</t>
        </is>
      </c>
      <c r="C19" s="45" t="inlineStr">
        <is>
          <t>Architecture diagrams; ADRs; data-flow diagrams; API contract specs (OpenAPI); agent-graph topology document</t>
        </is>
      </c>
      <c r="D19" s="45" t="inlineStr">
        <is>
          <t>Technical Writer</t>
        </is>
      </c>
      <c r="E19" s="46" t="n">
        <v>24</v>
      </c>
      <c r="F19" s="47" t="n">
        <v>1.2</v>
      </c>
      <c r="G19" s="46" t="n">
        <v>29</v>
      </c>
      <c r="H19" s="48" t="n">
        <v>125</v>
      </c>
      <c r="I19" s="49">
        <f>TEXT(29*125,"$#,##0")</f>
        <v/>
      </c>
      <c r="J19" s="45" t="inlineStr">
        <is>
          <t>Monitoring &amp; Observability Design</t>
        </is>
      </c>
      <c r="K19" s="45" t="inlineStr">
        <is>
          <t>Inputs to Statement of Work and delivery artifacts</t>
        </is>
      </c>
    </row>
    <row r="20" ht="26" customHeight="1">
      <c r="A20" s="50" t="inlineStr">
        <is>
          <t>Development</t>
        </is>
      </c>
      <c r="B20" s="51" t="inlineStr">
        <is>
          <t>Phase 1 Foundation</t>
        </is>
      </c>
      <c r="C20" s="51" t="inlineStr">
        <is>
          <t>Provision Cognito User Pool; API Gateway HTTP v2; DynamoDB tables; S3 buckets; baseline IAM roles (Weeks 1-4)</t>
        </is>
      </c>
      <c r="D20" s="51" t="inlineStr">
        <is>
          <t>Cloud Engineer</t>
        </is>
      </c>
      <c r="E20" s="52" t="n">
        <v>40</v>
      </c>
      <c r="F20" s="53" t="n">
        <v>1.3</v>
      </c>
      <c r="G20" s="52" t="n">
        <v>52</v>
      </c>
      <c r="H20" s="54" t="n">
        <v>200</v>
      </c>
      <c r="I20" s="55">
        <f>TEXT(52*200,"$#,##0")</f>
        <v/>
      </c>
      <c r="J20" s="51" t="inlineStr">
        <is>
          <t>Design Documentation</t>
        </is>
      </c>
      <c r="K20" s="51" t="inlineStr">
        <is>
          <t>Hard gate: Phase 1 complete before Phase 2 kickoff (Week 5)</t>
        </is>
      </c>
    </row>
    <row r="21" ht="26" customHeight="1">
      <c r="A21" s="44" t="inlineStr">
        <is>
          <t>Development</t>
        </is>
      </c>
      <c r="B21" s="45" t="inlineStr">
        <is>
          <t>Cognito Post-Confirmation Lambda</t>
        </is>
      </c>
      <c r="C21" s="45" t="inlineStr">
        <is>
          <t>Implement post-confirmation trigger Lambda: eager DynamoDB user-profile write; error handling; unit tests</t>
        </is>
      </c>
      <c r="D21" s="45" t="inlineStr">
        <is>
          <t>Solutions Engineer</t>
        </is>
      </c>
      <c r="E21" s="46" t="n">
        <v>16</v>
      </c>
      <c r="F21" s="47" t="n">
        <v>1.3</v>
      </c>
      <c r="G21" s="46" t="n">
        <v>21</v>
      </c>
      <c r="H21" s="48" t="n">
        <v>200</v>
      </c>
      <c r="I21" s="49">
        <f>TEXT(21*200,"$#,##0")</f>
        <v/>
      </c>
      <c r="J21" s="45" t="inlineStr">
        <is>
          <t>Phase 1 Foundation</t>
        </is>
      </c>
      <c r="K21" s="45" t="inlineStr">
        <is>
          <t>30-day refresh token config validated</t>
        </is>
      </c>
    </row>
    <row r="22" ht="26" customHeight="1">
      <c r="A22" s="50" t="inlineStr">
        <is>
          <t>Development</t>
        </is>
      </c>
      <c r="B22" s="51" t="inlineStr">
        <is>
          <t>CLI Development Authentication</t>
        </is>
      </c>
      <c r="C22" s="51" t="inlineStr">
        <is>
          <t>pip-installable CLI: login / logout / token-refresh subcommands; JWT storage; credential helper; 14 total subcommands</t>
        </is>
      </c>
      <c r="D22" s="51" t="inlineStr">
        <is>
          <t>Solutions Engineer</t>
        </is>
      </c>
      <c r="E22" s="52" t="n">
        <v>40</v>
      </c>
      <c r="F22" s="53" t="n">
        <v>1.3</v>
      </c>
      <c r="G22" s="52" t="n">
        <v>52</v>
      </c>
      <c r="H22" s="54" t="n">
        <v>200</v>
      </c>
      <c r="I22" s="55">
        <f>TEXT(52*200,"$#,##0")</f>
        <v/>
      </c>
      <c r="J22" s="51" t="inlineStr">
        <is>
          <t>Cognito Post-Confirmation Lambda</t>
        </is>
      </c>
      <c r="K22" s="51" t="inlineStr">
        <is>
          <t>CLI must support all 14 documented subcommands</t>
        </is>
      </c>
    </row>
    <row r="23" ht="26" customHeight="1">
      <c r="A23" s="44" t="inlineStr">
        <is>
          <t>Development</t>
        </is>
      </c>
      <c r="B23" s="45" t="inlineStr">
        <is>
          <t>Agent Framework Implementation</t>
        </is>
      </c>
      <c r="C23" s="45" t="inlineStr">
        <is>
          <t>Strands Agents multi-agent graph: register all 5 agents in AgentCore Runtime; inter-agent messaging; solution state machine (Weeks 5-9)</t>
        </is>
      </c>
      <c r="D23" s="45" t="inlineStr">
        <is>
          <t>Solutions Engineer</t>
        </is>
      </c>
      <c r="E23" s="46" t="n">
        <v>64</v>
      </c>
      <c r="F23" s="47" t="n">
        <v>1.3</v>
      </c>
      <c r="G23" s="46" t="n">
        <v>83</v>
      </c>
      <c r="H23" s="48" t="n">
        <v>200</v>
      </c>
      <c r="I23" s="49">
        <f>TEXT(83*200,"$#,##0")</f>
        <v/>
      </c>
      <c r="J23" s="45" t="inlineStr">
        <is>
          <t>CLI Development Authentication</t>
        </is>
      </c>
      <c r="K23" s="45" t="inlineStr">
        <is>
          <t>Core of the agentic orchestration platform</t>
        </is>
      </c>
    </row>
    <row r="24" ht="26" customHeight="1">
      <c r="A24" s="50" t="inlineStr">
        <is>
          <t>Development</t>
        </is>
      </c>
      <c r="B24" s="51" t="inlineStr">
        <is>
          <t>Bedrock Model Integration</t>
        </is>
      </c>
      <c r="C24" s="51" t="inlineStr">
        <is>
          <t>Claude Sonnet 4.6 (primary generation); Claude Haiku 4.5 (validation); prompt templates; retry logic (up to 3 retries per artifact)</t>
        </is>
      </c>
      <c r="D24" s="51" t="inlineStr">
        <is>
          <t>ML/AI Engineer</t>
        </is>
      </c>
      <c r="E24" s="52" t="n">
        <v>48</v>
      </c>
      <c r="F24" s="53" t="n">
        <v>1.3</v>
      </c>
      <c r="G24" s="52" t="n">
        <v>62</v>
      </c>
      <c r="H24" s="54" t="n">
        <v>225</v>
      </c>
      <c r="I24" s="55">
        <f>TEXT(62*225,"$#,##0")</f>
        <v/>
      </c>
      <c r="J24" s="51" t="inlineStr">
        <is>
          <t>Agent Framework Implementation</t>
        </is>
      </c>
      <c r="K24" s="51" t="inlineStr">
        <is>
          <t>Per-artifact: format-check pass + LLM quality-check with retry</t>
        </is>
      </c>
    </row>
    <row r="25" ht="26" customHeight="1">
      <c r="A25" s="44" t="inlineStr">
        <is>
          <t>Development</t>
        </is>
      </c>
      <c r="B25" s="45" t="inlineStr">
        <is>
          <t>eof-tools Container Integration</t>
        </is>
      </c>
      <c r="C25" s="45" t="inlineStr">
        <is>
          <t>Bake eof-tools library into AgentCore container image; validate all 12 artifact-type converters (DOCX; PPTX; XLSX; Terraform)</t>
        </is>
      </c>
      <c r="D25" s="45" t="inlineStr">
        <is>
          <t>DevOps Engineer</t>
        </is>
      </c>
      <c r="E25" s="46" t="n">
        <v>40</v>
      </c>
      <c r="F25" s="47" t="n">
        <v>1.3</v>
      </c>
      <c r="G25" s="46" t="n">
        <v>52</v>
      </c>
      <c r="H25" s="48" t="n">
        <v>200</v>
      </c>
      <c r="I25" s="49">
        <f>TEXT(52*200,"$#,##0")</f>
        <v/>
      </c>
      <c r="J25" s="45" t="inlineStr">
        <is>
          <t>Bedrock Model Integration</t>
        </is>
      </c>
      <c r="K25" s="45" t="inlineStr">
        <is>
          <t>Terraform validate as syntax gate for IaC bundle</t>
        </is>
      </c>
    </row>
    <row r="26" ht="26" customHeight="1">
      <c r="A26" s="50" t="inlineStr">
        <is>
          <t>Development</t>
        </is>
      </c>
      <c r="B26" s="51" t="inlineStr">
        <is>
          <t>Lambda API Routes Implementation</t>
        </is>
      </c>
      <c r="C26" s="51" t="inlineStr">
        <is>
          <t>Implement all 11 Lambda routes: solution CRUD; artifact download; user quota check; admin usage; status endpoints</t>
        </is>
      </c>
      <c r="D26" s="51" t="inlineStr">
        <is>
          <t>Solutions Engineer</t>
        </is>
      </c>
      <c r="E26" s="52" t="n">
        <v>48</v>
      </c>
      <c r="F26" s="53" t="n">
        <v>1.3</v>
      </c>
      <c r="G26" s="52" t="n">
        <v>62</v>
      </c>
      <c r="H26" s="54" t="n">
        <v>200</v>
      </c>
      <c r="I26" s="55">
        <f>TEXT(62*200,"$#,##0")</f>
        <v/>
      </c>
      <c r="J26" s="51" t="inlineStr">
        <is>
          <t>eof-tools Container Integration</t>
        </is>
      </c>
      <c r="K26" s="51" t="inlineStr">
        <is>
          <t>JWT-protected; per-route throttle policies applied</t>
        </is>
      </c>
    </row>
    <row r="27" ht="26" customHeight="1">
      <c r="A27" s="44" t="inlineStr">
        <is>
          <t>Development</t>
        </is>
      </c>
      <c r="B27" s="45" t="inlineStr">
        <is>
          <t>Quota Enforcement Implementation</t>
        </is>
      </c>
      <c r="C27" s="45" t="inlineStr">
        <is>
          <t>Atomic DynamoDB conditional writes: per-user 10 sol/mo; global 1000 sol/mo pool; quota-exceeded error responses</t>
        </is>
      </c>
      <c r="D27" s="45" t="inlineStr">
        <is>
          <t>Solutions Engineer</t>
        </is>
      </c>
      <c r="E27" s="46" t="n">
        <v>24</v>
      </c>
      <c r="F27" s="47" t="n">
        <v>1.3</v>
      </c>
      <c r="G27" s="46" t="n">
        <v>31</v>
      </c>
      <c r="H27" s="48" t="n">
        <v>200</v>
      </c>
      <c r="I27" s="49">
        <f>TEXT(31*200,"$#,##0")</f>
        <v/>
      </c>
      <c r="J27" s="45" t="inlineStr">
        <is>
          <t>Lambda API Routes Implementation</t>
        </is>
      </c>
      <c r="K27" s="45" t="inlineStr">
        <is>
          <t>Atomic enforcement prevents race conditions at scale</t>
        </is>
      </c>
    </row>
    <row r="28" ht="26" customHeight="1">
      <c r="A28" s="50" t="inlineStr">
        <is>
          <t>Development</t>
        </is>
      </c>
      <c r="B28" s="51" t="inlineStr">
        <is>
          <t>GitHub Integration</t>
        </is>
      </c>
      <c r="C28" s="51" t="inlineStr">
        <is>
          <t>Commit output artifacts to public GitHub repository via stored PAT; branch strategy; commit message format; error handling</t>
        </is>
      </c>
      <c r="D28" s="51" t="inlineStr">
        <is>
          <t>Solutions Engineer</t>
        </is>
      </c>
      <c r="E28" s="52" t="n">
        <v>16</v>
      </c>
      <c r="F28" s="53" t="n">
        <v>1.3</v>
      </c>
      <c r="G28" s="52" t="n">
        <v>21</v>
      </c>
      <c r="H28" s="54" t="n">
        <v>200</v>
      </c>
      <c r="I28" s="55">
        <f>TEXT(21*200,"$#,##0")</f>
        <v/>
      </c>
      <c r="J28" s="51" t="inlineStr">
        <is>
          <t>Quota Enforcement Implementation</t>
        </is>
      </c>
      <c r="K28" s="51" t="inlineStr">
        <is>
          <t>PAT stored in Secrets Manager; rotation procedure documented</t>
        </is>
      </c>
    </row>
    <row r="29" ht="26" customHeight="1">
      <c r="A29" s="44" t="inlineStr">
        <is>
          <t>Development</t>
        </is>
      </c>
      <c r="B29" s="45" t="inlineStr">
        <is>
          <t>CI/CD Pipeline</t>
        </is>
      </c>
      <c r="C29" s="45" t="inlineStr">
        <is>
          <t>CodePipeline + CodeBuild: Docker image build; ECR push; AgentCore Runtime re-registration; automated smoke test on deploy</t>
        </is>
      </c>
      <c r="D29" s="45" t="inlineStr">
        <is>
          <t>DevOps Engineer</t>
        </is>
      </c>
      <c r="E29" s="46" t="n">
        <v>40</v>
      </c>
      <c r="F29" s="47" t="n">
        <v>1.3</v>
      </c>
      <c r="G29" s="46" t="n">
        <v>52</v>
      </c>
      <c r="H29" s="48" t="n">
        <v>200</v>
      </c>
      <c r="I29" s="49">
        <f>TEXT(52*200,"$#,##0")</f>
        <v/>
      </c>
      <c r="J29" s="45" t="inlineStr">
        <is>
          <t>GitHub Integration</t>
        </is>
      </c>
      <c r="K29" s="45" t="inlineStr">
        <is>
          <t>Enables consistent deployments across dev / staging / prod</t>
        </is>
      </c>
    </row>
    <row r="30" ht="26" customHeight="1">
      <c r="A30" s="50" t="inlineStr">
        <is>
          <t>Development</t>
        </is>
      </c>
      <c r="B30" s="51" t="inlineStr">
        <is>
          <t>Terraform IaC Full Platform</t>
        </is>
      </c>
      <c r="C30" s="51" t="inlineStr">
        <is>
          <t>Terraform modules: Cognito; API GW; Lambda; DynamoDB; S3; ECR; AgentCore; IAM; CloudWatch; terraform validate gate</t>
        </is>
      </c>
      <c r="D30" s="51" t="inlineStr">
        <is>
          <t>DevOps Engineer</t>
        </is>
      </c>
      <c r="E30" s="52" t="n">
        <v>48</v>
      </c>
      <c r="F30" s="53" t="n">
        <v>1.3</v>
      </c>
      <c r="G30" s="52" t="n">
        <v>62</v>
      </c>
      <c r="H30" s="54" t="n">
        <v>200</v>
      </c>
      <c r="I30" s="55">
        <f>TEXT(62*200,"$#,##0")</f>
        <v/>
      </c>
      <c r="J30" s="51" t="inlineStr">
        <is>
          <t>CI/CD Pipeline</t>
        </is>
      </c>
      <c r="K30" s="51" t="inlineStr">
        <is>
          <t>Automation bundle artifact; terraform validate must pass in CI</t>
        </is>
      </c>
    </row>
    <row r="31" ht="26" customHeight="1">
      <c r="A31" s="44" t="inlineStr">
        <is>
          <t>Development</t>
        </is>
      </c>
      <c r="B31" s="45" t="inlineStr">
        <is>
          <t>Token Usage Instrumentation</t>
        </is>
      </c>
      <c r="C31" s="45" t="inlineStr">
        <is>
          <t>Instrument all 5 agents: emit per-phase token counts to CloudWatch; surface in CLI status command and GET /admin/usage</t>
        </is>
      </c>
      <c r="D31" s="45" t="inlineStr">
        <is>
          <t>ML/AI Engineer</t>
        </is>
      </c>
      <c r="E31" s="46" t="n">
        <v>16</v>
      </c>
      <c r="F31" s="47" t="n">
        <v>1.3</v>
      </c>
      <c r="G31" s="46" t="n">
        <v>21</v>
      </c>
      <c r="H31" s="48" t="n">
        <v>225</v>
      </c>
      <c r="I31" s="49">
        <f>TEXT(21*225,"$#,##0")</f>
        <v/>
      </c>
      <c r="J31" s="45" t="inlineStr">
        <is>
          <t>Terraform IaC Full Platform</t>
        </is>
      </c>
      <c r="K31" s="45" t="inlineStr">
        <is>
          <t>Required for budget tracking against $5/solution Bedrock target</t>
        </is>
      </c>
    </row>
    <row r="32" ht="26" customHeight="1">
      <c r="A32" s="50" t="inlineStr">
        <is>
          <t>Development</t>
        </is>
      </c>
      <c r="B32" s="51" t="inlineStr">
        <is>
          <t>Security Hardening</t>
        </is>
      </c>
      <c r="C32" s="51" t="inlineStr">
        <is>
          <t>Secrets Manager rotation; VPC endpoint for Bedrock/DynamoDB/S3; CloudTrail data events; GuardDuty enablement</t>
        </is>
      </c>
      <c r="D32" s="51" t="inlineStr">
        <is>
          <t>Security Engineer</t>
        </is>
      </c>
      <c r="E32" s="52" t="n">
        <v>24</v>
      </c>
      <c r="F32" s="53" t="n">
        <v>1.3</v>
      </c>
      <c r="G32" s="52" t="n">
        <v>31</v>
      </c>
      <c r="H32" s="54" t="n">
        <v>200</v>
      </c>
      <c r="I32" s="55">
        <f>TEXT(31*200,"$#,##0")</f>
        <v/>
      </c>
      <c r="J32" s="51" t="inlineStr">
        <is>
          <t>Token Usage Instrumentation</t>
        </is>
      </c>
      <c r="K32" s="51" t="inlineStr">
        <is>
          <t>Reduces attack surface; aligns with CTO security expectations</t>
        </is>
      </c>
    </row>
    <row r="33" ht="26" customHeight="1">
      <c r="A33" s="44" t="inlineStr">
        <is>
          <t>Development</t>
        </is>
      </c>
      <c r="B33" s="45" t="inlineStr">
        <is>
          <t>Configuration and Code Documentation</t>
        </is>
      </c>
      <c r="C33" s="45" t="inlineStr">
        <is>
          <t>Inline code documentation; README files; deployment guide; environment variable reference; eof-tools integration notes</t>
        </is>
      </c>
      <c r="D33" s="45" t="inlineStr">
        <is>
          <t>Technical Writer</t>
        </is>
      </c>
      <c r="E33" s="46" t="n">
        <v>32</v>
      </c>
      <c r="F33" s="47" t="n">
        <v>1.3</v>
      </c>
      <c r="G33" s="46" t="n">
        <v>42</v>
      </c>
      <c r="H33" s="48" t="n">
        <v>125</v>
      </c>
      <c r="I33" s="49">
        <f>TEXT(42*125,"$#,##0")</f>
        <v/>
      </c>
      <c r="J33" s="45" t="inlineStr">
        <is>
          <t>Security Hardening</t>
        </is>
      </c>
      <c r="K33" s="45" t="inlineStr">
        <is>
          <t>Feeds delivery-phase runbooks</t>
        </is>
      </c>
    </row>
    <row r="34" ht="26" customHeight="1">
      <c r="A34" s="50" t="inlineStr">
        <is>
          <t>Testing</t>
        </is>
      </c>
      <c r="B34" s="51" t="inlineStr">
        <is>
          <t>Test Plan Development</t>
        </is>
      </c>
      <c r="C34" s="51" t="inlineStr">
        <is>
          <t>Comprehensive test plan: unit; integration; E2E; load; security; 12 artifact-type validation coverage matrix</t>
        </is>
      </c>
      <c r="D34" s="51" t="inlineStr">
        <is>
          <t>QA Engineer</t>
        </is>
      </c>
      <c r="E34" s="52" t="n">
        <v>16</v>
      </c>
      <c r="F34" s="53" t="n">
        <v>1.1</v>
      </c>
      <c r="G34" s="52" t="n">
        <v>18</v>
      </c>
      <c r="H34" s="54" t="n">
        <v>150</v>
      </c>
      <c r="I34" s="55">
        <f>TEXT(18*150,"$#,##0")</f>
        <v/>
      </c>
      <c r="J34" s="51" t="inlineStr">
        <is>
          <t>Configuration and Code Documentation</t>
        </is>
      </c>
      <c r="K34" s="51" t="inlineStr">
        <is>
          <t>Phase 3 Weeks 10-12 gate</t>
        </is>
      </c>
    </row>
    <row r="35" ht="26" customHeight="1">
      <c r="A35" s="44" t="inlineStr">
        <is>
          <t>Testing</t>
        </is>
      </c>
      <c r="B35" s="45" t="inlineStr">
        <is>
          <t>Unit Testing Agents and Lambda</t>
        </is>
      </c>
      <c r="C35" s="45" t="inlineStr">
        <is>
          <t>Unit tests for all 5 agents; 11 Lambda routes; Cognito trigger; quota logic; GitHub integration module</t>
        </is>
      </c>
      <c r="D35" s="45" t="inlineStr">
        <is>
          <t>Solutions Engineer</t>
        </is>
      </c>
      <c r="E35" s="46" t="n">
        <v>32</v>
      </c>
      <c r="F35" s="47" t="n">
        <v>1.1</v>
      </c>
      <c r="G35" s="46" t="n">
        <v>35</v>
      </c>
      <c r="H35" s="48" t="n">
        <v>200</v>
      </c>
      <c r="I35" s="49">
        <f>TEXT(35*200,"$#,##0")</f>
        <v/>
      </c>
      <c r="J35" s="45" t="inlineStr">
        <is>
          <t>Test Plan Development</t>
        </is>
      </c>
      <c r="K35" s="45" t="inlineStr">
        <is>
          <t>Target &gt;80% code coverage</t>
        </is>
      </c>
    </row>
    <row r="36" ht="26" customHeight="1">
      <c r="A36" s="50" t="inlineStr">
        <is>
          <t>Testing</t>
        </is>
      </c>
      <c r="B36" s="51" t="inlineStr">
        <is>
          <t>Integration Testing Full Pipeline</t>
        </is>
      </c>
      <c r="C36" s="51" t="inlineStr">
        <is>
          <t>End-to-end solution generation: Input Validator through EO Validator; all 12 artifact types validated</t>
        </is>
      </c>
      <c r="D36" s="51" t="inlineStr">
        <is>
          <t>Solutions Engineer</t>
        </is>
      </c>
      <c r="E36" s="52" t="n">
        <v>32</v>
      </c>
      <c r="F36" s="53" t="n">
        <v>1.1</v>
      </c>
      <c r="G36" s="52" t="n">
        <v>35</v>
      </c>
      <c r="H36" s="54" t="n">
        <v>200</v>
      </c>
      <c r="I36" s="55">
        <f>TEXT(35*200,"$#,##0")</f>
        <v/>
      </c>
      <c r="J36" s="51" t="inlineStr">
        <is>
          <t>Unit Testing Agents and Lambda</t>
        </is>
      </c>
      <c r="K36" s="51" t="inlineStr">
        <is>
          <t>Validate all 5 presales + 6 delivery + 1 Terraform bundle artifacts</t>
        </is>
      </c>
    </row>
    <row r="37" ht="26" customHeight="1">
      <c r="A37" s="44" t="inlineStr">
        <is>
          <t>Testing</t>
        </is>
      </c>
      <c r="B37" s="45" t="inlineStr">
        <is>
          <t>Validation Loop Testing</t>
        </is>
      </c>
      <c r="C37" s="45" t="inlineStr">
        <is>
          <t>Test format-check + LLM quality-check retry mechanism (up to 3 retries); confirm deterministic pass/fail on all artifact types</t>
        </is>
      </c>
      <c r="D37" s="45" t="inlineStr">
        <is>
          <t>QA Engineer</t>
        </is>
      </c>
      <c r="E37" s="46" t="n">
        <v>24</v>
      </c>
      <c r="F37" s="47" t="n">
        <v>1.1</v>
      </c>
      <c r="G37" s="46" t="n">
        <v>26</v>
      </c>
      <c r="H37" s="48" t="n">
        <v>150</v>
      </c>
      <c r="I37" s="49">
        <f>TEXT(26*150,"$#,##0")</f>
        <v/>
      </c>
      <c r="J37" s="45" t="inlineStr">
        <is>
          <t>Integration Testing Full Pipeline</t>
        </is>
      </c>
      <c r="K37" s="45" t="inlineStr">
        <is>
          <t>EO Validator agent must surface actionable error messages</t>
        </is>
      </c>
    </row>
    <row r="38" ht="26" customHeight="1">
      <c r="A38" s="50" t="inlineStr">
        <is>
          <t>Testing</t>
        </is>
      </c>
      <c r="B38" s="51" t="inlineStr">
        <is>
          <t>Performance and Load Testing</t>
        </is>
      </c>
      <c r="C38" s="51" t="inlineStr">
        <is>
          <t>Load test: 200 solutions/month throughput; concurrent solution generation; DynamoDB quota atomic writes under load</t>
        </is>
      </c>
      <c r="D38" s="51" t="inlineStr">
        <is>
          <t>Solutions Engineer</t>
        </is>
      </c>
      <c r="E38" s="52" t="n">
        <v>24</v>
      </c>
      <c r="F38" s="53" t="n">
        <v>1.1</v>
      </c>
      <c r="G38" s="52" t="n">
        <v>26</v>
      </c>
      <c r="H38" s="54" t="n">
        <v>200</v>
      </c>
      <c r="I38" s="55">
        <f>TEXT(26*200,"$#,##0")</f>
        <v/>
      </c>
      <c r="J38" s="51" t="inlineStr">
        <is>
          <t>Validation Loop Testing</t>
        </is>
      </c>
      <c r="K38" s="51" t="inlineStr">
        <is>
          <t>Verify &lt;1hr end-to-end SLA at target throughput</t>
        </is>
      </c>
    </row>
    <row r="39" ht="26" customHeight="1">
      <c r="A39" s="44" t="inlineStr">
        <is>
          <t>Testing</t>
        </is>
      </c>
      <c r="B39" s="45" t="inlineStr">
        <is>
          <t>Security Testing</t>
        </is>
      </c>
      <c r="C39" s="45" t="inlineStr">
        <is>
          <t>IAM policy review; Cognito token validation; JWT authoriser bypass testing; Secrets Manager access; VPC endpoint validation</t>
        </is>
      </c>
      <c r="D39" s="45" t="inlineStr">
        <is>
          <t>Security Engineer</t>
        </is>
      </c>
      <c r="E39" s="46" t="n">
        <v>16</v>
      </c>
      <c r="F39" s="47" t="n">
        <v>1.1</v>
      </c>
      <c r="G39" s="46" t="n">
        <v>18</v>
      </c>
      <c r="H39" s="48" t="n">
        <v>200</v>
      </c>
      <c r="I39" s="49">
        <f>TEXT(18*200,"$#,##0")</f>
        <v/>
      </c>
      <c r="J39" s="45" t="inlineStr">
        <is>
          <t>Performance and Load Testing</t>
        </is>
      </c>
      <c r="K39" s="45" t="inlineStr">
        <is>
          <t>Include OWASP API Top 10 checks on 11 Lambda routes</t>
        </is>
      </c>
    </row>
    <row r="40" ht="26" customHeight="1">
      <c r="A40" s="50" t="inlineStr">
        <is>
          <t>Testing</t>
        </is>
      </c>
      <c r="B40" s="51" t="inlineStr">
        <is>
          <t>Terraform Validate Gate Testing</t>
        </is>
      </c>
      <c r="C40" s="51" t="inlineStr">
        <is>
          <t>Verify terraform validate passes in CI for all IaC modules; test plan/apply in staging environment</t>
        </is>
      </c>
      <c r="D40" s="51" t="inlineStr">
        <is>
          <t>DevOps Engineer</t>
        </is>
      </c>
      <c r="E40" s="52" t="n">
        <v>16</v>
      </c>
      <c r="F40" s="53" t="n">
        <v>1.1</v>
      </c>
      <c r="G40" s="52" t="n">
        <v>18</v>
      </c>
      <c r="H40" s="54" t="n">
        <v>200</v>
      </c>
      <c r="I40" s="55">
        <f>TEXT(18*200,"$#,##0")</f>
        <v/>
      </c>
      <c r="J40" s="51" t="inlineStr">
        <is>
          <t>Security Testing</t>
        </is>
      </c>
      <c r="K40" s="51" t="inlineStr">
        <is>
          <t>IaC automation bundle must pass gate before delivery</t>
        </is>
      </c>
    </row>
    <row r="41" ht="26" customHeight="1">
      <c r="A41" s="44" t="inlineStr">
        <is>
          <t>Testing</t>
        </is>
      </c>
      <c r="B41" s="45" t="inlineStr">
        <is>
          <t>UAT Coordination</t>
        </is>
      </c>
      <c r="C41" s="45" t="inlineStr">
        <is>
          <t>Coordinate UAT with Marcus Patel (pre-sales scenarios); Daniel Park (delivery scenarios); CTO (Cognito / production gate)</t>
        </is>
      </c>
      <c r="D41" s="45" t="inlineStr">
        <is>
          <t>Project Manager</t>
        </is>
      </c>
      <c r="E41" s="46" t="n">
        <v>16</v>
      </c>
      <c r="F41" s="47" t="n">
        <v>1.1</v>
      </c>
      <c r="G41" s="46" t="n">
        <v>18</v>
      </c>
      <c r="H41" s="48" t="n">
        <v>175</v>
      </c>
      <c r="I41" s="49">
        <f>TEXT(18*175,"$#,##0")</f>
        <v/>
      </c>
      <c r="J41" s="45" t="inlineStr">
        <is>
          <t>Terraform Validate Gate Testing</t>
        </is>
      </c>
      <c r="K41" s="45" t="inlineStr">
        <is>
          <t>UAT sign-off required before go-live</t>
        </is>
      </c>
    </row>
    <row r="42" ht="26" customHeight="1">
      <c r="A42" s="50" t="inlineStr">
        <is>
          <t>Testing</t>
        </is>
      </c>
      <c r="B42" s="51" t="inlineStr">
        <is>
          <t>CloudWatch Green Baseline</t>
        </is>
      </c>
      <c r="C42" s="51" t="inlineStr">
        <is>
          <t>Validate green CloudWatch metrics baseline: error rates; latency P99; retry rates; token spend per solution</t>
        </is>
      </c>
      <c r="D42" s="51" t="inlineStr">
        <is>
          <t>DevOps Engineer</t>
        </is>
      </c>
      <c r="E42" s="52" t="n">
        <v>16</v>
      </c>
      <c r="F42" s="53" t="n">
        <v>1.1</v>
      </c>
      <c r="G42" s="52" t="n">
        <v>18</v>
      </c>
      <c r="H42" s="54" t="n">
        <v>200</v>
      </c>
      <c r="I42" s="55">
        <f>TEXT(18*200,"$#,##0")</f>
        <v/>
      </c>
      <c r="J42" s="51" t="inlineStr">
        <is>
          <t>UAT Coordination</t>
        </is>
      </c>
      <c r="K42" s="51" t="inlineStr">
        <is>
          <t>Required deliverable: Phase 3 completion criterion</t>
        </is>
      </c>
    </row>
    <row r="43" ht="26" customHeight="1">
      <c r="A43" s="44" t="inlineStr">
        <is>
          <t>Testing</t>
        </is>
      </c>
      <c r="B43" s="45" t="inlineStr">
        <is>
          <t>Defect Resolution</t>
        </is>
      </c>
      <c r="C43" s="45" t="inlineStr">
        <is>
          <t>Address and resolve all P1/P2 defects identified during integration; UAT; performance; and security testing</t>
        </is>
      </c>
      <c r="D43" s="45" t="inlineStr">
        <is>
          <t>Solutions Engineer</t>
        </is>
      </c>
      <c r="E43" s="46" t="n">
        <v>40</v>
      </c>
      <c r="F43" s="47" t="n">
        <v>1.1</v>
      </c>
      <c r="G43" s="46" t="n">
        <v>44</v>
      </c>
      <c r="H43" s="48" t="n">
        <v>200</v>
      </c>
      <c r="I43" s="49">
        <f>TEXT(44*200,"$#,##0")</f>
        <v/>
      </c>
      <c r="J43" s="45" t="inlineStr">
        <is>
          <t>CloudWatch Green Baseline</t>
        </is>
      </c>
      <c r="K43" s="45" t="inlineStr">
        <is>
          <t>10-20% contingency buffer applied to defect-resolution hours</t>
        </is>
      </c>
    </row>
    <row r="44" ht="26" customHeight="1">
      <c r="A44" s="50" t="inlineStr">
        <is>
          <t>Testing</t>
        </is>
      </c>
      <c r="B44" s="51" t="inlineStr">
        <is>
          <t>Test Results Report</t>
        </is>
      </c>
      <c r="C44" s="51" t="inlineStr">
        <is>
          <t>Document test results; coverage metrics; UAT sign-off; security attestation; CloudWatch baseline screenshot</t>
        </is>
      </c>
      <c r="D44" s="51" t="inlineStr">
        <is>
          <t>QA Engineer</t>
        </is>
      </c>
      <c r="E44" s="52" t="n">
        <v>8</v>
      </c>
      <c r="F44" s="53" t="n">
        <v>1.1</v>
      </c>
      <c r="G44" s="52" t="n">
        <v>9</v>
      </c>
      <c r="H44" s="54" t="n">
        <v>150</v>
      </c>
      <c r="I44" s="55">
        <f>TEXT(9*150,"$#,##0")</f>
        <v/>
      </c>
      <c r="J44" s="51" t="inlineStr">
        <is>
          <t>Defect Resolution</t>
        </is>
      </c>
      <c r="K44" s="51" t="inlineStr">
        <is>
          <t>Distribute to Sarah Lin; Marcus Patel; Daniel Park; CTO</t>
        </is>
      </c>
    </row>
    <row r="45" ht="26" customHeight="1">
      <c r="A45" s="44" t="inlineStr">
        <is>
          <t>Deployment</t>
        </is>
      </c>
      <c r="B45" s="45" t="inlineStr">
        <is>
          <t>Go-Live Planning</t>
        </is>
      </c>
      <c r="C45" s="45" t="inlineStr">
        <is>
          <t>Cutover plan: production deployment checklist; rollback procedures; Cognito CTO sign-off gate; procurement notification</t>
        </is>
      </c>
      <c r="D45" s="45" t="inlineStr">
        <is>
          <t>Project Manager</t>
        </is>
      </c>
      <c r="E45" s="46" t="n">
        <v>8</v>
      </c>
      <c r="F45" s="47" t="n">
        <v>1</v>
      </c>
      <c r="G45" s="46" t="n">
        <v>8</v>
      </c>
      <c r="H45" s="48" t="n">
        <v>175</v>
      </c>
      <c r="I45" s="49">
        <f>TEXT(8*175,"$#,##0")</f>
        <v/>
      </c>
      <c r="J45" s="45" t="inlineStr">
        <is>
          <t>Test Results Report</t>
        </is>
      </c>
      <c r="K45" s="45" t="inlineStr">
        <is>
          <t>Hard gate: CTO sign-off before production Cognito User Pool activation</t>
        </is>
      </c>
    </row>
    <row r="46" ht="26" customHeight="1">
      <c r="A46" s="50" t="inlineStr">
        <is>
          <t>Deployment</t>
        </is>
      </c>
      <c r="B46" s="51" t="inlineStr">
        <is>
          <t>Production Deployment</t>
        </is>
      </c>
      <c r="C46" s="51" t="inlineStr">
        <is>
          <t>Deploy full platform to production us-west-2: AgentCore Runtime; Lambda; DynamoDB; Cognito; S3; API GW; monitoring</t>
        </is>
      </c>
      <c r="D46" s="51" t="inlineStr">
        <is>
          <t>Cloud Engineer</t>
        </is>
      </c>
      <c r="E46" s="52" t="n">
        <v>24</v>
      </c>
      <c r="F46" s="53" t="n">
        <v>1</v>
      </c>
      <c r="G46" s="52" t="n">
        <v>24</v>
      </c>
      <c r="H46" s="54" t="n">
        <v>200</v>
      </c>
      <c r="I46" s="55">
        <f>TEXT(24*200,"$#,##0")</f>
        <v/>
      </c>
      <c r="J46" s="51" t="inlineStr">
        <is>
          <t>Go-Live Planning</t>
        </is>
      </c>
      <c r="K46" s="51" t="inlineStr">
        <is>
          <t>Follows 12-week schedule; demo-ready by end of April 2026</t>
        </is>
      </c>
    </row>
    <row r="47" ht="26" customHeight="1">
      <c r="A47" s="44" t="inlineStr">
        <is>
          <t>Deployment</t>
        </is>
      </c>
      <c r="B47" s="45" t="inlineStr">
        <is>
          <t>GitHub Repository Setup</t>
        </is>
      </c>
      <c r="C47" s="45" t="inlineStr">
        <is>
          <t>Configure public GitHub repository; branch protection; initial artifact commits; PAT integration validation in production</t>
        </is>
      </c>
      <c r="D47" s="45" t="inlineStr">
        <is>
          <t>Solutions Engineer</t>
        </is>
      </c>
      <c r="E47" s="46" t="n">
        <v>8</v>
      </c>
      <c r="F47" s="47" t="n">
        <v>1</v>
      </c>
      <c r="G47" s="46" t="n">
        <v>8</v>
      </c>
      <c r="H47" s="48" t="n">
        <v>200</v>
      </c>
      <c r="I47" s="49">
        <f>TEXT(8*200,"$#,##0")</f>
        <v/>
      </c>
      <c r="J47" s="45" t="inlineStr">
        <is>
          <t>Production Deployment</t>
        </is>
      </c>
      <c r="K47" s="45" t="inlineStr">
        <is>
          <t>PAT stored in Secrets Manager; rotation schedule established</t>
        </is>
      </c>
    </row>
    <row r="48" ht="26" customHeight="1">
      <c r="A48" s="50" t="inlineStr">
        <is>
          <t>Deployment</t>
        </is>
      </c>
      <c r="B48" s="51" t="inlineStr">
        <is>
          <t>Runbook Development</t>
        </is>
      </c>
      <c r="C48" s="51" t="inlineStr">
        <is>
          <t>Operational runbooks: agent failure recovery; quota reset; PAT rotation; DynamoDB backup; CloudWatch alarm response</t>
        </is>
      </c>
      <c r="D48" s="51" t="inlineStr">
        <is>
          <t>Technical Writer</t>
        </is>
      </c>
      <c r="E48" s="52" t="n">
        <v>24</v>
      </c>
      <c r="F48" s="53" t="n">
        <v>1</v>
      </c>
      <c r="G48" s="52" t="n">
        <v>24</v>
      </c>
      <c r="H48" s="54" t="n">
        <v>125</v>
      </c>
      <c r="I48" s="55">
        <f>TEXT(24*125,"$#,##0")</f>
        <v/>
      </c>
      <c r="J48" s="51" t="inlineStr">
        <is>
          <t>Production Deployment</t>
        </is>
      </c>
      <c r="K48" s="51" t="inlineStr">
        <is>
          <t>Handed to Daniel Park (Head of Delivery Operations)</t>
        </is>
      </c>
    </row>
    <row r="49" ht="26" customHeight="1">
      <c r="A49" s="44" t="inlineStr">
        <is>
          <t>Deployment</t>
        </is>
      </c>
      <c r="B49" s="45" t="inlineStr">
        <is>
          <t>Knowledge Transfer Engineering</t>
        </is>
      </c>
      <c r="C49" s="45" t="inlineStr">
        <is>
          <t>Technical deep-dive sessions for Amatra engineering team: agent architecture; Lambda routes; CI/CD; Terraform modules</t>
        </is>
      </c>
      <c r="D49" s="45" t="inlineStr">
        <is>
          <t>Solution Architect</t>
        </is>
      </c>
      <c r="E49" s="46" t="n">
        <v>16</v>
      </c>
      <c r="F49" s="47" t="n">
        <v>1</v>
      </c>
      <c r="G49" s="46" t="n">
        <v>16</v>
      </c>
      <c r="H49" s="48" t="n">
        <v>225</v>
      </c>
      <c r="I49" s="49">
        <f>TEXT(16*225,"$#,##0")</f>
        <v/>
      </c>
      <c r="J49" s="45" t="inlineStr">
        <is>
          <t>Runbook Development</t>
        </is>
      </c>
      <c r="K49" s="45" t="inlineStr">
        <is>
          <t>Recorded sessions for future onboarding</t>
        </is>
      </c>
    </row>
    <row r="50" ht="26" customHeight="1">
      <c r="A50" s="50" t="inlineStr">
        <is>
          <t>Deployment</t>
        </is>
      </c>
      <c r="B50" s="51" t="inlineStr">
        <is>
          <t>Knowledge Transfer Pre-Sales</t>
        </is>
      </c>
      <c r="C50" s="51" t="inlineStr">
        <is>
          <t>Pre-sales workflow training for Marcus Patel's team: CLI usage; solution generation; artifact review; quota management</t>
        </is>
      </c>
      <c r="D50" s="51" t="inlineStr">
        <is>
          <t>Trainer</t>
        </is>
      </c>
      <c r="E50" s="52" t="n">
        <v>16</v>
      </c>
      <c r="F50" s="53" t="n">
        <v>1</v>
      </c>
      <c r="G50" s="52" t="n">
        <v>16</v>
      </c>
      <c r="H50" s="54" t="n">
        <v>150</v>
      </c>
      <c r="I50" s="55">
        <f>TEXT(16*150,"$#,##0")</f>
        <v/>
      </c>
      <c r="J50" s="51" t="inlineStr">
        <is>
          <t>Knowledge Transfer Engineering</t>
        </is>
      </c>
      <c r="K50" s="51" t="inlineStr">
        <is>
          <t>Target audience: 120 distributed consultants (train-the-trainer approach)</t>
        </is>
      </c>
    </row>
    <row r="51" ht="26" customHeight="1">
      <c r="A51" s="44" t="inlineStr">
        <is>
          <t>Deployment</t>
        </is>
      </c>
      <c r="B51" s="45" t="inlineStr">
        <is>
          <t>Documentation Delivery</t>
        </is>
      </c>
      <c r="C51" s="45" t="inlineStr">
        <is>
          <t>Deliver complete as-built documentation: architecture docs; API reference; runbooks; ADRs; deployment guide; eof-tools guide</t>
        </is>
      </c>
      <c r="D51" s="45" t="inlineStr">
        <is>
          <t>Technical Writer</t>
        </is>
      </c>
      <c r="E51" s="46" t="n">
        <v>16</v>
      </c>
      <c r="F51" s="47" t="n">
        <v>1</v>
      </c>
      <c r="G51" s="46" t="n">
        <v>16</v>
      </c>
      <c r="H51" s="48" t="n">
        <v>125</v>
      </c>
      <c r="I51" s="49">
        <f>TEXT(16*125,"$#,##0")</f>
        <v/>
      </c>
      <c r="J51" s="45" t="inlineStr">
        <is>
          <t>Knowledge Transfer Pre-Sales</t>
        </is>
      </c>
      <c r="K51" s="45" t="inlineStr">
        <is>
          <t>Stored in S3 and GitHub repository</t>
        </is>
      </c>
    </row>
    <row r="52" ht="26" customHeight="1">
      <c r="A52" s="50" t="inlineStr">
        <is>
          <t>Deployment</t>
        </is>
      </c>
      <c r="B52" s="51" t="inlineStr">
        <is>
          <t>Hypercare Support</t>
        </is>
      </c>
      <c r="C52" s="51" t="inlineStr">
        <is>
          <t>8-week post-go-live hypercare: Bedrock quota monitoring; agent failure triage; validation retry tuning; quota adjustment</t>
        </is>
      </c>
      <c r="D52" s="51" t="inlineStr">
        <is>
          <t>Support Engineer</t>
        </is>
      </c>
      <c r="E52" s="52" t="n">
        <v>80</v>
      </c>
      <c r="F52" s="53" t="n">
        <v>1</v>
      </c>
      <c r="G52" s="52" t="n">
        <v>80</v>
      </c>
      <c r="H52" s="54" t="n">
        <v>150</v>
      </c>
      <c r="I52" s="55">
        <f>TEXT(80*150,"$#,##0")</f>
        <v/>
      </c>
      <c r="J52" s="51" t="inlineStr">
        <is>
          <t>Documentation Delivery</t>
        </is>
      </c>
      <c r="K52" s="51" t="inlineStr">
        <is>
          <t>Large-complexity engagement; 8 weeks covers ~200 solutions/mo ramp</t>
        </is>
      </c>
    </row>
    <row r="53" ht="26" customHeight="1">
      <c r="A53" s="44" t="inlineStr">
        <is>
          <t>Deployment</t>
        </is>
      </c>
      <c r="B53" s="45" t="inlineStr">
        <is>
          <t>Optimisation Recommendations</t>
        </is>
      </c>
      <c r="C53" s="45" t="inlineStr">
        <is>
          <t>Document Phase 2 opportunities: multi-region expansion; advanced analytics; Haiku 4.5 cost optimisation; auto-scaling</t>
        </is>
      </c>
      <c r="D53" s="45" t="inlineStr">
        <is>
          <t>Solution Architect</t>
        </is>
      </c>
      <c r="E53" s="46" t="n">
        <v>16</v>
      </c>
      <c r="F53" s="47" t="n">
        <v>1</v>
      </c>
      <c r="G53" s="46" t="n">
        <v>16</v>
      </c>
      <c r="H53" s="48" t="n">
        <v>225</v>
      </c>
      <c r="I53" s="49">
        <f>TEXT(16*225,"$#,##0")</f>
        <v/>
      </c>
      <c r="J53" s="45" t="inlineStr">
        <is>
          <t>Hypercare Support</t>
        </is>
      </c>
      <c r="K53" s="45" t="inlineStr">
        <is>
          <t>Feeds Phase 2 engagement scoping and budget planning</t>
        </is>
      </c>
    </row>
    <row r="54" ht="26" customHeight="1">
      <c r="A54" s="50" t="inlineStr">
        <is>
          <t>Deployment</t>
        </is>
      </c>
      <c r="B54" s="51" t="inlineStr">
        <is>
          <t>Project Closeout</t>
        </is>
      </c>
      <c r="C54" s="51" t="inlineStr">
        <is>
          <t>Project retrospective; lessons learned; KPI measurement (90% effort reduction; &lt;1hr generation time); executive summary</t>
        </is>
      </c>
      <c r="D54" s="51" t="inlineStr">
        <is>
          <t>Project Manager</t>
        </is>
      </c>
      <c r="E54" s="52" t="n">
        <v>8</v>
      </c>
      <c r="F54" s="53" t="n">
        <v>1</v>
      </c>
      <c r="G54" s="52" t="n">
        <v>8</v>
      </c>
      <c r="H54" s="54" t="n">
        <v>175</v>
      </c>
      <c r="I54" s="55">
        <f>TEXT(8*175,"$#,##0")</f>
        <v/>
      </c>
      <c r="J54" s="51" t="inlineStr">
        <is>
          <t>Optimisation Recommendations</t>
        </is>
      </c>
      <c r="K54" s="51" t="inlineStr">
        <is>
          <t>Executive summary distributed to Sarah Lin (CRO)</t>
        </is>
      </c>
    </row>
    <row r="55" ht="26" customHeight="1">
      <c r="A55" s="44" t="inlineStr">
        <is>
          <t>Management</t>
        </is>
      </c>
      <c r="B55" s="45" t="inlineStr">
        <is>
          <t>Technical Leadership</t>
        </is>
      </c>
      <c r="C55" s="45" t="inlineStr">
        <is>
          <t>EO Quarterback: technical oversight across all phases; architecture governance; agent-graph quality reviews; escalation handling</t>
        </is>
      </c>
      <c r="D55" s="45" t="inlineStr">
        <is>
          <t>Solution Architect</t>
        </is>
      </c>
      <c r="E55" s="49">
        <f>ROUND(SUM($G$9:$G$58)*0.10,0)</f>
        <v/>
      </c>
      <c r="F55" s="47" t="n">
        <v>1</v>
      </c>
      <c r="G55" s="49">
        <f>ROUND(SUM($G$9:$G$58)*0.10,0)</f>
        <v/>
      </c>
      <c r="H55" s="48" t="n">
        <v>225</v>
      </c>
      <c r="I55" s="49">
        <f>TEXT(ROUND(SUM($G$9:$G$58)*0.10,0)*225,"$#,##0")</f>
        <v/>
      </c>
      <c r="J55" s="45" t="inlineStr"/>
      <c r="K55" s="45" t="inlineStr">
        <is>
          <t>10% of engineering hours</t>
        </is>
      </c>
    </row>
    <row r="56" ht="26" customHeight="1">
      <c r="A56" s="50" t="inlineStr">
        <is>
          <t>Management</t>
        </is>
      </c>
      <c r="B56" s="51" t="inlineStr">
        <is>
          <t>Project Management</t>
        </is>
      </c>
      <c r="C56" s="51" t="inlineStr">
        <is>
          <t>Project coordination: weekly status reports; RAID log; milestone tracking; stakeholder comms to Sarah Lin and Marcus Patel</t>
        </is>
      </c>
      <c r="D56" s="51" t="inlineStr">
        <is>
          <t>Project Manager</t>
        </is>
      </c>
      <c r="E56" s="55">
        <f>ROUND(SUM($G$9:$G$58)*0.10,0)</f>
        <v/>
      </c>
      <c r="F56" s="53" t="n">
        <v>1</v>
      </c>
      <c r="G56" s="55">
        <f>ROUND(SUM($G$9:$G$58)*0.10,0)</f>
        <v/>
      </c>
      <c r="H56" s="54" t="n">
        <v>175</v>
      </c>
      <c r="I56" s="55">
        <f>TEXT(ROUND(SUM($G$9:$G$58)*0.10,0)*175,"$#,##0")</f>
        <v/>
      </c>
      <c r="J56" s="51" t="inlineStr"/>
      <c r="K56" s="51" t="inlineStr">
        <is>
          <t>10% of engineering hours</t>
        </is>
      </c>
    </row>
    <row r="57" ht="26" customHeight="1">
      <c r="A57" s="56" t="inlineStr"/>
      <c r="B57" s="56" t="inlineStr"/>
      <c r="C57" s="56" t="inlineStr"/>
      <c r="D57" s="56" t="inlineStr"/>
      <c r="E57" s="56" t="inlineStr"/>
      <c r="F57" s="57" t="inlineStr">
        <is>
          <t>TOTAL HOURS</t>
        </is>
      </c>
      <c r="G57" s="57">
        <f>SUM($G$9:$G$60)</f>
        <v/>
      </c>
      <c r="H57" s="57" t="inlineStr">
        <is>
          <t>TOTAL COST</t>
        </is>
      </c>
      <c r="I57" s="57">
        <f>TEXT(SUMPRODUCT($G$9:$G$60,$H$9:$H$60),"$#,##0")</f>
        <v/>
      </c>
      <c r="J57" s="56" t="inlineStr"/>
      <c r="K57" s="56" t="inlineStr"/>
    </row>
  </sheetData>
  <autoFilter ref="A2:K57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Credit Type</t>
        </is>
      </c>
      <c r="B2" s="35" t="inlineStr">
        <is>
          <t>Credit Amount</t>
        </is>
      </c>
      <c r="C2" s="35" t="inlineStr">
        <is>
          <t>Credit Comments</t>
        </is>
      </c>
    </row>
    <row r="3" ht="26" customHeight="1">
      <c r="A3" s="36" t="inlineStr">
        <is>
          <t>AWS Partner Network (APN) Services Credit</t>
        </is>
      </c>
      <c r="B3" s="58" t="n">
        <v>-15000</v>
      </c>
      <c r="C3" s="37" t="inlineStr">
        <is>
          <t>APN Advanced Tier Partner credit applied to professional services engagement; eligible for AWS AI/ML solution builds using Bedrock and AgentCore Runtime</t>
        </is>
      </c>
    </row>
    <row r="4" ht="26" customHeight="1">
      <c r="A4" s="39" t="inlineStr">
        <is>
          <t>AWS Bedrock Launch Partner Incentive</t>
        </is>
      </c>
      <c r="B4" s="59" t="n">
        <v>-5000</v>
      </c>
      <c r="C4" s="40" t="inlineStr">
        <is>
          <t>Early adopter incentive for AgentCore Runtime (Bedrock AgentCore); applicable to new platform builds leveraging Bedrock generative AI services in Year 1</t>
        </is>
      </c>
    </row>
    <row r="5" ht="26" customHeight="1">
      <c r="A5" s="36" t="inlineStr">
        <is>
          <t>Implementation Volume Discount</t>
        </is>
      </c>
      <c r="B5" s="58" t="n">
        <v>-10000</v>
      </c>
      <c r="C5" s="37" t="inlineStr">
        <is>
          <t>Volume discount on professional services for engagement exceeding $200k; applied as 4% reduction on total services cost for strategic PREDICTif / Amatra deal</t>
        </is>
      </c>
    </row>
    <row r="6" ht="26" customHeight="1">
      <c r="A6" s="60" t="inlineStr">
        <is>
          <t>TOTAL</t>
        </is>
      </c>
      <c r="B6" s="61">
        <f>SUMPRODUCT($G$9:$G$60,$H$9:$H$60)-30000</f>
        <v/>
      </c>
      <c r="C6" s="62" t="inlineStr">
        <is>
          <t>Total professional services cost minus APN credit ($15k) + Bedrock incentive ($5k) + volume discount ($10k) = $30,000 total credits applied in Year 1</t>
        </is>
      </c>
    </row>
  </sheetData>
  <autoFilter ref="A2:C6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2026-06-05T15:23:39Z</dcterms:modified>
  <cp:lastModifiedBy>Kishan Siram</cp:lastModifiedBy>
</cp:coreProperties>
</file>