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Compute" sheetId="6" state="visible" r:id="rId6"/>
    <sheet xmlns:r="http://schemas.openxmlformats.org/officeDocument/2006/relationships" name="Storage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Application" sheetId="9" state="visible" r:id="rId9"/>
    <sheet xmlns:r="http://schemas.openxmlformats.org/officeDocument/2006/relationships" name="Monitoring" sheetId="10" state="visible" r:id="rId10"/>
    <sheet xmlns:r="http://schemas.openxmlformats.org/officeDocument/2006/relationships" name="Bedrock" sheetId="11" state="visible" r:id="rId11"/>
    <sheet xmlns:r="http://schemas.openxmlformats.org/officeDocument/2006/relationships" name="Integration" sheetId="12" state="visible" r:id="rId12"/>
    <sheet xmlns:r="http://schemas.openxmlformats.org/officeDocument/2006/relationships" name="Operations" sheetId="13" state="visible" r:id="rId13"/>
  </sheets>
  <definedNames>
    <definedName name="_xlnm._FilterDatabase" localSheetId="1" hidden="1">'All Parameters (Read Only)'!$A$4:$N$123</definedName>
    <definedName name="_xlnm._FilterDatabase" localSheetId="2" hidden="1">'Project'!$A$2:$M$9</definedName>
    <definedName name="_xlnm._FilterDatabase" localSheetId="3" hidden="1">'Networking'!$A$2:$M$16</definedName>
    <definedName name="_xlnm._FilterDatabase" localSheetId="4" hidden="1">'Security'!$A$2:$M$18</definedName>
    <definedName name="_xlnm._FilterDatabase" localSheetId="5" hidden="1">'Compute'!$A$2:$M$19</definedName>
    <definedName name="_xlnm._FilterDatabase" localSheetId="6" hidden="1">'Storage'!$A$2:$M$11</definedName>
    <definedName name="_xlnm._FilterDatabase" localSheetId="7" hidden="1">'Database'!$A$2:$M$12</definedName>
    <definedName name="_xlnm._FilterDatabase" localSheetId="8" hidden="1">'Application'!$A$2:$M$13</definedName>
    <definedName name="_xlnm._FilterDatabase" localSheetId="9" hidden="1">'Monitoring'!$A$2:$M$13</definedName>
    <definedName name="_xlnm._FilterDatabase" localSheetId="10" hidden="1">'Bedrock'!$A$2:$M$8</definedName>
    <definedName name="_xlnm._FilterDatabase" localSheetId="11" hidden="1">'Integration'!$A$2:$M$8</definedName>
    <definedName name="_xlnm._FilterDatabase" localSheetId="12" hidden="1">'Operations'!$A$2:$M$14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Tmpnaegu_A5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119</v>
      </c>
      <c r="B2" s="35" t="n">
        <v>11</v>
      </c>
      <c r="C2" s="35" t="n">
        <v>119</v>
      </c>
      <c r="D2" s="35" t="n">
        <v>28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8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  <c r="K11" s="37">
        <f>IF('Project'!J9="","",'Project'!J9)</f>
        <v/>
      </c>
      <c r="L11" s="37">
        <f>IF('Project'!K9="","",'Project'!K9)</f>
        <v/>
      </c>
      <c r="M11" s="37">
        <f>IF('Project'!L9="","",'Project'!L9)</f>
        <v/>
      </c>
      <c r="N11" s="38">
        <f>IF('Project'!M9="","",'Project'!M9)</f>
        <v/>
      </c>
    </row>
    <row r="12">
      <c r="A12" s="39">
        <f>IF('Networking'!A3="","",'Networking'!A3)</f>
        <v/>
      </c>
      <c r="B12" s="39" t="inlineStr">
        <is>
          <t>Networking</t>
        </is>
      </c>
      <c r="C12" s="39">
        <f>IF('Networking'!B3="","",'Networking'!B3)</f>
        <v/>
      </c>
      <c r="D12" s="39">
        <f>IF('Networking'!C3="","",'Networking'!C3)</f>
        <v/>
      </c>
      <c r="E12" s="39">
        <f>IF('Networking'!D3="","",'Networking'!D3)</f>
        <v/>
      </c>
      <c r="F12" s="39">
        <f>IF('Networking'!E3="","",'Networking'!E3)</f>
        <v/>
      </c>
      <c r="G12" s="40">
        <f>IF('Networking'!F3="","",'Networking'!F3)</f>
        <v/>
      </c>
      <c r="H12" s="40">
        <f>IF('Networking'!G3="","",'Networking'!G3)</f>
        <v/>
      </c>
      <c r="I12" s="39">
        <f>IF('Networking'!H3="","",'Networking'!H3)</f>
        <v/>
      </c>
      <c r="J12" s="40">
        <f>IF('Networking'!I3="","",'Networking'!I3)</f>
        <v/>
      </c>
      <c r="K12" s="39">
        <f>IF('Networking'!J3="","",'Networking'!J3)</f>
        <v/>
      </c>
      <c r="L12" s="39">
        <f>IF('Networking'!K3="","",'Networking'!K3)</f>
        <v/>
      </c>
      <c r="M12" s="39">
        <f>IF('Networking'!L3="","",'Networking'!L3)</f>
        <v/>
      </c>
      <c r="N12" s="40">
        <f>IF('Networking'!M3="","",'Networking'!M3)</f>
        <v/>
      </c>
    </row>
    <row r="13">
      <c r="A13" s="37">
        <f>IF('Networking'!A4="","",'Networking'!A4)</f>
        <v/>
      </c>
      <c r="B13" s="37" t="inlineStr">
        <is>
          <t>Networking</t>
        </is>
      </c>
      <c r="C13" s="37">
        <f>IF('Networking'!B4="","",'Networking'!B4)</f>
        <v/>
      </c>
      <c r="D13" s="37">
        <f>IF('Networking'!C4="","",'Networking'!C4)</f>
        <v/>
      </c>
      <c r="E13" s="37">
        <f>IF('Networking'!D4="","",'Networking'!D4)</f>
        <v/>
      </c>
      <c r="F13" s="37">
        <f>IF('Networking'!E4="","",'Networking'!E4)</f>
        <v/>
      </c>
      <c r="G13" s="38">
        <f>IF('Networking'!F4="","",'Networking'!F4)</f>
        <v/>
      </c>
      <c r="H13" s="38">
        <f>IF('Networking'!G4="","",'Networking'!G4)</f>
        <v/>
      </c>
      <c r="I13" s="37">
        <f>IF('Networking'!H4="","",'Networking'!H4)</f>
        <v/>
      </c>
      <c r="J13" s="38">
        <f>IF('Networking'!I4="","",'Networking'!I4)</f>
        <v/>
      </c>
      <c r="K13" s="37">
        <f>IF('Networking'!J4="","",'Networking'!J4)</f>
        <v/>
      </c>
      <c r="L13" s="37">
        <f>IF('Networking'!K4="","",'Networking'!K4)</f>
        <v/>
      </c>
      <c r="M13" s="37">
        <f>IF('Networking'!L4="","",'Networking'!L4)</f>
        <v/>
      </c>
      <c r="N13" s="38">
        <f>IF('Networking'!M4="","",'Networking'!M4)</f>
        <v/>
      </c>
    </row>
    <row r="14">
      <c r="A14" s="39">
        <f>IF('Networking'!A5="","",'Networking'!A5)</f>
        <v/>
      </c>
      <c r="B14" s="39" t="inlineStr">
        <is>
          <t>Networking</t>
        </is>
      </c>
      <c r="C14" s="39">
        <f>IF('Networking'!B5="","",'Networking'!B5)</f>
        <v/>
      </c>
      <c r="D14" s="39">
        <f>IF('Networking'!C5="","",'Networking'!C5)</f>
        <v/>
      </c>
      <c r="E14" s="39">
        <f>IF('Networking'!D5="","",'Networking'!D5)</f>
        <v/>
      </c>
      <c r="F14" s="39">
        <f>IF('Networking'!E5="","",'Networking'!E5)</f>
        <v/>
      </c>
      <c r="G14" s="40">
        <f>IF('Networking'!F5="","",'Networking'!F5)</f>
        <v/>
      </c>
      <c r="H14" s="40">
        <f>IF('Networking'!G5="","",'Networking'!G5)</f>
        <v/>
      </c>
      <c r="I14" s="39">
        <f>IF('Networking'!H5="","",'Networking'!H5)</f>
        <v/>
      </c>
      <c r="J14" s="40">
        <f>IF('Networking'!I5="","",'Networking'!I5)</f>
        <v/>
      </c>
      <c r="K14" s="39">
        <f>IF('Networking'!J5="","",'Networking'!J5)</f>
        <v/>
      </c>
      <c r="L14" s="39">
        <f>IF('Networking'!K5="","",'Networking'!K5)</f>
        <v/>
      </c>
      <c r="M14" s="39">
        <f>IF('Networking'!L5="","",'Networking'!L5)</f>
        <v/>
      </c>
      <c r="N14" s="40">
        <f>IF('Networking'!M5="","",'Networking'!M5)</f>
        <v/>
      </c>
    </row>
    <row r="15">
      <c r="A15" s="37">
        <f>IF('Networking'!A6="","",'Networking'!A6)</f>
        <v/>
      </c>
      <c r="B15" s="37" t="inlineStr">
        <is>
          <t>Networking</t>
        </is>
      </c>
      <c r="C15" s="37">
        <f>IF('Networking'!B6="","",'Networking'!B6)</f>
        <v/>
      </c>
      <c r="D15" s="37">
        <f>IF('Networking'!C6="","",'Networking'!C6)</f>
        <v/>
      </c>
      <c r="E15" s="37">
        <f>IF('Networking'!D6="","",'Networking'!D6)</f>
        <v/>
      </c>
      <c r="F15" s="37">
        <f>IF('Networking'!E6="","",'Networking'!E6)</f>
        <v/>
      </c>
      <c r="G15" s="38">
        <f>IF('Networking'!F6="","",'Networking'!F6)</f>
        <v/>
      </c>
      <c r="H15" s="38">
        <f>IF('Networking'!G6="","",'Networking'!G6)</f>
        <v/>
      </c>
      <c r="I15" s="37">
        <f>IF('Networking'!H6="","",'Networking'!H6)</f>
        <v/>
      </c>
      <c r="J15" s="38">
        <f>IF('Networking'!I6="","",'Networking'!I6)</f>
        <v/>
      </c>
      <c r="K15" s="37">
        <f>IF('Networking'!J6="","",'Networking'!J6)</f>
        <v/>
      </c>
      <c r="L15" s="37">
        <f>IF('Networking'!K6="","",'Networking'!K6)</f>
        <v/>
      </c>
      <c r="M15" s="37">
        <f>IF('Networking'!L6="","",'Networking'!L6)</f>
        <v/>
      </c>
      <c r="N15" s="38">
        <f>IF('Networking'!M6="","",'Networking'!M6)</f>
        <v/>
      </c>
    </row>
    <row r="16">
      <c r="A16" s="39">
        <f>IF('Networking'!A7="","",'Networking'!A7)</f>
        <v/>
      </c>
      <c r="B16" s="39" t="inlineStr">
        <is>
          <t>Networking</t>
        </is>
      </c>
      <c r="C16" s="39">
        <f>IF('Networking'!B7="","",'Networking'!B7)</f>
        <v/>
      </c>
      <c r="D16" s="39">
        <f>IF('Networking'!C7="","",'Networking'!C7)</f>
        <v/>
      </c>
      <c r="E16" s="39">
        <f>IF('Networking'!D7="","",'Networking'!D7)</f>
        <v/>
      </c>
      <c r="F16" s="39">
        <f>IF('Networking'!E7="","",'Networking'!E7)</f>
        <v/>
      </c>
      <c r="G16" s="40">
        <f>IF('Networking'!F7="","",'Networking'!F7)</f>
        <v/>
      </c>
      <c r="H16" s="40">
        <f>IF('Networking'!G7="","",'Networking'!G7)</f>
        <v/>
      </c>
      <c r="I16" s="39">
        <f>IF('Networking'!H7="","",'Networking'!H7)</f>
        <v/>
      </c>
      <c r="J16" s="40">
        <f>IF('Networking'!I7="","",'Networking'!I7)</f>
        <v/>
      </c>
      <c r="K16" s="39">
        <f>IF('Networking'!J7="","",'Networking'!J7)</f>
        <v/>
      </c>
      <c r="L16" s="39">
        <f>IF('Networking'!K7="","",'Networking'!K7)</f>
        <v/>
      </c>
      <c r="M16" s="39">
        <f>IF('Networking'!L7="","",'Networking'!L7)</f>
        <v/>
      </c>
      <c r="N16" s="40">
        <f>IF('Networking'!M7="","",'Networking'!M7)</f>
        <v/>
      </c>
    </row>
    <row r="17">
      <c r="A17" s="37">
        <f>IF('Networking'!A8="","",'Networking'!A8)</f>
        <v/>
      </c>
      <c r="B17" s="37" t="inlineStr">
        <is>
          <t>Networking</t>
        </is>
      </c>
      <c r="C17" s="37">
        <f>IF('Networking'!B8="","",'Networking'!B8)</f>
        <v/>
      </c>
      <c r="D17" s="37">
        <f>IF('Networking'!C8="","",'Networking'!C8)</f>
        <v/>
      </c>
      <c r="E17" s="37">
        <f>IF('Networking'!D8="","",'Networking'!D8)</f>
        <v/>
      </c>
      <c r="F17" s="37">
        <f>IF('Networking'!E8="","",'Networking'!E8)</f>
        <v/>
      </c>
      <c r="G17" s="38">
        <f>IF('Networking'!F8="","",'Networking'!F8)</f>
        <v/>
      </c>
      <c r="H17" s="38">
        <f>IF('Networking'!G8="","",'Networking'!G8)</f>
        <v/>
      </c>
      <c r="I17" s="37">
        <f>IF('Networking'!H8="","",'Networking'!H8)</f>
        <v/>
      </c>
      <c r="J17" s="38">
        <f>IF('Networking'!I8="","",'Networking'!I8)</f>
        <v/>
      </c>
      <c r="K17" s="37">
        <f>IF('Networking'!J8="","",'Networking'!J8)</f>
        <v/>
      </c>
      <c r="L17" s="37">
        <f>IF('Networking'!K8="","",'Networking'!K8)</f>
        <v/>
      </c>
      <c r="M17" s="37">
        <f>IF('Networking'!L8="","",'Networking'!L8)</f>
        <v/>
      </c>
      <c r="N17" s="38">
        <f>IF('Networking'!M8="","",'Networking'!M8)</f>
        <v/>
      </c>
    </row>
    <row r="18">
      <c r="A18" s="39">
        <f>IF('Networking'!A9="","",'Networking'!A9)</f>
        <v/>
      </c>
      <c r="B18" s="39" t="inlineStr">
        <is>
          <t>Networking</t>
        </is>
      </c>
      <c r="C18" s="39">
        <f>IF('Networking'!B9="","",'Networking'!B9)</f>
        <v/>
      </c>
      <c r="D18" s="39">
        <f>IF('Networking'!C9="","",'Networking'!C9)</f>
        <v/>
      </c>
      <c r="E18" s="39">
        <f>IF('Networking'!D9="","",'Networking'!D9)</f>
        <v/>
      </c>
      <c r="F18" s="39">
        <f>IF('Networking'!E9="","",'Networking'!E9)</f>
        <v/>
      </c>
      <c r="G18" s="40">
        <f>IF('Networking'!F9="","",'Networking'!F9)</f>
        <v/>
      </c>
      <c r="H18" s="40">
        <f>IF('Networking'!G9="","",'Networking'!G9)</f>
        <v/>
      </c>
      <c r="I18" s="39">
        <f>IF('Networking'!H9="","",'Networking'!H9)</f>
        <v/>
      </c>
      <c r="J18" s="40">
        <f>IF('Networking'!I9="","",'Networking'!I9)</f>
        <v/>
      </c>
      <c r="K18" s="39">
        <f>IF('Networking'!J9="","",'Networking'!J9)</f>
        <v/>
      </c>
      <c r="L18" s="39">
        <f>IF('Networking'!K9="","",'Networking'!K9)</f>
        <v/>
      </c>
      <c r="M18" s="39">
        <f>IF('Networking'!L9="","",'Networking'!L9)</f>
        <v/>
      </c>
      <c r="N18" s="40">
        <f>IF('Networking'!M9="","",'Networking'!M9)</f>
        <v/>
      </c>
    </row>
    <row r="19">
      <c r="A19" s="37">
        <f>IF('Networking'!A10="","",'Networking'!A10)</f>
        <v/>
      </c>
      <c r="B19" s="37" t="inlineStr">
        <is>
          <t>Networking</t>
        </is>
      </c>
      <c r="C19" s="37">
        <f>IF('Networking'!B10="","",'Networking'!B10)</f>
        <v/>
      </c>
      <c r="D19" s="37">
        <f>IF('Networking'!C10="","",'Networking'!C10)</f>
        <v/>
      </c>
      <c r="E19" s="37">
        <f>IF('Networking'!D10="","",'Networking'!D10)</f>
        <v/>
      </c>
      <c r="F19" s="37">
        <f>IF('Networking'!E10="","",'Networking'!E10)</f>
        <v/>
      </c>
      <c r="G19" s="38">
        <f>IF('Networking'!F10="","",'Networking'!F10)</f>
        <v/>
      </c>
      <c r="H19" s="38">
        <f>IF('Networking'!G10="","",'Networking'!G10)</f>
        <v/>
      </c>
      <c r="I19" s="37">
        <f>IF('Networking'!H10="","",'Networking'!H10)</f>
        <v/>
      </c>
      <c r="J19" s="38">
        <f>IF('Networking'!I10="","",'Networking'!I10)</f>
        <v/>
      </c>
      <c r="K19" s="37">
        <f>IF('Networking'!J10="","",'Networking'!J10)</f>
        <v/>
      </c>
      <c r="L19" s="37">
        <f>IF('Networking'!K10="","",'Networking'!K10)</f>
        <v/>
      </c>
      <c r="M19" s="37">
        <f>IF('Networking'!L10="","",'Networking'!L10)</f>
        <v/>
      </c>
      <c r="N19" s="38">
        <f>IF('Networking'!M10="","",'Networking'!M10)</f>
        <v/>
      </c>
    </row>
    <row r="20">
      <c r="A20" s="39">
        <f>IF('Networking'!A11="","",'Networking'!A11)</f>
        <v/>
      </c>
      <c r="B20" s="39" t="inlineStr">
        <is>
          <t>Networking</t>
        </is>
      </c>
      <c r="C20" s="39">
        <f>IF('Networking'!B11="","",'Networking'!B11)</f>
        <v/>
      </c>
      <c r="D20" s="39">
        <f>IF('Networking'!C11="","",'Networking'!C11)</f>
        <v/>
      </c>
      <c r="E20" s="39">
        <f>IF('Networking'!D11="","",'Networking'!D11)</f>
        <v/>
      </c>
      <c r="F20" s="39">
        <f>IF('Networking'!E11="","",'Networking'!E11)</f>
        <v/>
      </c>
      <c r="G20" s="40">
        <f>IF('Networking'!F11="","",'Networking'!F11)</f>
        <v/>
      </c>
      <c r="H20" s="40">
        <f>IF('Networking'!G11="","",'Networking'!G11)</f>
        <v/>
      </c>
      <c r="I20" s="39">
        <f>IF('Networking'!H11="","",'Networking'!H11)</f>
        <v/>
      </c>
      <c r="J20" s="40">
        <f>IF('Networking'!I11="","",'Networking'!I11)</f>
        <v/>
      </c>
      <c r="K20" s="39">
        <f>IF('Networking'!J11="","",'Networking'!J11)</f>
        <v/>
      </c>
      <c r="L20" s="39">
        <f>IF('Networking'!K11="","",'Networking'!K11)</f>
        <v/>
      </c>
      <c r="M20" s="39">
        <f>IF('Networking'!L11="","",'Networking'!L11)</f>
        <v/>
      </c>
      <c r="N20" s="40">
        <f>IF('Networking'!M11="","",'Networking'!M11)</f>
        <v/>
      </c>
    </row>
    <row r="21">
      <c r="A21" s="37">
        <f>IF('Networking'!A12="","",'Networking'!A12)</f>
        <v/>
      </c>
      <c r="B21" s="37" t="inlineStr">
        <is>
          <t>Networking</t>
        </is>
      </c>
      <c r="C21" s="37">
        <f>IF('Networking'!B12="","",'Networking'!B12)</f>
        <v/>
      </c>
      <c r="D21" s="37">
        <f>IF('Networking'!C12="","",'Networking'!C12)</f>
        <v/>
      </c>
      <c r="E21" s="37">
        <f>IF('Networking'!D12="","",'Networking'!D12)</f>
        <v/>
      </c>
      <c r="F21" s="37">
        <f>IF('Networking'!E12="","",'Networking'!E12)</f>
        <v/>
      </c>
      <c r="G21" s="38">
        <f>IF('Networking'!F12="","",'Networking'!F12)</f>
        <v/>
      </c>
      <c r="H21" s="38">
        <f>IF('Networking'!G12="","",'Networking'!G12)</f>
        <v/>
      </c>
      <c r="I21" s="37">
        <f>IF('Networking'!H12="","",'Networking'!H12)</f>
        <v/>
      </c>
      <c r="J21" s="38">
        <f>IF('Networking'!I12="","",'Networking'!I12)</f>
        <v/>
      </c>
      <c r="K21" s="37">
        <f>IF('Networking'!J12="","",'Networking'!J12)</f>
        <v/>
      </c>
      <c r="L21" s="37">
        <f>IF('Networking'!K12="","",'Networking'!K12)</f>
        <v/>
      </c>
      <c r="M21" s="37">
        <f>IF('Networking'!L12="","",'Networking'!L12)</f>
        <v/>
      </c>
      <c r="N21" s="38">
        <f>IF('Networking'!M12="","",'Networking'!M12)</f>
        <v/>
      </c>
    </row>
    <row r="22">
      <c r="A22" s="39">
        <f>IF('Networking'!A13="","",'Networking'!A13)</f>
        <v/>
      </c>
      <c r="B22" s="39" t="inlineStr">
        <is>
          <t>Networking</t>
        </is>
      </c>
      <c r="C22" s="39">
        <f>IF('Networking'!B13="","",'Networking'!B13)</f>
        <v/>
      </c>
      <c r="D22" s="39">
        <f>IF('Networking'!C13="","",'Networking'!C13)</f>
        <v/>
      </c>
      <c r="E22" s="39">
        <f>IF('Networking'!D13="","",'Networking'!D13)</f>
        <v/>
      </c>
      <c r="F22" s="39">
        <f>IF('Networking'!E13="","",'Networking'!E13)</f>
        <v/>
      </c>
      <c r="G22" s="40">
        <f>IF('Networking'!F13="","",'Networking'!F13)</f>
        <v/>
      </c>
      <c r="H22" s="40">
        <f>IF('Networking'!G13="","",'Networking'!G13)</f>
        <v/>
      </c>
      <c r="I22" s="39">
        <f>IF('Networking'!H13="","",'Networking'!H13)</f>
        <v/>
      </c>
      <c r="J22" s="40">
        <f>IF('Networking'!I13="","",'Networking'!I13)</f>
        <v/>
      </c>
      <c r="K22" s="39">
        <f>IF('Networking'!J13="","",'Networking'!J13)</f>
        <v/>
      </c>
      <c r="L22" s="39">
        <f>IF('Networking'!K13="","",'Networking'!K13)</f>
        <v/>
      </c>
      <c r="M22" s="39">
        <f>IF('Networking'!L13="","",'Networking'!L13)</f>
        <v/>
      </c>
      <c r="N22" s="40">
        <f>IF('Networking'!M13="","",'Networking'!M13)</f>
        <v/>
      </c>
    </row>
    <row r="23">
      <c r="A23" s="37">
        <f>IF('Networking'!A14="","",'Networking'!A14)</f>
        <v/>
      </c>
      <c r="B23" s="37" t="inlineStr">
        <is>
          <t>Networking</t>
        </is>
      </c>
      <c r="C23" s="37">
        <f>IF('Networking'!B14="","",'Networking'!B14)</f>
        <v/>
      </c>
      <c r="D23" s="37">
        <f>IF('Networking'!C14="","",'Networking'!C14)</f>
        <v/>
      </c>
      <c r="E23" s="37">
        <f>IF('Networking'!D14="","",'Networking'!D14)</f>
        <v/>
      </c>
      <c r="F23" s="37">
        <f>IF('Networking'!E14="","",'Networking'!E14)</f>
        <v/>
      </c>
      <c r="G23" s="38">
        <f>IF('Networking'!F14="","",'Networking'!F14)</f>
        <v/>
      </c>
      <c r="H23" s="38">
        <f>IF('Networking'!G14="","",'Networking'!G14)</f>
        <v/>
      </c>
      <c r="I23" s="37">
        <f>IF('Networking'!H14="","",'Networking'!H14)</f>
        <v/>
      </c>
      <c r="J23" s="38">
        <f>IF('Networking'!I14="","",'Networking'!I14)</f>
        <v/>
      </c>
      <c r="K23" s="37">
        <f>IF('Networking'!J14="","",'Networking'!J14)</f>
        <v/>
      </c>
      <c r="L23" s="37">
        <f>IF('Networking'!K14="","",'Networking'!K14)</f>
        <v/>
      </c>
      <c r="M23" s="37">
        <f>IF('Networking'!L14="","",'Networking'!L14)</f>
        <v/>
      </c>
      <c r="N23" s="38">
        <f>IF('Networking'!M14="","",'Networking'!M14)</f>
        <v/>
      </c>
    </row>
    <row r="24">
      <c r="A24" s="39">
        <f>IF('Networking'!A15="","",'Networking'!A15)</f>
        <v/>
      </c>
      <c r="B24" s="39" t="inlineStr">
        <is>
          <t>Networking</t>
        </is>
      </c>
      <c r="C24" s="39">
        <f>IF('Networking'!B15="","",'Networking'!B15)</f>
        <v/>
      </c>
      <c r="D24" s="39">
        <f>IF('Networking'!C15="","",'Networking'!C15)</f>
        <v/>
      </c>
      <c r="E24" s="39">
        <f>IF('Networking'!D15="","",'Networking'!D15)</f>
        <v/>
      </c>
      <c r="F24" s="39">
        <f>IF('Networking'!E15="","",'Networking'!E15)</f>
        <v/>
      </c>
      <c r="G24" s="40">
        <f>IF('Networking'!F15="","",'Networking'!F15)</f>
        <v/>
      </c>
      <c r="H24" s="40">
        <f>IF('Networking'!G15="","",'Networking'!G15)</f>
        <v/>
      </c>
      <c r="I24" s="39">
        <f>IF('Networking'!H15="","",'Networking'!H15)</f>
        <v/>
      </c>
      <c r="J24" s="40">
        <f>IF('Networking'!I15="","",'Networking'!I15)</f>
        <v/>
      </c>
      <c r="K24" s="39">
        <f>IF('Networking'!J15="","",'Networking'!J15)</f>
        <v/>
      </c>
      <c r="L24" s="39">
        <f>IF('Networking'!K15="","",'Networking'!K15)</f>
        <v/>
      </c>
      <c r="M24" s="39">
        <f>IF('Networking'!L15="","",'Networking'!L15)</f>
        <v/>
      </c>
      <c r="N24" s="40">
        <f>IF('Networking'!M15="","",'Networking'!M15)</f>
        <v/>
      </c>
    </row>
    <row r="25">
      <c r="A25" s="37">
        <f>IF('Networking'!A16="","",'Networking'!A16)</f>
        <v/>
      </c>
      <c r="B25" s="37" t="inlineStr">
        <is>
          <t>Networking</t>
        </is>
      </c>
      <c r="C25" s="37">
        <f>IF('Networking'!B16="","",'Networking'!B16)</f>
        <v/>
      </c>
      <c r="D25" s="37">
        <f>IF('Networking'!C16="","",'Networking'!C16)</f>
        <v/>
      </c>
      <c r="E25" s="37">
        <f>IF('Networking'!D16="","",'Networking'!D16)</f>
        <v/>
      </c>
      <c r="F25" s="37">
        <f>IF('Networking'!E16="","",'Networking'!E16)</f>
        <v/>
      </c>
      <c r="G25" s="38">
        <f>IF('Networking'!F16="","",'Networking'!F16)</f>
        <v/>
      </c>
      <c r="H25" s="38">
        <f>IF('Networking'!G16="","",'Networking'!G16)</f>
        <v/>
      </c>
      <c r="I25" s="37">
        <f>IF('Networking'!H16="","",'Networking'!H16)</f>
        <v/>
      </c>
      <c r="J25" s="38">
        <f>IF('Networking'!I16="","",'Networking'!I16)</f>
        <v/>
      </c>
      <c r="K25" s="37">
        <f>IF('Networking'!J16="","",'Networking'!J16)</f>
        <v/>
      </c>
      <c r="L25" s="37">
        <f>IF('Networking'!K16="","",'Networking'!K16)</f>
        <v/>
      </c>
      <c r="M25" s="37">
        <f>IF('Networking'!L16="","",'Networking'!L16)</f>
        <v/>
      </c>
      <c r="N25" s="38">
        <f>IF('Networking'!M16="","",'Networking'!M16)</f>
        <v/>
      </c>
    </row>
    <row r="26">
      <c r="A26" s="39">
        <f>IF('Security'!A3="","",'Security'!A3)</f>
        <v/>
      </c>
      <c r="B26" s="39" t="inlineStr">
        <is>
          <t>Security</t>
        </is>
      </c>
      <c r="C26" s="39">
        <f>IF('Security'!B3="","",'Security'!B3)</f>
        <v/>
      </c>
      <c r="D26" s="39">
        <f>IF('Security'!C3="","",'Security'!C3)</f>
        <v/>
      </c>
      <c r="E26" s="39">
        <f>IF('Security'!D3="","",'Security'!D3)</f>
        <v/>
      </c>
      <c r="F26" s="39">
        <f>IF('Security'!E3="","",'Security'!E3)</f>
        <v/>
      </c>
      <c r="G26" s="40">
        <f>IF('Security'!F3="","",'Security'!F3)</f>
        <v/>
      </c>
      <c r="H26" s="40">
        <f>IF('Security'!G3="","",'Security'!G3)</f>
        <v/>
      </c>
      <c r="I26" s="39">
        <f>IF('Security'!H3="","",'Security'!H3)</f>
        <v/>
      </c>
      <c r="J26" s="40">
        <f>IF('Security'!I3="","",'Security'!I3)</f>
        <v/>
      </c>
      <c r="K26" s="39">
        <f>IF('Security'!J3="","",'Security'!J3)</f>
        <v/>
      </c>
      <c r="L26" s="39">
        <f>IF('Security'!K3="","",'Security'!K3)</f>
        <v/>
      </c>
      <c r="M26" s="39">
        <f>IF('Security'!L3="","",'Security'!L3)</f>
        <v/>
      </c>
      <c r="N26" s="40">
        <f>IF('Security'!M3="","",'Security'!M3)</f>
        <v/>
      </c>
    </row>
    <row r="27">
      <c r="A27" s="37">
        <f>IF('Security'!A4="","",'Security'!A4)</f>
        <v/>
      </c>
      <c r="B27" s="37" t="inlineStr">
        <is>
          <t>Security</t>
        </is>
      </c>
      <c r="C27" s="37">
        <f>IF('Security'!B4="","",'Security'!B4)</f>
        <v/>
      </c>
      <c r="D27" s="37">
        <f>IF('Security'!C4="","",'Security'!C4)</f>
        <v/>
      </c>
      <c r="E27" s="37">
        <f>IF('Security'!D4="","",'Security'!D4)</f>
        <v/>
      </c>
      <c r="F27" s="37">
        <f>IF('Security'!E4="","",'Security'!E4)</f>
        <v/>
      </c>
      <c r="G27" s="38">
        <f>IF('Security'!F4="","",'Security'!F4)</f>
        <v/>
      </c>
      <c r="H27" s="38">
        <f>IF('Security'!G4="","",'Security'!G4)</f>
        <v/>
      </c>
      <c r="I27" s="37">
        <f>IF('Security'!H4="","",'Security'!H4)</f>
        <v/>
      </c>
      <c r="J27" s="38">
        <f>IF('Security'!I4="","",'Security'!I4)</f>
        <v/>
      </c>
      <c r="K27" s="37">
        <f>IF('Security'!J4="","",'Security'!J4)</f>
        <v/>
      </c>
      <c r="L27" s="37">
        <f>IF('Security'!K4="","",'Security'!K4)</f>
        <v/>
      </c>
      <c r="M27" s="37">
        <f>IF('Security'!L4="","",'Security'!L4)</f>
        <v/>
      </c>
      <c r="N27" s="38">
        <f>IF('Security'!M4="","",'Security'!M4)</f>
        <v/>
      </c>
    </row>
    <row r="28">
      <c r="A28" s="39">
        <f>IF('Security'!A5="","",'Security'!A5)</f>
        <v/>
      </c>
      <c r="B28" s="39" t="inlineStr">
        <is>
          <t>Security</t>
        </is>
      </c>
      <c r="C28" s="39">
        <f>IF('Security'!B5="","",'Security'!B5)</f>
        <v/>
      </c>
      <c r="D28" s="39">
        <f>IF('Security'!C5="","",'Security'!C5)</f>
        <v/>
      </c>
      <c r="E28" s="39">
        <f>IF('Security'!D5="","",'Security'!D5)</f>
        <v/>
      </c>
      <c r="F28" s="39">
        <f>IF('Security'!E5="","",'Security'!E5)</f>
        <v/>
      </c>
      <c r="G28" s="40">
        <f>IF('Security'!F5="","",'Security'!F5)</f>
        <v/>
      </c>
      <c r="H28" s="40">
        <f>IF('Security'!G5="","",'Security'!G5)</f>
        <v/>
      </c>
      <c r="I28" s="39">
        <f>IF('Security'!H5="","",'Security'!H5)</f>
        <v/>
      </c>
      <c r="J28" s="40">
        <f>IF('Security'!I5="","",'Security'!I5)</f>
        <v/>
      </c>
      <c r="K28" s="39">
        <f>IF('Security'!J5="","",'Security'!J5)</f>
        <v/>
      </c>
      <c r="L28" s="39">
        <f>IF('Security'!K5="","",'Security'!K5)</f>
        <v/>
      </c>
      <c r="M28" s="39">
        <f>IF('Security'!L5="","",'Security'!L5)</f>
        <v/>
      </c>
      <c r="N28" s="40">
        <f>IF('Security'!M5="","",'Security'!M5)</f>
        <v/>
      </c>
    </row>
    <row r="29">
      <c r="A29" s="37">
        <f>IF('Security'!A6="","",'Security'!A6)</f>
        <v/>
      </c>
      <c r="B29" s="37" t="inlineStr">
        <is>
          <t>Security</t>
        </is>
      </c>
      <c r="C29" s="37">
        <f>IF('Security'!B6="","",'Security'!B6)</f>
        <v/>
      </c>
      <c r="D29" s="37">
        <f>IF('Security'!C6="","",'Security'!C6)</f>
        <v/>
      </c>
      <c r="E29" s="37">
        <f>IF('Security'!D6="","",'Security'!D6)</f>
        <v/>
      </c>
      <c r="F29" s="37">
        <f>IF('Security'!E6="","",'Security'!E6)</f>
        <v/>
      </c>
      <c r="G29" s="38">
        <f>IF('Security'!F6="","",'Security'!F6)</f>
        <v/>
      </c>
      <c r="H29" s="38">
        <f>IF('Security'!G6="","",'Security'!G6)</f>
        <v/>
      </c>
      <c r="I29" s="37">
        <f>IF('Security'!H6="","",'Security'!H6)</f>
        <v/>
      </c>
      <c r="J29" s="38">
        <f>IF('Security'!I6="","",'Security'!I6)</f>
        <v/>
      </c>
      <c r="K29" s="37">
        <f>IF('Security'!J6="","",'Security'!J6)</f>
        <v/>
      </c>
      <c r="L29" s="37">
        <f>IF('Security'!K6="","",'Security'!K6)</f>
        <v/>
      </c>
      <c r="M29" s="37">
        <f>IF('Security'!L6="","",'Security'!L6)</f>
        <v/>
      </c>
      <c r="N29" s="38">
        <f>IF('Security'!M6="","",'Security'!M6)</f>
        <v/>
      </c>
    </row>
    <row r="30">
      <c r="A30" s="39">
        <f>IF('Security'!A7="","",'Security'!A7)</f>
        <v/>
      </c>
      <c r="B30" s="39" t="inlineStr">
        <is>
          <t>Security</t>
        </is>
      </c>
      <c r="C30" s="39">
        <f>IF('Security'!B7="","",'Security'!B7)</f>
        <v/>
      </c>
      <c r="D30" s="39">
        <f>IF('Security'!C7="","",'Security'!C7)</f>
        <v/>
      </c>
      <c r="E30" s="39">
        <f>IF('Security'!D7="","",'Security'!D7)</f>
        <v/>
      </c>
      <c r="F30" s="39">
        <f>IF('Security'!E7="","",'Security'!E7)</f>
        <v/>
      </c>
      <c r="G30" s="40">
        <f>IF('Security'!F7="","",'Security'!F7)</f>
        <v/>
      </c>
      <c r="H30" s="40">
        <f>IF('Security'!G7="","",'Security'!G7)</f>
        <v/>
      </c>
      <c r="I30" s="39">
        <f>IF('Security'!H7="","",'Security'!H7)</f>
        <v/>
      </c>
      <c r="J30" s="40">
        <f>IF('Security'!I7="","",'Security'!I7)</f>
        <v/>
      </c>
      <c r="K30" s="39">
        <f>IF('Security'!J7="","",'Security'!J7)</f>
        <v/>
      </c>
      <c r="L30" s="39">
        <f>IF('Security'!K7="","",'Security'!K7)</f>
        <v/>
      </c>
      <c r="M30" s="39">
        <f>IF('Security'!L7="","",'Security'!L7)</f>
        <v/>
      </c>
      <c r="N30" s="40">
        <f>IF('Security'!M7="","",'Security'!M7)</f>
        <v/>
      </c>
    </row>
    <row r="31">
      <c r="A31" s="37">
        <f>IF('Security'!A8="","",'Security'!A8)</f>
        <v/>
      </c>
      <c r="B31" s="37" t="inlineStr">
        <is>
          <t>Security</t>
        </is>
      </c>
      <c r="C31" s="37">
        <f>IF('Security'!B8="","",'Security'!B8)</f>
        <v/>
      </c>
      <c r="D31" s="37">
        <f>IF('Security'!C8="","",'Security'!C8)</f>
        <v/>
      </c>
      <c r="E31" s="37">
        <f>IF('Security'!D8="","",'Security'!D8)</f>
        <v/>
      </c>
      <c r="F31" s="37">
        <f>IF('Security'!E8="","",'Security'!E8)</f>
        <v/>
      </c>
      <c r="G31" s="38">
        <f>IF('Security'!F8="","",'Security'!F8)</f>
        <v/>
      </c>
      <c r="H31" s="38">
        <f>IF('Security'!G8="","",'Security'!G8)</f>
        <v/>
      </c>
      <c r="I31" s="37">
        <f>IF('Security'!H8="","",'Security'!H8)</f>
        <v/>
      </c>
      <c r="J31" s="38">
        <f>IF('Security'!I8="","",'Security'!I8)</f>
        <v/>
      </c>
      <c r="K31" s="37">
        <f>IF('Security'!J8="","",'Security'!J8)</f>
        <v/>
      </c>
      <c r="L31" s="37">
        <f>IF('Security'!K8="","",'Security'!K8)</f>
        <v/>
      </c>
      <c r="M31" s="37">
        <f>IF('Security'!L8="","",'Security'!L8)</f>
        <v/>
      </c>
      <c r="N31" s="38">
        <f>IF('Security'!M8="","",'Security'!M8)</f>
        <v/>
      </c>
    </row>
    <row r="32">
      <c r="A32" s="39">
        <f>IF('Security'!A9="","",'Security'!A9)</f>
        <v/>
      </c>
      <c r="B32" s="39" t="inlineStr">
        <is>
          <t>Security</t>
        </is>
      </c>
      <c r="C32" s="39">
        <f>IF('Security'!B9="","",'Security'!B9)</f>
        <v/>
      </c>
      <c r="D32" s="39">
        <f>IF('Security'!C9="","",'Security'!C9)</f>
        <v/>
      </c>
      <c r="E32" s="39">
        <f>IF('Security'!D9="","",'Security'!D9)</f>
        <v/>
      </c>
      <c r="F32" s="39">
        <f>IF('Security'!E9="","",'Security'!E9)</f>
        <v/>
      </c>
      <c r="G32" s="40">
        <f>IF('Security'!F9="","",'Security'!F9)</f>
        <v/>
      </c>
      <c r="H32" s="40">
        <f>IF('Security'!G9="","",'Security'!G9)</f>
        <v/>
      </c>
      <c r="I32" s="39">
        <f>IF('Security'!H9="","",'Security'!H9)</f>
        <v/>
      </c>
      <c r="J32" s="40">
        <f>IF('Security'!I9="","",'Security'!I9)</f>
        <v/>
      </c>
      <c r="K32" s="39">
        <f>IF('Security'!J9="","",'Security'!J9)</f>
        <v/>
      </c>
      <c r="L32" s="39">
        <f>IF('Security'!K9="","",'Security'!K9)</f>
        <v/>
      </c>
      <c r="M32" s="39">
        <f>IF('Security'!L9="","",'Security'!L9)</f>
        <v/>
      </c>
      <c r="N32" s="40">
        <f>IF('Security'!M9="","",'Security'!M9)</f>
        <v/>
      </c>
    </row>
    <row r="33">
      <c r="A33" s="37">
        <f>IF('Security'!A10="","",'Security'!A10)</f>
        <v/>
      </c>
      <c r="B33" s="37" t="inlineStr">
        <is>
          <t>Security</t>
        </is>
      </c>
      <c r="C33" s="37">
        <f>IF('Security'!B10="","",'Security'!B10)</f>
        <v/>
      </c>
      <c r="D33" s="37">
        <f>IF('Security'!C10="","",'Security'!C10)</f>
        <v/>
      </c>
      <c r="E33" s="37">
        <f>IF('Security'!D10="","",'Security'!D10)</f>
        <v/>
      </c>
      <c r="F33" s="37">
        <f>IF('Security'!E10="","",'Security'!E10)</f>
        <v/>
      </c>
      <c r="G33" s="38">
        <f>IF('Security'!F10="","",'Security'!F10)</f>
        <v/>
      </c>
      <c r="H33" s="38">
        <f>IF('Security'!G10="","",'Security'!G10)</f>
        <v/>
      </c>
      <c r="I33" s="37">
        <f>IF('Security'!H10="","",'Security'!H10)</f>
        <v/>
      </c>
      <c r="J33" s="38">
        <f>IF('Security'!I10="","",'Security'!I10)</f>
        <v/>
      </c>
      <c r="K33" s="37">
        <f>IF('Security'!J10="","",'Security'!J10)</f>
        <v/>
      </c>
      <c r="L33" s="37">
        <f>IF('Security'!K10="","",'Security'!K10)</f>
        <v/>
      </c>
      <c r="M33" s="37">
        <f>IF('Security'!L10="","",'Security'!L10)</f>
        <v/>
      </c>
      <c r="N33" s="38">
        <f>IF('Security'!M10="","",'Security'!M10)</f>
        <v/>
      </c>
    </row>
    <row r="34">
      <c r="A34" s="39">
        <f>IF('Security'!A11="","",'Security'!A11)</f>
        <v/>
      </c>
      <c r="B34" s="39" t="inlineStr">
        <is>
          <t>Security</t>
        </is>
      </c>
      <c r="C34" s="39">
        <f>IF('Security'!B11="","",'Security'!B11)</f>
        <v/>
      </c>
      <c r="D34" s="39">
        <f>IF('Security'!C11="","",'Security'!C11)</f>
        <v/>
      </c>
      <c r="E34" s="39">
        <f>IF('Security'!D11="","",'Security'!D11)</f>
        <v/>
      </c>
      <c r="F34" s="39">
        <f>IF('Security'!E11="","",'Security'!E11)</f>
        <v/>
      </c>
      <c r="G34" s="40">
        <f>IF('Security'!F11="","",'Security'!F11)</f>
        <v/>
      </c>
      <c r="H34" s="40">
        <f>IF('Security'!G11="","",'Security'!G11)</f>
        <v/>
      </c>
      <c r="I34" s="39">
        <f>IF('Security'!H11="","",'Security'!H11)</f>
        <v/>
      </c>
      <c r="J34" s="40">
        <f>IF('Security'!I11="","",'Security'!I11)</f>
        <v/>
      </c>
      <c r="K34" s="39">
        <f>IF('Security'!J11="","",'Security'!J11)</f>
        <v/>
      </c>
      <c r="L34" s="39">
        <f>IF('Security'!K11="","",'Security'!K11)</f>
        <v/>
      </c>
      <c r="M34" s="39">
        <f>IF('Security'!L11="","",'Security'!L11)</f>
        <v/>
      </c>
      <c r="N34" s="40">
        <f>IF('Security'!M11="","",'Security'!M11)</f>
        <v/>
      </c>
    </row>
    <row r="35">
      <c r="A35" s="37">
        <f>IF('Security'!A12="","",'Security'!A12)</f>
        <v/>
      </c>
      <c r="B35" s="37" t="inlineStr">
        <is>
          <t>Security</t>
        </is>
      </c>
      <c r="C35" s="37">
        <f>IF('Security'!B12="","",'Security'!B12)</f>
        <v/>
      </c>
      <c r="D35" s="37">
        <f>IF('Security'!C12="","",'Security'!C12)</f>
        <v/>
      </c>
      <c r="E35" s="37">
        <f>IF('Security'!D12="","",'Security'!D12)</f>
        <v/>
      </c>
      <c r="F35" s="37">
        <f>IF('Security'!E12="","",'Security'!E12)</f>
        <v/>
      </c>
      <c r="G35" s="38">
        <f>IF('Security'!F12="","",'Security'!F12)</f>
        <v/>
      </c>
      <c r="H35" s="38">
        <f>IF('Security'!G12="","",'Security'!G12)</f>
        <v/>
      </c>
      <c r="I35" s="37">
        <f>IF('Security'!H12="","",'Security'!H12)</f>
        <v/>
      </c>
      <c r="J35" s="38">
        <f>IF('Security'!I12="","",'Security'!I12)</f>
        <v/>
      </c>
      <c r="K35" s="37">
        <f>IF('Security'!J12="","",'Security'!J12)</f>
        <v/>
      </c>
      <c r="L35" s="37">
        <f>IF('Security'!K12="","",'Security'!K12)</f>
        <v/>
      </c>
      <c r="M35" s="37">
        <f>IF('Security'!L12="","",'Security'!L12)</f>
        <v/>
      </c>
      <c r="N35" s="38">
        <f>IF('Security'!M12="","",'Security'!M12)</f>
        <v/>
      </c>
    </row>
    <row r="36">
      <c r="A36" s="39">
        <f>IF('Security'!A13="","",'Security'!A13)</f>
        <v/>
      </c>
      <c r="B36" s="39" t="inlineStr">
        <is>
          <t>Security</t>
        </is>
      </c>
      <c r="C36" s="39">
        <f>IF('Security'!B13="","",'Security'!B13)</f>
        <v/>
      </c>
      <c r="D36" s="39">
        <f>IF('Security'!C13="","",'Security'!C13)</f>
        <v/>
      </c>
      <c r="E36" s="39">
        <f>IF('Security'!D13="","",'Security'!D13)</f>
        <v/>
      </c>
      <c r="F36" s="39">
        <f>IF('Security'!E13="","",'Security'!E13)</f>
        <v/>
      </c>
      <c r="G36" s="40">
        <f>IF('Security'!F13="","",'Security'!F13)</f>
        <v/>
      </c>
      <c r="H36" s="40">
        <f>IF('Security'!G13="","",'Security'!G13)</f>
        <v/>
      </c>
      <c r="I36" s="39">
        <f>IF('Security'!H13="","",'Security'!H13)</f>
        <v/>
      </c>
      <c r="J36" s="40">
        <f>IF('Security'!I13="","",'Security'!I13)</f>
        <v/>
      </c>
      <c r="K36" s="39">
        <f>IF('Security'!J13="","",'Security'!J13)</f>
        <v/>
      </c>
      <c r="L36" s="39">
        <f>IF('Security'!K13="","",'Security'!K13)</f>
        <v/>
      </c>
      <c r="M36" s="39">
        <f>IF('Security'!L13="","",'Security'!L13)</f>
        <v/>
      </c>
      <c r="N36" s="40">
        <f>IF('Security'!M13="","",'Security'!M13)</f>
        <v/>
      </c>
    </row>
    <row r="37">
      <c r="A37" s="37">
        <f>IF('Security'!A14="","",'Security'!A14)</f>
        <v/>
      </c>
      <c r="B37" s="37" t="inlineStr">
        <is>
          <t>Security</t>
        </is>
      </c>
      <c r="C37" s="37">
        <f>IF('Security'!B14="","",'Security'!B14)</f>
        <v/>
      </c>
      <c r="D37" s="37">
        <f>IF('Security'!C14="","",'Security'!C14)</f>
        <v/>
      </c>
      <c r="E37" s="37">
        <f>IF('Security'!D14="","",'Security'!D14)</f>
        <v/>
      </c>
      <c r="F37" s="37">
        <f>IF('Security'!E14="","",'Security'!E14)</f>
        <v/>
      </c>
      <c r="G37" s="38">
        <f>IF('Security'!F14="","",'Security'!F14)</f>
        <v/>
      </c>
      <c r="H37" s="38">
        <f>IF('Security'!G14="","",'Security'!G14)</f>
        <v/>
      </c>
      <c r="I37" s="37">
        <f>IF('Security'!H14="","",'Security'!H14)</f>
        <v/>
      </c>
      <c r="J37" s="38">
        <f>IF('Security'!I14="","",'Security'!I14)</f>
        <v/>
      </c>
      <c r="K37" s="37">
        <f>IF('Security'!J14="","",'Security'!J14)</f>
        <v/>
      </c>
      <c r="L37" s="37">
        <f>IF('Security'!K14="","",'Security'!K14)</f>
        <v/>
      </c>
      <c r="M37" s="37">
        <f>IF('Security'!L14="","",'Security'!L14)</f>
        <v/>
      </c>
      <c r="N37" s="38">
        <f>IF('Security'!M14="","",'Security'!M14)</f>
        <v/>
      </c>
    </row>
    <row r="38">
      <c r="A38" s="39">
        <f>IF('Security'!A15="","",'Security'!A15)</f>
        <v/>
      </c>
      <c r="B38" s="39" t="inlineStr">
        <is>
          <t>Security</t>
        </is>
      </c>
      <c r="C38" s="39">
        <f>IF('Security'!B15="","",'Security'!B15)</f>
        <v/>
      </c>
      <c r="D38" s="39">
        <f>IF('Security'!C15="","",'Security'!C15)</f>
        <v/>
      </c>
      <c r="E38" s="39">
        <f>IF('Security'!D15="","",'Security'!D15)</f>
        <v/>
      </c>
      <c r="F38" s="39">
        <f>IF('Security'!E15="","",'Security'!E15)</f>
        <v/>
      </c>
      <c r="G38" s="40">
        <f>IF('Security'!F15="","",'Security'!F15)</f>
        <v/>
      </c>
      <c r="H38" s="40">
        <f>IF('Security'!G15="","",'Security'!G15)</f>
        <v/>
      </c>
      <c r="I38" s="39">
        <f>IF('Security'!H15="","",'Security'!H15)</f>
        <v/>
      </c>
      <c r="J38" s="40">
        <f>IF('Security'!I15="","",'Security'!I15)</f>
        <v/>
      </c>
      <c r="K38" s="39">
        <f>IF('Security'!J15="","",'Security'!J15)</f>
        <v/>
      </c>
      <c r="L38" s="39">
        <f>IF('Security'!K15="","",'Security'!K15)</f>
        <v/>
      </c>
      <c r="M38" s="39">
        <f>IF('Security'!L15="","",'Security'!L15)</f>
        <v/>
      </c>
      <c r="N38" s="40">
        <f>IF('Security'!M15="","",'Security'!M15)</f>
        <v/>
      </c>
    </row>
    <row r="39">
      <c r="A39" s="37">
        <f>IF('Security'!A16="","",'Security'!A16)</f>
        <v/>
      </c>
      <c r="B39" s="37" t="inlineStr">
        <is>
          <t>Security</t>
        </is>
      </c>
      <c r="C39" s="37">
        <f>IF('Security'!B16="","",'Security'!B16)</f>
        <v/>
      </c>
      <c r="D39" s="37">
        <f>IF('Security'!C16="","",'Security'!C16)</f>
        <v/>
      </c>
      <c r="E39" s="37">
        <f>IF('Security'!D16="","",'Security'!D16)</f>
        <v/>
      </c>
      <c r="F39" s="37">
        <f>IF('Security'!E16="","",'Security'!E16)</f>
        <v/>
      </c>
      <c r="G39" s="38">
        <f>IF('Security'!F16="","",'Security'!F16)</f>
        <v/>
      </c>
      <c r="H39" s="38">
        <f>IF('Security'!G16="","",'Security'!G16)</f>
        <v/>
      </c>
      <c r="I39" s="37">
        <f>IF('Security'!H16="","",'Security'!H16)</f>
        <v/>
      </c>
      <c r="J39" s="38">
        <f>IF('Security'!I16="","",'Security'!I16)</f>
        <v/>
      </c>
      <c r="K39" s="37">
        <f>IF('Security'!J16="","",'Security'!J16)</f>
        <v/>
      </c>
      <c r="L39" s="37">
        <f>IF('Security'!K16="","",'Security'!K16)</f>
        <v/>
      </c>
      <c r="M39" s="37">
        <f>IF('Security'!L16="","",'Security'!L16)</f>
        <v/>
      </c>
      <c r="N39" s="38">
        <f>IF('Security'!M16="","",'Security'!M16)</f>
        <v/>
      </c>
    </row>
    <row r="40">
      <c r="A40" s="39">
        <f>IF('Security'!A17="","",'Security'!A17)</f>
        <v/>
      </c>
      <c r="B40" s="39" t="inlineStr">
        <is>
          <t>Security</t>
        </is>
      </c>
      <c r="C40" s="39">
        <f>IF('Security'!B17="","",'Security'!B17)</f>
        <v/>
      </c>
      <c r="D40" s="39">
        <f>IF('Security'!C17="","",'Security'!C17)</f>
        <v/>
      </c>
      <c r="E40" s="39">
        <f>IF('Security'!D17="","",'Security'!D17)</f>
        <v/>
      </c>
      <c r="F40" s="39">
        <f>IF('Security'!E17="","",'Security'!E17)</f>
        <v/>
      </c>
      <c r="G40" s="40">
        <f>IF('Security'!F17="","",'Security'!F17)</f>
        <v/>
      </c>
      <c r="H40" s="40">
        <f>IF('Security'!G17="","",'Security'!G17)</f>
        <v/>
      </c>
      <c r="I40" s="39">
        <f>IF('Security'!H17="","",'Security'!H17)</f>
        <v/>
      </c>
      <c r="J40" s="40">
        <f>IF('Security'!I17="","",'Security'!I17)</f>
        <v/>
      </c>
      <c r="K40" s="39">
        <f>IF('Security'!J17="","",'Security'!J17)</f>
        <v/>
      </c>
      <c r="L40" s="39">
        <f>IF('Security'!K17="","",'Security'!K17)</f>
        <v/>
      </c>
      <c r="M40" s="39">
        <f>IF('Security'!L17="","",'Security'!L17)</f>
        <v/>
      </c>
      <c r="N40" s="40">
        <f>IF('Security'!M17="","",'Security'!M17)</f>
        <v/>
      </c>
    </row>
    <row r="41">
      <c r="A41" s="37">
        <f>IF('Security'!A18="","",'Security'!A18)</f>
        <v/>
      </c>
      <c r="B41" s="37" t="inlineStr">
        <is>
          <t>Security</t>
        </is>
      </c>
      <c r="C41" s="37">
        <f>IF('Security'!B18="","",'Security'!B18)</f>
        <v/>
      </c>
      <c r="D41" s="37">
        <f>IF('Security'!C18="","",'Security'!C18)</f>
        <v/>
      </c>
      <c r="E41" s="37">
        <f>IF('Security'!D18="","",'Security'!D18)</f>
        <v/>
      </c>
      <c r="F41" s="37">
        <f>IF('Security'!E18="","",'Security'!E18)</f>
        <v/>
      </c>
      <c r="G41" s="38">
        <f>IF('Security'!F18="","",'Security'!F18)</f>
        <v/>
      </c>
      <c r="H41" s="38">
        <f>IF('Security'!G18="","",'Security'!G18)</f>
        <v/>
      </c>
      <c r="I41" s="37">
        <f>IF('Security'!H18="","",'Security'!H18)</f>
        <v/>
      </c>
      <c r="J41" s="38">
        <f>IF('Security'!I18="","",'Security'!I18)</f>
        <v/>
      </c>
      <c r="K41" s="37">
        <f>IF('Security'!J18="","",'Security'!J18)</f>
        <v/>
      </c>
      <c r="L41" s="37">
        <f>IF('Security'!K18="","",'Security'!K18)</f>
        <v/>
      </c>
      <c r="M41" s="37">
        <f>IF('Security'!L18="","",'Security'!L18)</f>
        <v/>
      </c>
      <c r="N41" s="38">
        <f>IF('Security'!M18="","",'Security'!M18)</f>
        <v/>
      </c>
    </row>
    <row r="42">
      <c r="A42" s="39">
        <f>IF('Compute'!A3="","",'Compute'!A3)</f>
        <v/>
      </c>
      <c r="B42" s="39" t="inlineStr">
        <is>
          <t>Compute</t>
        </is>
      </c>
      <c r="C42" s="39">
        <f>IF('Compute'!B3="","",'Compute'!B3)</f>
        <v/>
      </c>
      <c r="D42" s="39">
        <f>IF('Compute'!C3="","",'Compute'!C3)</f>
        <v/>
      </c>
      <c r="E42" s="39">
        <f>IF('Compute'!D3="","",'Compute'!D3)</f>
        <v/>
      </c>
      <c r="F42" s="39">
        <f>IF('Compute'!E3="","",'Compute'!E3)</f>
        <v/>
      </c>
      <c r="G42" s="40">
        <f>IF('Compute'!F3="","",'Compute'!F3)</f>
        <v/>
      </c>
      <c r="H42" s="40">
        <f>IF('Compute'!G3="","",'Compute'!G3)</f>
        <v/>
      </c>
      <c r="I42" s="39">
        <f>IF('Compute'!H3="","",'Compute'!H3)</f>
        <v/>
      </c>
      <c r="J42" s="40">
        <f>IF('Compute'!I3="","",'Compute'!I3)</f>
        <v/>
      </c>
      <c r="K42" s="39">
        <f>IF('Compute'!J3="","",'Compute'!J3)</f>
        <v/>
      </c>
      <c r="L42" s="39">
        <f>IF('Compute'!K3="","",'Compute'!K3)</f>
        <v/>
      </c>
      <c r="M42" s="39">
        <f>IF('Compute'!L3="","",'Compute'!L3)</f>
        <v/>
      </c>
      <c r="N42" s="40">
        <f>IF('Compute'!M3="","",'Compute'!M3)</f>
        <v/>
      </c>
    </row>
    <row r="43">
      <c r="A43" s="37">
        <f>IF('Compute'!A4="","",'Compute'!A4)</f>
        <v/>
      </c>
      <c r="B43" s="37" t="inlineStr">
        <is>
          <t>Compute</t>
        </is>
      </c>
      <c r="C43" s="37">
        <f>IF('Compute'!B4="","",'Compute'!B4)</f>
        <v/>
      </c>
      <c r="D43" s="37">
        <f>IF('Compute'!C4="","",'Compute'!C4)</f>
        <v/>
      </c>
      <c r="E43" s="37">
        <f>IF('Compute'!D4="","",'Compute'!D4)</f>
        <v/>
      </c>
      <c r="F43" s="37">
        <f>IF('Compute'!E4="","",'Compute'!E4)</f>
        <v/>
      </c>
      <c r="G43" s="38">
        <f>IF('Compute'!F4="","",'Compute'!F4)</f>
        <v/>
      </c>
      <c r="H43" s="38">
        <f>IF('Compute'!G4="","",'Compute'!G4)</f>
        <v/>
      </c>
      <c r="I43" s="37">
        <f>IF('Compute'!H4="","",'Compute'!H4)</f>
        <v/>
      </c>
      <c r="J43" s="38">
        <f>IF('Compute'!I4="","",'Compute'!I4)</f>
        <v/>
      </c>
      <c r="K43" s="37">
        <f>IF('Compute'!J4="","",'Compute'!J4)</f>
        <v/>
      </c>
      <c r="L43" s="37">
        <f>IF('Compute'!K4="","",'Compute'!K4)</f>
        <v/>
      </c>
      <c r="M43" s="37">
        <f>IF('Compute'!L4="","",'Compute'!L4)</f>
        <v/>
      </c>
      <c r="N43" s="38">
        <f>IF('Compute'!M4="","",'Compute'!M4)</f>
        <v/>
      </c>
    </row>
    <row r="44">
      <c r="A44" s="39">
        <f>IF('Compute'!A5="","",'Compute'!A5)</f>
        <v/>
      </c>
      <c r="B44" s="39" t="inlineStr">
        <is>
          <t>Compute</t>
        </is>
      </c>
      <c r="C44" s="39">
        <f>IF('Compute'!B5="","",'Compute'!B5)</f>
        <v/>
      </c>
      <c r="D44" s="39">
        <f>IF('Compute'!C5="","",'Compute'!C5)</f>
        <v/>
      </c>
      <c r="E44" s="39">
        <f>IF('Compute'!D5="","",'Compute'!D5)</f>
        <v/>
      </c>
      <c r="F44" s="39">
        <f>IF('Compute'!E5="","",'Compute'!E5)</f>
        <v/>
      </c>
      <c r="G44" s="40">
        <f>IF('Compute'!F5="","",'Compute'!F5)</f>
        <v/>
      </c>
      <c r="H44" s="40">
        <f>IF('Compute'!G5="","",'Compute'!G5)</f>
        <v/>
      </c>
      <c r="I44" s="39">
        <f>IF('Compute'!H5="","",'Compute'!H5)</f>
        <v/>
      </c>
      <c r="J44" s="40">
        <f>IF('Compute'!I5="","",'Compute'!I5)</f>
        <v/>
      </c>
      <c r="K44" s="39">
        <f>IF('Compute'!J5="","",'Compute'!J5)</f>
        <v/>
      </c>
      <c r="L44" s="39">
        <f>IF('Compute'!K5="","",'Compute'!K5)</f>
        <v/>
      </c>
      <c r="M44" s="39">
        <f>IF('Compute'!L5="","",'Compute'!L5)</f>
        <v/>
      </c>
      <c r="N44" s="40">
        <f>IF('Compute'!M5="","",'Compute'!M5)</f>
        <v/>
      </c>
    </row>
    <row r="45">
      <c r="A45" s="37">
        <f>IF('Compute'!A6="","",'Compute'!A6)</f>
        <v/>
      </c>
      <c r="B45" s="37" t="inlineStr">
        <is>
          <t>Compute</t>
        </is>
      </c>
      <c r="C45" s="37">
        <f>IF('Compute'!B6="","",'Compute'!B6)</f>
        <v/>
      </c>
      <c r="D45" s="37">
        <f>IF('Compute'!C6="","",'Compute'!C6)</f>
        <v/>
      </c>
      <c r="E45" s="37">
        <f>IF('Compute'!D6="","",'Compute'!D6)</f>
        <v/>
      </c>
      <c r="F45" s="37">
        <f>IF('Compute'!E6="","",'Compute'!E6)</f>
        <v/>
      </c>
      <c r="G45" s="38">
        <f>IF('Compute'!F6="","",'Compute'!F6)</f>
        <v/>
      </c>
      <c r="H45" s="38">
        <f>IF('Compute'!G6="","",'Compute'!G6)</f>
        <v/>
      </c>
      <c r="I45" s="37">
        <f>IF('Compute'!H6="","",'Compute'!H6)</f>
        <v/>
      </c>
      <c r="J45" s="38">
        <f>IF('Compute'!I6="","",'Compute'!I6)</f>
        <v/>
      </c>
      <c r="K45" s="37">
        <f>IF('Compute'!J6="","",'Compute'!J6)</f>
        <v/>
      </c>
      <c r="L45" s="37">
        <f>IF('Compute'!K6="","",'Compute'!K6)</f>
        <v/>
      </c>
      <c r="M45" s="37">
        <f>IF('Compute'!L6="","",'Compute'!L6)</f>
        <v/>
      </c>
      <c r="N45" s="38">
        <f>IF('Compute'!M6="","",'Compute'!M6)</f>
        <v/>
      </c>
    </row>
    <row r="46">
      <c r="A46" s="39">
        <f>IF('Compute'!A7="","",'Compute'!A7)</f>
        <v/>
      </c>
      <c r="B46" s="39" t="inlineStr">
        <is>
          <t>Compute</t>
        </is>
      </c>
      <c r="C46" s="39">
        <f>IF('Compute'!B7="","",'Compute'!B7)</f>
        <v/>
      </c>
      <c r="D46" s="39">
        <f>IF('Compute'!C7="","",'Compute'!C7)</f>
        <v/>
      </c>
      <c r="E46" s="39">
        <f>IF('Compute'!D7="","",'Compute'!D7)</f>
        <v/>
      </c>
      <c r="F46" s="39">
        <f>IF('Compute'!E7="","",'Compute'!E7)</f>
        <v/>
      </c>
      <c r="G46" s="40">
        <f>IF('Compute'!F7="","",'Compute'!F7)</f>
        <v/>
      </c>
      <c r="H46" s="40">
        <f>IF('Compute'!G7="","",'Compute'!G7)</f>
        <v/>
      </c>
      <c r="I46" s="39">
        <f>IF('Compute'!H7="","",'Compute'!H7)</f>
        <v/>
      </c>
      <c r="J46" s="40">
        <f>IF('Compute'!I7="","",'Compute'!I7)</f>
        <v/>
      </c>
      <c r="K46" s="39">
        <f>IF('Compute'!J7="","",'Compute'!J7)</f>
        <v/>
      </c>
      <c r="L46" s="39">
        <f>IF('Compute'!K7="","",'Compute'!K7)</f>
        <v/>
      </c>
      <c r="M46" s="39">
        <f>IF('Compute'!L7="","",'Compute'!L7)</f>
        <v/>
      </c>
      <c r="N46" s="40">
        <f>IF('Compute'!M7="","",'Compute'!M7)</f>
        <v/>
      </c>
    </row>
    <row r="47">
      <c r="A47" s="37">
        <f>IF('Compute'!A8="","",'Compute'!A8)</f>
        <v/>
      </c>
      <c r="B47" s="37" t="inlineStr">
        <is>
          <t>Compute</t>
        </is>
      </c>
      <c r="C47" s="37">
        <f>IF('Compute'!B8="","",'Compute'!B8)</f>
        <v/>
      </c>
      <c r="D47" s="37">
        <f>IF('Compute'!C8="","",'Compute'!C8)</f>
        <v/>
      </c>
      <c r="E47" s="37">
        <f>IF('Compute'!D8="","",'Compute'!D8)</f>
        <v/>
      </c>
      <c r="F47" s="37">
        <f>IF('Compute'!E8="","",'Compute'!E8)</f>
        <v/>
      </c>
      <c r="G47" s="38">
        <f>IF('Compute'!F8="","",'Compute'!F8)</f>
        <v/>
      </c>
      <c r="H47" s="38">
        <f>IF('Compute'!G8="","",'Compute'!G8)</f>
        <v/>
      </c>
      <c r="I47" s="37">
        <f>IF('Compute'!H8="","",'Compute'!H8)</f>
        <v/>
      </c>
      <c r="J47" s="38">
        <f>IF('Compute'!I8="","",'Compute'!I8)</f>
        <v/>
      </c>
      <c r="K47" s="37">
        <f>IF('Compute'!J8="","",'Compute'!J8)</f>
        <v/>
      </c>
      <c r="L47" s="37">
        <f>IF('Compute'!K8="","",'Compute'!K8)</f>
        <v/>
      </c>
      <c r="M47" s="37">
        <f>IF('Compute'!L8="","",'Compute'!L8)</f>
        <v/>
      </c>
      <c r="N47" s="38">
        <f>IF('Compute'!M8="","",'Compute'!M8)</f>
        <v/>
      </c>
    </row>
    <row r="48">
      <c r="A48" s="39">
        <f>IF('Compute'!A9="","",'Compute'!A9)</f>
        <v/>
      </c>
      <c r="B48" s="39" t="inlineStr">
        <is>
          <t>Compute</t>
        </is>
      </c>
      <c r="C48" s="39">
        <f>IF('Compute'!B9="","",'Compute'!B9)</f>
        <v/>
      </c>
      <c r="D48" s="39">
        <f>IF('Compute'!C9="","",'Compute'!C9)</f>
        <v/>
      </c>
      <c r="E48" s="39">
        <f>IF('Compute'!D9="","",'Compute'!D9)</f>
        <v/>
      </c>
      <c r="F48" s="39">
        <f>IF('Compute'!E9="","",'Compute'!E9)</f>
        <v/>
      </c>
      <c r="G48" s="40">
        <f>IF('Compute'!F9="","",'Compute'!F9)</f>
        <v/>
      </c>
      <c r="H48" s="40">
        <f>IF('Compute'!G9="","",'Compute'!G9)</f>
        <v/>
      </c>
      <c r="I48" s="39">
        <f>IF('Compute'!H9="","",'Compute'!H9)</f>
        <v/>
      </c>
      <c r="J48" s="40">
        <f>IF('Compute'!I9="","",'Compute'!I9)</f>
        <v/>
      </c>
      <c r="K48" s="39">
        <f>IF('Compute'!J9="","",'Compute'!J9)</f>
        <v/>
      </c>
      <c r="L48" s="39">
        <f>IF('Compute'!K9="","",'Compute'!K9)</f>
        <v/>
      </c>
      <c r="M48" s="39">
        <f>IF('Compute'!L9="","",'Compute'!L9)</f>
        <v/>
      </c>
      <c r="N48" s="40">
        <f>IF('Compute'!M9="","",'Compute'!M9)</f>
        <v/>
      </c>
    </row>
    <row r="49">
      <c r="A49" s="37">
        <f>IF('Compute'!A10="","",'Compute'!A10)</f>
        <v/>
      </c>
      <c r="B49" s="37" t="inlineStr">
        <is>
          <t>Compute</t>
        </is>
      </c>
      <c r="C49" s="37">
        <f>IF('Compute'!B10="","",'Compute'!B10)</f>
        <v/>
      </c>
      <c r="D49" s="37">
        <f>IF('Compute'!C10="","",'Compute'!C10)</f>
        <v/>
      </c>
      <c r="E49" s="37">
        <f>IF('Compute'!D10="","",'Compute'!D10)</f>
        <v/>
      </c>
      <c r="F49" s="37">
        <f>IF('Compute'!E10="","",'Compute'!E10)</f>
        <v/>
      </c>
      <c r="G49" s="38">
        <f>IF('Compute'!F10="","",'Compute'!F10)</f>
        <v/>
      </c>
      <c r="H49" s="38">
        <f>IF('Compute'!G10="","",'Compute'!G10)</f>
        <v/>
      </c>
      <c r="I49" s="37">
        <f>IF('Compute'!H10="","",'Compute'!H10)</f>
        <v/>
      </c>
      <c r="J49" s="38">
        <f>IF('Compute'!I10="","",'Compute'!I10)</f>
        <v/>
      </c>
      <c r="K49" s="37">
        <f>IF('Compute'!J10="","",'Compute'!J10)</f>
        <v/>
      </c>
      <c r="L49" s="37">
        <f>IF('Compute'!K10="","",'Compute'!K10)</f>
        <v/>
      </c>
      <c r="M49" s="37">
        <f>IF('Compute'!L10="","",'Compute'!L10)</f>
        <v/>
      </c>
      <c r="N49" s="38">
        <f>IF('Compute'!M10="","",'Compute'!M10)</f>
        <v/>
      </c>
    </row>
    <row r="50">
      <c r="A50" s="39">
        <f>IF('Compute'!A11="","",'Compute'!A11)</f>
        <v/>
      </c>
      <c r="B50" s="39" t="inlineStr">
        <is>
          <t>Compute</t>
        </is>
      </c>
      <c r="C50" s="39">
        <f>IF('Compute'!B11="","",'Compute'!B11)</f>
        <v/>
      </c>
      <c r="D50" s="39">
        <f>IF('Compute'!C11="","",'Compute'!C11)</f>
        <v/>
      </c>
      <c r="E50" s="39">
        <f>IF('Compute'!D11="","",'Compute'!D11)</f>
        <v/>
      </c>
      <c r="F50" s="39">
        <f>IF('Compute'!E11="","",'Compute'!E11)</f>
        <v/>
      </c>
      <c r="G50" s="40">
        <f>IF('Compute'!F11="","",'Compute'!F11)</f>
        <v/>
      </c>
      <c r="H50" s="40">
        <f>IF('Compute'!G11="","",'Compute'!G11)</f>
        <v/>
      </c>
      <c r="I50" s="39">
        <f>IF('Compute'!H11="","",'Compute'!H11)</f>
        <v/>
      </c>
      <c r="J50" s="40">
        <f>IF('Compute'!I11="","",'Compute'!I11)</f>
        <v/>
      </c>
      <c r="K50" s="39">
        <f>IF('Compute'!J11="","",'Compute'!J11)</f>
        <v/>
      </c>
      <c r="L50" s="39">
        <f>IF('Compute'!K11="","",'Compute'!K11)</f>
        <v/>
      </c>
      <c r="M50" s="39">
        <f>IF('Compute'!L11="","",'Compute'!L11)</f>
        <v/>
      </c>
      <c r="N50" s="40">
        <f>IF('Compute'!M11="","",'Compute'!M11)</f>
        <v/>
      </c>
    </row>
    <row r="51">
      <c r="A51" s="37">
        <f>IF('Compute'!A12="","",'Compute'!A12)</f>
        <v/>
      </c>
      <c r="B51" s="37" t="inlineStr">
        <is>
          <t>Compute</t>
        </is>
      </c>
      <c r="C51" s="37">
        <f>IF('Compute'!B12="","",'Compute'!B12)</f>
        <v/>
      </c>
      <c r="D51" s="37">
        <f>IF('Compute'!C12="","",'Compute'!C12)</f>
        <v/>
      </c>
      <c r="E51" s="37">
        <f>IF('Compute'!D12="","",'Compute'!D12)</f>
        <v/>
      </c>
      <c r="F51" s="37">
        <f>IF('Compute'!E12="","",'Compute'!E12)</f>
        <v/>
      </c>
      <c r="G51" s="38">
        <f>IF('Compute'!F12="","",'Compute'!F12)</f>
        <v/>
      </c>
      <c r="H51" s="38">
        <f>IF('Compute'!G12="","",'Compute'!G12)</f>
        <v/>
      </c>
      <c r="I51" s="37">
        <f>IF('Compute'!H12="","",'Compute'!H12)</f>
        <v/>
      </c>
      <c r="J51" s="38">
        <f>IF('Compute'!I12="","",'Compute'!I12)</f>
        <v/>
      </c>
      <c r="K51" s="37">
        <f>IF('Compute'!J12="","",'Compute'!J12)</f>
        <v/>
      </c>
      <c r="L51" s="37">
        <f>IF('Compute'!K12="","",'Compute'!K12)</f>
        <v/>
      </c>
      <c r="M51" s="37">
        <f>IF('Compute'!L12="","",'Compute'!L12)</f>
        <v/>
      </c>
      <c r="N51" s="38">
        <f>IF('Compute'!M12="","",'Compute'!M12)</f>
        <v/>
      </c>
    </row>
    <row r="52">
      <c r="A52" s="39">
        <f>IF('Compute'!A13="","",'Compute'!A13)</f>
        <v/>
      </c>
      <c r="B52" s="39" t="inlineStr">
        <is>
          <t>Compute</t>
        </is>
      </c>
      <c r="C52" s="39">
        <f>IF('Compute'!B13="","",'Compute'!B13)</f>
        <v/>
      </c>
      <c r="D52" s="39">
        <f>IF('Compute'!C13="","",'Compute'!C13)</f>
        <v/>
      </c>
      <c r="E52" s="39">
        <f>IF('Compute'!D13="","",'Compute'!D13)</f>
        <v/>
      </c>
      <c r="F52" s="39">
        <f>IF('Compute'!E13="","",'Compute'!E13)</f>
        <v/>
      </c>
      <c r="G52" s="40">
        <f>IF('Compute'!F13="","",'Compute'!F13)</f>
        <v/>
      </c>
      <c r="H52" s="40">
        <f>IF('Compute'!G13="","",'Compute'!G13)</f>
        <v/>
      </c>
      <c r="I52" s="39">
        <f>IF('Compute'!H13="","",'Compute'!H13)</f>
        <v/>
      </c>
      <c r="J52" s="40">
        <f>IF('Compute'!I13="","",'Compute'!I13)</f>
        <v/>
      </c>
      <c r="K52" s="39">
        <f>IF('Compute'!J13="","",'Compute'!J13)</f>
        <v/>
      </c>
      <c r="L52" s="39">
        <f>IF('Compute'!K13="","",'Compute'!K13)</f>
        <v/>
      </c>
      <c r="M52" s="39">
        <f>IF('Compute'!L13="","",'Compute'!L13)</f>
        <v/>
      </c>
      <c r="N52" s="40">
        <f>IF('Compute'!M13="","",'Compute'!M13)</f>
        <v/>
      </c>
    </row>
    <row r="53">
      <c r="A53" s="37">
        <f>IF('Compute'!A14="","",'Compute'!A14)</f>
        <v/>
      </c>
      <c r="B53" s="37" t="inlineStr">
        <is>
          <t>Compute</t>
        </is>
      </c>
      <c r="C53" s="37">
        <f>IF('Compute'!B14="","",'Compute'!B14)</f>
        <v/>
      </c>
      <c r="D53" s="37">
        <f>IF('Compute'!C14="","",'Compute'!C14)</f>
        <v/>
      </c>
      <c r="E53" s="37">
        <f>IF('Compute'!D14="","",'Compute'!D14)</f>
        <v/>
      </c>
      <c r="F53" s="37">
        <f>IF('Compute'!E14="","",'Compute'!E14)</f>
        <v/>
      </c>
      <c r="G53" s="38">
        <f>IF('Compute'!F14="","",'Compute'!F14)</f>
        <v/>
      </c>
      <c r="H53" s="38">
        <f>IF('Compute'!G14="","",'Compute'!G14)</f>
        <v/>
      </c>
      <c r="I53" s="37">
        <f>IF('Compute'!H14="","",'Compute'!H14)</f>
        <v/>
      </c>
      <c r="J53" s="38">
        <f>IF('Compute'!I14="","",'Compute'!I14)</f>
        <v/>
      </c>
      <c r="K53" s="37">
        <f>IF('Compute'!J14="","",'Compute'!J14)</f>
        <v/>
      </c>
      <c r="L53" s="37">
        <f>IF('Compute'!K14="","",'Compute'!K14)</f>
        <v/>
      </c>
      <c r="M53" s="37">
        <f>IF('Compute'!L14="","",'Compute'!L14)</f>
        <v/>
      </c>
      <c r="N53" s="38">
        <f>IF('Compute'!M14="","",'Compute'!M14)</f>
        <v/>
      </c>
    </row>
    <row r="54">
      <c r="A54" s="39">
        <f>IF('Compute'!A15="","",'Compute'!A15)</f>
        <v/>
      </c>
      <c r="B54" s="39" t="inlineStr">
        <is>
          <t>Compute</t>
        </is>
      </c>
      <c r="C54" s="39">
        <f>IF('Compute'!B15="","",'Compute'!B15)</f>
        <v/>
      </c>
      <c r="D54" s="39">
        <f>IF('Compute'!C15="","",'Compute'!C15)</f>
        <v/>
      </c>
      <c r="E54" s="39">
        <f>IF('Compute'!D15="","",'Compute'!D15)</f>
        <v/>
      </c>
      <c r="F54" s="39">
        <f>IF('Compute'!E15="","",'Compute'!E15)</f>
        <v/>
      </c>
      <c r="G54" s="40">
        <f>IF('Compute'!F15="","",'Compute'!F15)</f>
        <v/>
      </c>
      <c r="H54" s="40">
        <f>IF('Compute'!G15="","",'Compute'!G15)</f>
        <v/>
      </c>
      <c r="I54" s="39">
        <f>IF('Compute'!H15="","",'Compute'!H15)</f>
        <v/>
      </c>
      <c r="J54" s="40">
        <f>IF('Compute'!I15="","",'Compute'!I15)</f>
        <v/>
      </c>
      <c r="K54" s="39">
        <f>IF('Compute'!J15="","",'Compute'!J15)</f>
        <v/>
      </c>
      <c r="L54" s="39">
        <f>IF('Compute'!K15="","",'Compute'!K15)</f>
        <v/>
      </c>
      <c r="M54" s="39">
        <f>IF('Compute'!L15="","",'Compute'!L15)</f>
        <v/>
      </c>
      <c r="N54" s="40">
        <f>IF('Compute'!M15="","",'Compute'!M15)</f>
        <v/>
      </c>
    </row>
    <row r="55">
      <c r="A55" s="37">
        <f>IF('Compute'!A16="","",'Compute'!A16)</f>
        <v/>
      </c>
      <c r="B55" s="37" t="inlineStr">
        <is>
          <t>Compute</t>
        </is>
      </c>
      <c r="C55" s="37">
        <f>IF('Compute'!B16="","",'Compute'!B16)</f>
        <v/>
      </c>
      <c r="D55" s="37">
        <f>IF('Compute'!C16="","",'Compute'!C16)</f>
        <v/>
      </c>
      <c r="E55" s="37">
        <f>IF('Compute'!D16="","",'Compute'!D16)</f>
        <v/>
      </c>
      <c r="F55" s="37">
        <f>IF('Compute'!E16="","",'Compute'!E16)</f>
        <v/>
      </c>
      <c r="G55" s="38">
        <f>IF('Compute'!F16="","",'Compute'!F16)</f>
        <v/>
      </c>
      <c r="H55" s="38">
        <f>IF('Compute'!G16="","",'Compute'!G16)</f>
        <v/>
      </c>
      <c r="I55" s="37">
        <f>IF('Compute'!H16="","",'Compute'!H16)</f>
        <v/>
      </c>
      <c r="J55" s="38">
        <f>IF('Compute'!I16="","",'Compute'!I16)</f>
        <v/>
      </c>
      <c r="K55" s="37">
        <f>IF('Compute'!J16="","",'Compute'!J16)</f>
        <v/>
      </c>
      <c r="L55" s="37">
        <f>IF('Compute'!K16="","",'Compute'!K16)</f>
        <v/>
      </c>
      <c r="M55" s="37">
        <f>IF('Compute'!L16="","",'Compute'!L16)</f>
        <v/>
      </c>
      <c r="N55" s="38">
        <f>IF('Compute'!M16="","",'Compute'!M16)</f>
        <v/>
      </c>
    </row>
    <row r="56">
      <c r="A56" s="39">
        <f>IF('Compute'!A17="","",'Compute'!A17)</f>
        <v/>
      </c>
      <c r="B56" s="39" t="inlineStr">
        <is>
          <t>Compute</t>
        </is>
      </c>
      <c r="C56" s="39">
        <f>IF('Compute'!B17="","",'Compute'!B17)</f>
        <v/>
      </c>
      <c r="D56" s="39">
        <f>IF('Compute'!C17="","",'Compute'!C17)</f>
        <v/>
      </c>
      <c r="E56" s="39">
        <f>IF('Compute'!D17="","",'Compute'!D17)</f>
        <v/>
      </c>
      <c r="F56" s="39">
        <f>IF('Compute'!E17="","",'Compute'!E17)</f>
        <v/>
      </c>
      <c r="G56" s="40">
        <f>IF('Compute'!F17="","",'Compute'!F17)</f>
        <v/>
      </c>
      <c r="H56" s="40">
        <f>IF('Compute'!G17="","",'Compute'!G17)</f>
        <v/>
      </c>
      <c r="I56" s="39">
        <f>IF('Compute'!H17="","",'Compute'!H17)</f>
        <v/>
      </c>
      <c r="J56" s="40">
        <f>IF('Compute'!I17="","",'Compute'!I17)</f>
        <v/>
      </c>
      <c r="K56" s="39">
        <f>IF('Compute'!J17="","",'Compute'!J17)</f>
        <v/>
      </c>
      <c r="L56" s="39">
        <f>IF('Compute'!K17="","",'Compute'!K17)</f>
        <v/>
      </c>
      <c r="M56" s="39">
        <f>IF('Compute'!L17="","",'Compute'!L17)</f>
        <v/>
      </c>
      <c r="N56" s="40">
        <f>IF('Compute'!M17="","",'Compute'!M17)</f>
        <v/>
      </c>
    </row>
    <row r="57">
      <c r="A57" s="37">
        <f>IF('Compute'!A18="","",'Compute'!A18)</f>
        <v/>
      </c>
      <c r="B57" s="37" t="inlineStr">
        <is>
          <t>Compute</t>
        </is>
      </c>
      <c r="C57" s="37">
        <f>IF('Compute'!B18="","",'Compute'!B18)</f>
        <v/>
      </c>
      <c r="D57" s="37">
        <f>IF('Compute'!C18="","",'Compute'!C18)</f>
        <v/>
      </c>
      <c r="E57" s="37">
        <f>IF('Compute'!D18="","",'Compute'!D18)</f>
        <v/>
      </c>
      <c r="F57" s="37">
        <f>IF('Compute'!E18="","",'Compute'!E18)</f>
        <v/>
      </c>
      <c r="G57" s="38">
        <f>IF('Compute'!F18="","",'Compute'!F18)</f>
        <v/>
      </c>
      <c r="H57" s="38">
        <f>IF('Compute'!G18="","",'Compute'!G18)</f>
        <v/>
      </c>
      <c r="I57" s="37">
        <f>IF('Compute'!H18="","",'Compute'!H18)</f>
        <v/>
      </c>
      <c r="J57" s="38">
        <f>IF('Compute'!I18="","",'Compute'!I18)</f>
        <v/>
      </c>
      <c r="K57" s="37">
        <f>IF('Compute'!J18="","",'Compute'!J18)</f>
        <v/>
      </c>
      <c r="L57" s="37">
        <f>IF('Compute'!K18="","",'Compute'!K18)</f>
        <v/>
      </c>
      <c r="M57" s="37">
        <f>IF('Compute'!L18="","",'Compute'!L18)</f>
        <v/>
      </c>
      <c r="N57" s="38">
        <f>IF('Compute'!M18="","",'Compute'!M18)</f>
        <v/>
      </c>
    </row>
    <row r="58">
      <c r="A58" s="39">
        <f>IF('Compute'!A19="","",'Compute'!A19)</f>
        <v/>
      </c>
      <c r="B58" s="39" t="inlineStr">
        <is>
          <t>Compute</t>
        </is>
      </c>
      <c r="C58" s="39">
        <f>IF('Compute'!B19="","",'Compute'!B19)</f>
        <v/>
      </c>
      <c r="D58" s="39">
        <f>IF('Compute'!C19="","",'Compute'!C19)</f>
        <v/>
      </c>
      <c r="E58" s="39">
        <f>IF('Compute'!D19="","",'Compute'!D19)</f>
        <v/>
      </c>
      <c r="F58" s="39">
        <f>IF('Compute'!E19="","",'Compute'!E19)</f>
        <v/>
      </c>
      <c r="G58" s="40">
        <f>IF('Compute'!F19="","",'Compute'!F19)</f>
        <v/>
      </c>
      <c r="H58" s="40">
        <f>IF('Compute'!G19="","",'Compute'!G19)</f>
        <v/>
      </c>
      <c r="I58" s="39">
        <f>IF('Compute'!H19="","",'Compute'!H19)</f>
        <v/>
      </c>
      <c r="J58" s="40">
        <f>IF('Compute'!I19="","",'Compute'!I19)</f>
        <v/>
      </c>
      <c r="K58" s="39">
        <f>IF('Compute'!J19="","",'Compute'!J19)</f>
        <v/>
      </c>
      <c r="L58" s="39">
        <f>IF('Compute'!K19="","",'Compute'!K19)</f>
        <v/>
      </c>
      <c r="M58" s="39">
        <f>IF('Compute'!L19="","",'Compute'!L19)</f>
        <v/>
      </c>
      <c r="N58" s="40">
        <f>IF('Compute'!M19="","",'Compute'!M19)</f>
        <v/>
      </c>
    </row>
    <row r="59">
      <c r="A59" s="37">
        <f>IF('Storage'!A3="","",'Storage'!A3)</f>
        <v/>
      </c>
      <c r="B59" s="37" t="inlineStr">
        <is>
          <t>Storage</t>
        </is>
      </c>
      <c r="C59" s="37">
        <f>IF('Storage'!B3="","",'Storage'!B3)</f>
        <v/>
      </c>
      <c r="D59" s="37">
        <f>IF('Storage'!C3="","",'Storage'!C3)</f>
        <v/>
      </c>
      <c r="E59" s="37">
        <f>IF('Storage'!D3="","",'Storage'!D3)</f>
        <v/>
      </c>
      <c r="F59" s="37">
        <f>IF('Storage'!E3="","",'Storage'!E3)</f>
        <v/>
      </c>
      <c r="G59" s="38">
        <f>IF('Storage'!F3="","",'Storage'!F3)</f>
        <v/>
      </c>
      <c r="H59" s="38">
        <f>IF('Storage'!G3="","",'Storage'!G3)</f>
        <v/>
      </c>
      <c r="I59" s="37">
        <f>IF('Storage'!H3="","",'Storage'!H3)</f>
        <v/>
      </c>
      <c r="J59" s="38">
        <f>IF('Storage'!I3="","",'Storage'!I3)</f>
        <v/>
      </c>
      <c r="K59" s="37">
        <f>IF('Storage'!J3="","",'Storage'!J3)</f>
        <v/>
      </c>
      <c r="L59" s="37">
        <f>IF('Storage'!K3="","",'Storage'!K3)</f>
        <v/>
      </c>
      <c r="M59" s="37">
        <f>IF('Storage'!L3="","",'Storage'!L3)</f>
        <v/>
      </c>
      <c r="N59" s="38">
        <f>IF('Storage'!M3="","",'Storage'!M3)</f>
        <v/>
      </c>
    </row>
    <row r="60">
      <c r="A60" s="39">
        <f>IF('Storage'!A4="","",'Storage'!A4)</f>
        <v/>
      </c>
      <c r="B60" s="39" t="inlineStr">
        <is>
          <t>Storage</t>
        </is>
      </c>
      <c r="C60" s="39">
        <f>IF('Storage'!B4="","",'Storage'!B4)</f>
        <v/>
      </c>
      <c r="D60" s="39">
        <f>IF('Storage'!C4="","",'Storage'!C4)</f>
        <v/>
      </c>
      <c r="E60" s="39">
        <f>IF('Storage'!D4="","",'Storage'!D4)</f>
        <v/>
      </c>
      <c r="F60" s="39">
        <f>IF('Storage'!E4="","",'Storage'!E4)</f>
        <v/>
      </c>
      <c r="G60" s="40">
        <f>IF('Storage'!F4="","",'Storage'!F4)</f>
        <v/>
      </c>
      <c r="H60" s="40">
        <f>IF('Storage'!G4="","",'Storage'!G4)</f>
        <v/>
      </c>
      <c r="I60" s="39">
        <f>IF('Storage'!H4="","",'Storage'!H4)</f>
        <v/>
      </c>
      <c r="J60" s="40">
        <f>IF('Storage'!I4="","",'Storage'!I4)</f>
        <v/>
      </c>
      <c r="K60" s="39">
        <f>IF('Storage'!J4="","",'Storage'!J4)</f>
        <v/>
      </c>
      <c r="L60" s="39">
        <f>IF('Storage'!K4="","",'Storage'!K4)</f>
        <v/>
      </c>
      <c r="M60" s="39">
        <f>IF('Storage'!L4="","",'Storage'!L4)</f>
        <v/>
      </c>
      <c r="N60" s="40">
        <f>IF('Storage'!M4="","",'Storage'!M4)</f>
        <v/>
      </c>
    </row>
    <row r="61">
      <c r="A61" s="37">
        <f>IF('Storage'!A5="","",'Storage'!A5)</f>
        <v/>
      </c>
      <c r="B61" s="37" t="inlineStr">
        <is>
          <t>Storage</t>
        </is>
      </c>
      <c r="C61" s="37">
        <f>IF('Storage'!B5="","",'Storage'!B5)</f>
        <v/>
      </c>
      <c r="D61" s="37">
        <f>IF('Storage'!C5="","",'Storage'!C5)</f>
        <v/>
      </c>
      <c r="E61" s="37">
        <f>IF('Storage'!D5="","",'Storage'!D5)</f>
        <v/>
      </c>
      <c r="F61" s="37">
        <f>IF('Storage'!E5="","",'Storage'!E5)</f>
        <v/>
      </c>
      <c r="G61" s="38">
        <f>IF('Storage'!F5="","",'Storage'!F5)</f>
        <v/>
      </c>
      <c r="H61" s="38">
        <f>IF('Storage'!G5="","",'Storage'!G5)</f>
        <v/>
      </c>
      <c r="I61" s="37">
        <f>IF('Storage'!H5="","",'Storage'!H5)</f>
        <v/>
      </c>
      <c r="J61" s="38">
        <f>IF('Storage'!I5="","",'Storage'!I5)</f>
        <v/>
      </c>
      <c r="K61" s="37">
        <f>IF('Storage'!J5="","",'Storage'!J5)</f>
        <v/>
      </c>
      <c r="L61" s="37">
        <f>IF('Storage'!K5="","",'Storage'!K5)</f>
        <v/>
      </c>
      <c r="M61" s="37">
        <f>IF('Storage'!L5="","",'Storage'!L5)</f>
        <v/>
      </c>
      <c r="N61" s="38">
        <f>IF('Storage'!M5="","",'Storage'!M5)</f>
        <v/>
      </c>
    </row>
    <row r="62">
      <c r="A62" s="39">
        <f>IF('Storage'!A6="","",'Storage'!A6)</f>
        <v/>
      </c>
      <c r="B62" s="39" t="inlineStr">
        <is>
          <t>Storage</t>
        </is>
      </c>
      <c r="C62" s="39">
        <f>IF('Storage'!B6="","",'Storage'!B6)</f>
        <v/>
      </c>
      <c r="D62" s="39">
        <f>IF('Storage'!C6="","",'Storage'!C6)</f>
        <v/>
      </c>
      <c r="E62" s="39">
        <f>IF('Storage'!D6="","",'Storage'!D6)</f>
        <v/>
      </c>
      <c r="F62" s="39">
        <f>IF('Storage'!E6="","",'Storage'!E6)</f>
        <v/>
      </c>
      <c r="G62" s="40">
        <f>IF('Storage'!F6="","",'Storage'!F6)</f>
        <v/>
      </c>
      <c r="H62" s="40">
        <f>IF('Storage'!G6="","",'Storage'!G6)</f>
        <v/>
      </c>
      <c r="I62" s="39">
        <f>IF('Storage'!H6="","",'Storage'!H6)</f>
        <v/>
      </c>
      <c r="J62" s="40">
        <f>IF('Storage'!I6="","",'Storage'!I6)</f>
        <v/>
      </c>
      <c r="K62" s="39">
        <f>IF('Storage'!J6="","",'Storage'!J6)</f>
        <v/>
      </c>
      <c r="L62" s="39">
        <f>IF('Storage'!K6="","",'Storage'!K6)</f>
        <v/>
      </c>
      <c r="M62" s="39">
        <f>IF('Storage'!L6="","",'Storage'!L6)</f>
        <v/>
      </c>
      <c r="N62" s="40">
        <f>IF('Storage'!M6="","",'Storage'!M6)</f>
        <v/>
      </c>
    </row>
    <row r="63">
      <c r="A63" s="37">
        <f>IF('Storage'!A7="","",'Storage'!A7)</f>
        <v/>
      </c>
      <c r="B63" s="37" t="inlineStr">
        <is>
          <t>Storage</t>
        </is>
      </c>
      <c r="C63" s="37">
        <f>IF('Storage'!B7="","",'Storage'!B7)</f>
        <v/>
      </c>
      <c r="D63" s="37">
        <f>IF('Storage'!C7="","",'Storage'!C7)</f>
        <v/>
      </c>
      <c r="E63" s="37">
        <f>IF('Storage'!D7="","",'Storage'!D7)</f>
        <v/>
      </c>
      <c r="F63" s="37">
        <f>IF('Storage'!E7="","",'Storage'!E7)</f>
        <v/>
      </c>
      <c r="G63" s="38">
        <f>IF('Storage'!F7="","",'Storage'!F7)</f>
        <v/>
      </c>
      <c r="H63" s="38">
        <f>IF('Storage'!G7="","",'Storage'!G7)</f>
        <v/>
      </c>
      <c r="I63" s="37">
        <f>IF('Storage'!H7="","",'Storage'!H7)</f>
        <v/>
      </c>
      <c r="J63" s="38">
        <f>IF('Storage'!I7="","",'Storage'!I7)</f>
        <v/>
      </c>
      <c r="K63" s="37">
        <f>IF('Storage'!J7="","",'Storage'!J7)</f>
        <v/>
      </c>
      <c r="L63" s="37">
        <f>IF('Storage'!K7="","",'Storage'!K7)</f>
        <v/>
      </c>
      <c r="M63" s="37">
        <f>IF('Storage'!L7="","",'Storage'!L7)</f>
        <v/>
      </c>
      <c r="N63" s="38">
        <f>IF('Storage'!M7="","",'Storage'!M7)</f>
        <v/>
      </c>
    </row>
    <row r="64">
      <c r="A64" s="39">
        <f>IF('Storage'!A8="","",'Storage'!A8)</f>
        <v/>
      </c>
      <c r="B64" s="39" t="inlineStr">
        <is>
          <t>Storage</t>
        </is>
      </c>
      <c r="C64" s="39">
        <f>IF('Storage'!B8="","",'Storage'!B8)</f>
        <v/>
      </c>
      <c r="D64" s="39">
        <f>IF('Storage'!C8="","",'Storage'!C8)</f>
        <v/>
      </c>
      <c r="E64" s="39">
        <f>IF('Storage'!D8="","",'Storage'!D8)</f>
        <v/>
      </c>
      <c r="F64" s="39">
        <f>IF('Storage'!E8="","",'Storage'!E8)</f>
        <v/>
      </c>
      <c r="G64" s="40">
        <f>IF('Storage'!F8="","",'Storage'!F8)</f>
        <v/>
      </c>
      <c r="H64" s="40">
        <f>IF('Storage'!G8="","",'Storage'!G8)</f>
        <v/>
      </c>
      <c r="I64" s="39">
        <f>IF('Storage'!H8="","",'Storage'!H8)</f>
        <v/>
      </c>
      <c r="J64" s="40">
        <f>IF('Storage'!I8="","",'Storage'!I8)</f>
        <v/>
      </c>
      <c r="K64" s="39">
        <f>IF('Storage'!J8="","",'Storage'!J8)</f>
        <v/>
      </c>
      <c r="L64" s="39">
        <f>IF('Storage'!K8="","",'Storage'!K8)</f>
        <v/>
      </c>
      <c r="M64" s="39">
        <f>IF('Storage'!L8="","",'Storage'!L8)</f>
        <v/>
      </c>
      <c r="N64" s="40">
        <f>IF('Storage'!M8="","",'Storage'!M8)</f>
        <v/>
      </c>
    </row>
    <row r="65">
      <c r="A65" s="37">
        <f>IF('Storage'!A9="","",'Storage'!A9)</f>
        <v/>
      </c>
      <c r="B65" s="37" t="inlineStr">
        <is>
          <t>Storage</t>
        </is>
      </c>
      <c r="C65" s="37">
        <f>IF('Storage'!B9="","",'Storage'!B9)</f>
        <v/>
      </c>
      <c r="D65" s="37">
        <f>IF('Storage'!C9="","",'Storage'!C9)</f>
        <v/>
      </c>
      <c r="E65" s="37">
        <f>IF('Storage'!D9="","",'Storage'!D9)</f>
        <v/>
      </c>
      <c r="F65" s="37">
        <f>IF('Storage'!E9="","",'Storage'!E9)</f>
        <v/>
      </c>
      <c r="G65" s="38">
        <f>IF('Storage'!F9="","",'Storage'!F9)</f>
        <v/>
      </c>
      <c r="H65" s="38">
        <f>IF('Storage'!G9="","",'Storage'!G9)</f>
        <v/>
      </c>
      <c r="I65" s="37">
        <f>IF('Storage'!H9="","",'Storage'!H9)</f>
        <v/>
      </c>
      <c r="J65" s="38">
        <f>IF('Storage'!I9="","",'Storage'!I9)</f>
        <v/>
      </c>
      <c r="K65" s="37">
        <f>IF('Storage'!J9="","",'Storage'!J9)</f>
        <v/>
      </c>
      <c r="L65" s="37">
        <f>IF('Storage'!K9="","",'Storage'!K9)</f>
        <v/>
      </c>
      <c r="M65" s="37">
        <f>IF('Storage'!L9="","",'Storage'!L9)</f>
        <v/>
      </c>
      <c r="N65" s="38">
        <f>IF('Storage'!M9="","",'Storage'!M9)</f>
        <v/>
      </c>
    </row>
    <row r="66">
      <c r="A66" s="39">
        <f>IF('Storage'!A10="","",'Storage'!A10)</f>
        <v/>
      </c>
      <c r="B66" s="39" t="inlineStr">
        <is>
          <t>Storage</t>
        </is>
      </c>
      <c r="C66" s="39">
        <f>IF('Storage'!B10="","",'Storage'!B10)</f>
        <v/>
      </c>
      <c r="D66" s="39">
        <f>IF('Storage'!C10="","",'Storage'!C10)</f>
        <v/>
      </c>
      <c r="E66" s="39">
        <f>IF('Storage'!D10="","",'Storage'!D10)</f>
        <v/>
      </c>
      <c r="F66" s="39">
        <f>IF('Storage'!E10="","",'Storage'!E10)</f>
        <v/>
      </c>
      <c r="G66" s="40">
        <f>IF('Storage'!F10="","",'Storage'!F10)</f>
        <v/>
      </c>
      <c r="H66" s="40">
        <f>IF('Storage'!G10="","",'Storage'!G10)</f>
        <v/>
      </c>
      <c r="I66" s="39">
        <f>IF('Storage'!H10="","",'Storage'!H10)</f>
        <v/>
      </c>
      <c r="J66" s="40">
        <f>IF('Storage'!I10="","",'Storage'!I10)</f>
        <v/>
      </c>
      <c r="K66" s="39">
        <f>IF('Storage'!J10="","",'Storage'!J10)</f>
        <v/>
      </c>
      <c r="L66" s="39">
        <f>IF('Storage'!K10="","",'Storage'!K10)</f>
        <v/>
      </c>
      <c r="M66" s="39">
        <f>IF('Storage'!L10="","",'Storage'!L10)</f>
        <v/>
      </c>
      <c r="N66" s="40">
        <f>IF('Storage'!M10="","",'Storage'!M10)</f>
        <v/>
      </c>
    </row>
    <row r="67">
      <c r="A67" s="37">
        <f>IF('Storage'!A11="","",'Storage'!A11)</f>
        <v/>
      </c>
      <c r="B67" s="37" t="inlineStr">
        <is>
          <t>Storage</t>
        </is>
      </c>
      <c r="C67" s="37">
        <f>IF('Storage'!B11="","",'Storage'!B11)</f>
        <v/>
      </c>
      <c r="D67" s="37">
        <f>IF('Storage'!C11="","",'Storage'!C11)</f>
        <v/>
      </c>
      <c r="E67" s="37">
        <f>IF('Storage'!D11="","",'Storage'!D11)</f>
        <v/>
      </c>
      <c r="F67" s="37">
        <f>IF('Storage'!E11="","",'Storage'!E11)</f>
        <v/>
      </c>
      <c r="G67" s="38">
        <f>IF('Storage'!F11="","",'Storage'!F11)</f>
        <v/>
      </c>
      <c r="H67" s="38">
        <f>IF('Storage'!G11="","",'Storage'!G11)</f>
        <v/>
      </c>
      <c r="I67" s="37">
        <f>IF('Storage'!H11="","",'Storage'!H11)</f>
        <v/>
      </c>
      <c r="J67" s="38">
        <f>IF('Storage'!I11="","",'Storage'!I11)</f>
        <v/>
      </c>
      <c r="K67" s="37">
        <f>IF('Storage'!J11="","",'Storage'!J11)</f>
        <v/>
      </c>
      <c r="L67" s="37">
        <f>IF('Storage'!K11="","",'Storage'!K11)</f>
        <v/>
      </c>
      <c r="M67" s="37">
        <f>IF('Storage'!L11="","",'Storage'!L11)</f>
        <v/>
      </c>
      <c r="N67" s="38">
        <f>IF('Storage'!M11="","",'Storage'!M11)</f>
        <v/>
      </c>
    </row>
    <row r="68">
      <c r="A68" s="39">
        <f>IF('Database'!A3="","",'Database'!A3)</f>
        <v/>
      </c>
      <c r="B68" s="39" t="inlineStr">
        <is>
          <t>Database</t>
        </is>
      </c>
      <c r="C68" s="39">
        <f>IF('Database'!B3="","",'Database'!B3)</f>
        <v/>
      </c>
      <c r="D68" s="39">
        <f>IF('Database'!C3="","",'Database'!C3)</f>
        <v/>
      </c>
      <c r="E68" s="39">
        <f>IF('Database'!D3="","",'Database'!D3)</f>
        <v/>
      </c>
      <c r="F68" s="39">
        <f>IF('Database'!E3="","",'Database'!E3)</f>
        <v/>
      </c>
      <c r="G68" s="40">
        <f>IF('Database'!F3="","",'Database'!F3)</f>
        <v/>
      </c>
      <c r="H68" s="40">
        <f>IF('Database'!G3="","",'Database'!G3)</f>
        <v/>
      </c>
      <c r="I68" s="39">
        <f>IF('Database'!H3="","",'Database'!H3)</f>
        <v/>
      </c>
      <c r="J68" s="40">
        <f>IF('Database'!I3="","",'Database'!I3)</f>
        <v/>
      </c>
      <c r="K68" s="39">
        <f>IF('Database'!J3="","",'Database'!J3)</f>
        <v/>
      </c>
      <c r="L68" s="39">
        <f>IF('Database'!K3="","",'Database'!K3)</f>
        <v/>
      </c>
      <c r="M68" s="39">
        <f>IF('Database'!L3="","",'Database'!L3)</f>
        <v/>
      </c>
      <c r="N68" s="40">
        <f>IF('Database'!M3="","",'Database'!M3)</f>
        <v/>
      </c>
    </row>
    <row r="69">
      <c r="A69" s="37">
        <f>IF('Database'!A4="","",'Database'!A4)</f>
        <v/>
      </c>
      <c r="B69" s="37" t="inlineStr">
        <is>
          <t>Database</t>
        </is>
      </c>
      <c r="C69" s="37">
        <f>IF('Database'!B4="","",'Database'!B4)</f>
        <v/>
      </c>
      <c r="D69" s="37">
        <f>IF('Database'!C4="","",'Database'!C4)</f>
        <v/>
      </c>
      <c r="E69" s="37">
        <f>IF('Database'!D4="","",'Database'!D4)</f>
        <v/>
      </c>
      <c r="F69" s="37">
        <f>IF('Database'!E4="","",'Database'!E4)</f>
        <v/>
      </c>
      <c r="G69" s="38">
        <f>IF('Database'!F4="","",'Database'!F4)</f>
        <v/>
      </c>
      <c r="H69" s="38">
        <f>IF('Database'!G4="","",'Database'!G4)</f>
        <v/>
      </c>
      <c r="I69" s="37">
        <f>IF('Database'!H4="","",'Database'!H4)</f>
        <v/>
      </c>
      <c r="J69" s="38">
        <f>IF('Database'!I4="","",'Database'!I4)</f>
        <v/>
      </c>
      <c r="K69" s="37">
        <f>IF('Database'!J4="","",'Database'!J4)</f>
        <v/>
      </c>
      <c r="L69" s="37">
        <f>IF('Database'!K4="","",'Database'!K4)</f>
        <v/>
      </c>
      <c r="M69" s="37">
        <f>IF('Database'!L4="","",'Database'!L4)</f>
        <v/>
      </c>
      <c r="N69" s="38">
        <f>IF('Database'!M4="","",'Database'!M4)</f>
        <v/>
      </c>
    </row>
    <row r="70">
      <c r="A70" s="39">
        <f>IF('Database'!A5="","",'Database'!A5)</f>
        <v/>
      </c>
      <c r="B70" s="39" t="inlineStr">
        <is>
          <t>Database</t>
        </is>
      </c>
      <c r="C70" s="39">
        <f>IF('Database'!B5="","",'Database'!B5)</f>
        <v/>
      </c>
      <c r="D70" s="39">
        <f>IF('Database'!C5="","",'Database'!C5)</f>
        <v/>
      </c>
      <c r="E70" s="39">
        <f>IF('Database'!D5="","",'Database'!D5)</f>
        <v/>
      </c>
      <c r="F70" s="39">
        <f>IF('Database'!E5="","",'Database'!E5)</f>
        <v/>
      </c>
      <c r="G70" s="40">
        <f>IF('Database'!F5="","",'Database'!F5)</f>
        <v/>
      </c>
      <c r="H70" s="40">
        <f>IF('Database'!G5="","",'Database'!G5)</f>
        <v/>
      </c>
      <c r="I70" s="39">
        <f>IF('Database'!H5="","",'Database'!H5)</f>
        <v/>
      </c>
      <c r="J70" s="40">
        <f>IF('Database'!I5="","",'Database'!I5)</f>
        <v/>
      </c>
      <c r="K70" s="39">
        <f>IF('Database'!J5="","",'Database'!J5)</f>
        <v/>
      </c>
      <c r="L70" s="39">
        <f>IF('Database'!K5="","",'Database'!K5)</f>
        <v/>
      </c>
      <c r="M70" s="39">
        <f>IF('Database'!L5="","",'Database'!L5)</f>
        <v/>
      </c>
      <c r="N70" s="40">
        <f>IF('Database'!M5="","",'Database'!M5)</f>
        <v/>
      </c>
    </row>
    <row r="71">
      <c r="A71" s="37">
        <f>IF('Database'!A6="","",'Database'!A6)</f>
        <v/>
      </c>
      <c r="B71" s="37" t="inlineStr">
        <is>
          <t>Database</t>
        </is>
      </c>
      <c r="C71" s="37">
        <f>IF('Database'!B6="","",'Database'!B6)</f>
        <v/>
      </c>
      <c r="D71" s="37">
        <f>IF('Database'!C6="","",'Database'!C6)</f>
        <v/>
      </c>
      <c r="E71" s="37">
        <f>IF('Database'!D6="","",'Database'!D6)</f>
        <v/>
      </c>
      <c r="F71" s="37">
        <f>IF('Database'!E6="","",'Database'!E6)</f>
        <v/>
      </c>
      <c r="G71" s="38">
        <f>IF('Database'!F6="","",'Database'!F6)</f>
        <v/>
      </c>
      <c r="H71" s="38">
        <f>IF('Database'!G6="","",'Database'!G6)</f>
        <v/>
      </c>
      <c r="I71" s="37">
        <f>IF('Database'!H6="","",'Database'!H6)</f>
        <v/>
      </c>
      <c r="J71" s="38">
        <f>IF('Database'!I6="","",'Database'!I6)</f>
        <v/>
      </c>
      <c r="K71" s="37">
        <f>IF('Database'!J6="","",'Database'!J6)</f>
        <v/>
      </c>
      <c r="L71" s="37">
        <f>IF('Database'!K6="","",'Database'!K6)</f>
        <v/>
      </c>
      <c r="M71" s="37">
        <f>IF('Database'!L6="","",'Database'!L6)</f>
        <v/>
      </c>
      <c r="N71" s="38">
        <f>IF('Database'!M6="","",'Database'!M6)</f>
        <v/>
      </c>
    </row>
    <row r="72">
      <c r="A72" s="39">
        <f>IF('Database'!A7="","",'Database'!A7)</f>
        <v/>
      </c>
      <c r="B72" s="39" t="inlineStr">
        <is>
          <t>Database</t>
        </is>
      </c>
      <c r="C72" s="39">
        <f>IF('Database'!B7="","",'Database'!B7)</f>
        <v/>
      </c>
      <c r="D72" s="39">
        <f>IF('Database'!C7="","",'Database'!C7)</f>
        <v/>
      </c>
      <c r="E72" s="39">
        <f>IF('Database'!D7="","",'Database'!D7)</f>
        <v/>
      </c>
      <c r="F72" s="39">
        <f>IF('Database'!E7="","",'Database'!E7)</f>
        <v/>
      </c>
      <c r="G72" s="40">
        <f>IF('Database'!F7="","",'Database'!F7)</f>
        <v/>
      </c>
      <c r="H72" s="40">
        <f>IF('Database'!G7="","",'Database'!G7)</f>
        <v/>
      </c>
      <c r="I72" s="39">
        <f>IF('Database'!H7="","",'Database'!H7)</f>
        <v/>
      </c>
      <c r="J72" s="40">
        <f>IF('Database'!I7="","",'Database'!I7)</f>
        <v/>
      </c>
      <c r="K72" s="39">
        <f>IF('Database'!J7="","",'Database'!J7)</f>
        <v/>
      </c>
      <c r="L72" s="39">
        <f>IF('Database'!K7="","",'Database'!K7)</f>
        <v/>
      </c>
      <c r="M72" s="39">
        <f>IF('Database'!L7="","",'Database'!L7)</f>
        <v/>
      </c>
      <c r="N72" s="40">
        <f>IF('Database'!M7="","",'Database'!M7)</f>
        <v/>
      </c>
    </row>
    <row r="73">
      <c r="A73" s="37">
        <f>IF('Database'!A8="","",'Database'!A8)</f>
        <v/>
      </c>
      <c r="B73" s="37" t="inlineStr">
        <is>
          <t>Database</t>
        </is>
      </c>
      <c r="C73" s="37">
        <f>IF('Database'!B8="","",'Database'!B8)</f>
        <v/>
      </c>
      <c r="D73" s="37">
        <f>IF('Database'!C8="","",'Database'!C8)</f>
        <v/>
      </c>
      <c r="E73" s="37">
        <f>IF('Database'!D8="","",'Database'!D8)</f>
        <v/>
      </c>
      <c r="F73" s="37">
        <f>IF('Database'!E8="","",'Database'!E8)</f>
        <v/>
      </c>
      <c r="G73" s="38">
        <f>IF('Database'!F8="","",'Database'!F8)</f>
        <v/>
      </c>
      <c r="H73" s="38">
        <f>IF('Database'!G8="","",'Database'!G8)</f>
        <v/>
      </c>
      <c r="I73" s="37">
        <f>IF('Database'!H8="","",'Database'!H8)</f>
        <v/>
      </c>
      <c r="J73" s="38">
        <f>IF('Database'!I8="","",'Database'!I8)</f>
        <v/>
      </c>
      <c r="K73" s="37">
        <f>IF('Database'!J8="","",'Database'!J8)</f>
        <v/>
      </c>
      <c r="L73" s="37">
        <f>IF('Database'!K8="","",'Database'!K8)</f>
        <v/>
      </c>
      <c r="M73" s="37">
        <f>IF('Database'!L8="","",'Database'!L8)</f>
        <v/>
      </c>
      <c r="N73" s="38">
        <f>IF('Database'!M8="","",'Database'!M8)</f>
        <v/>
      </c>
    </row>
    <row r="74">
      <c r="A74" s="39">
        <f>IF('Database'!A9="","",'Database'!A9)</f>
        <v/>
      </c>
      <c r="B74" s="39" t="inlineStr">
        <is>
          <t>Database</t>
        </is>
      </c>
      <c r="C74" s="39">
        <f>IF('Database'!B9="","",'Database'!B9)</f>
        <v/>
      </c>
      <c r="D74" s="39">
        <f>IF('Database'!C9="","",'Database'!C9)</f>
        <v/>
      </c>
      <c r="E74" s="39">
        <f>IF('Database'!D9="","",'Database'!D9)</f>
        <v/>
      </c>
      <c r="F74" s="39">
        <f>IF('Database'!E9="","",'Database'!E9)</f>
        <v/>
      </c>
      <c r="G74" s="40">
        <f>IF('Database'!F9="","",'Database'!F9)</f>
        <v/>
      </c>
      <c r="H74" s="40">
        <f>IF('Database'!G9="","",'Database'!G9)</f>
        <v/>
      </c>
      <c r="I74" s="39">
        <f>IF('Database'!H9="","",'Database'!H9)</f>
        <v/>
      </c>
      <c r="J74" s="40">
        <f>IF('Database'!I9="","",'Database'!I9)</f>
        <v/>
      </c>
      <c r="K74" s="39">
        <f>IF('Database'!J9="","",'Database'!J9)</f>
        <v/>
      </c>
      <c r="L74" s="39">
        <f>IF('Database'!K9="","",'Database'!K9)</f>
        <v/>
      </c>
      <c r="M74" s="39">
        <f>IF('Database'!L9="","",'Database'!L9)</f>
        <v/>
      </c>
      <c r="N74" s="40">
        <f>IF('Database'!M9="","",'Database'!M9)</f>
        <v/>
      </c>
    </row>
    <row r="75">
      <c r="A75" s="37">
        <f>IF('Database'!A10="","",'Database'!A10)</f>
        <v/>
      </c>
      <c r="B75" s="37" t="inlineStr">
        <is>
          <t>Database</t>
        </is>
      </c>
      <c r="C75" s="37">
        <f>IF('Database'!B10="","",'Database'!B10)</f>
        <v/>
      </c>
      <c r="D75" s="37">
        <f>IF('Database'!C10="","",'Database'!C10)</f>
        <v/>
      </c>
      <c r="E75" s="37">
        <f>IF('Database'!D10="","",'Database'!D10)</f>
        <v/>
      </c>
      <c r="F75" s="37">
        <f>IF('Database'!E10="","",'Database'!E10)</f>
        <v/>
      </c>
      <c r="G75" s="38">
        <f>IF('Database'!F10="","",'Database'!F10)</f>
        <v/>
      </c>
      <c r="H75" s="38">
        <f>IF('Database'!G10="","",'Database'!G10)</f>
        <v/>
      </c>
      <c r="I75" s="37">
        <f>IF('Database'!H10="","",'Database'!H10)</f>
        <v/>
      </c>
      <c r="J75" s="38">
        <f>IF('Database'!I10="","",'Database'!I10)</f>
        <v/>
      </c>
      <c r="K75" s="37">
        <f>IF('Database'!J10="","",'Database'!J10)</f>
        <v/>
      </c>
      <c r="L75" s="37">
        <f>IF('Database'!K10="","",'Database'!K10)</f>
        <v/>
      </c>
      <c r="M75" s="37">
        <f>IF('Database'!L10="","",'Database'!L10)</f>
        <v/>
      </c>
      <c r="N75" s="38">
        <f>IF('Database'!M10="","",'Database'!M10)</f>
        <v/>
      </c>
    </row>
    <row r="76">
      <c r="A76" s="39">
        <f>IF('Database'!A11="","",'Database'!A11)</f>
        <v/>
      </c>
      <c r="B76" s="39" t="inlineStr">
        <is>
          <t>Database</t>
        </is>
      </c>
      <c r="C76" s="39">
        <f>IF('Database'!B11="","",'Database'!B11)</f>
        <v/>
      </c>
      <c r="D76" s="39">
        <f>IF('Database'!C11="","",'Database'!C11)</f>
        <v/>
      </c>
      <c r="E76" s="39">
        <f>IF('Database'!D11="","",'Database'!D11)</f>
        <v/>
      </c>
      <c r="F76" s="39">
        <f>IF('Database'!E11="","",'Database'!E11)</f>
        <v/>
      </c>
      <c r="G76" s="40">
        <f>IF('Database'!F11="","",'Database'!F11)</f>
        <v/>
      </c>
      <c r="H76" s="40">
        <f>IF('Database'!G11="","",'Database'!G11)</f>
        <v/>
      </c>
      <c r="I76" s="39">
        <f>IF('Database'!H11="","",'Database'!H11)</f>
        <v/>
      </c>
      <c r="J76" s="40">
        <f>IF('Database'!I11="","",'Database'!I11)</f>
        <v/>
      </c>
      <c r="K76" s="39">
        <f>IF('Database'!J11="","",'Database'!J11)</f>
        <v/>
      </c>
      <c r="L76" s="39">
        <f>IF('Database'!K11="","",'Database'!K11)</f>
        <v/>
      </c>
      <c r="M76" s="39">
        <f>IF('Database'!L11="","",'Database'!L11)</f>
        <v/>
      </c>
      <c r="N76" s="40">
        <f>IF('Database'!M11="","",'Database'!M11)</f>
        <v/>
      </c>
    </row>
    <row r="77">
      <c r="A77" s="37">
        <f>IF('Database'!A12="","",'Database'!A12)</f>
        <v/>
      </c>
      <c r="B77" s="37" t="inlineStr">
        <is>
          <t>Database</t>
        </is>
      </c>
      <c r="C77" s="37">
        <f>IF('Database'!B12="","",'Database'!B12)</f>
        <v/>
      </c>
      <c r="D77" s="37">
        <f>IF('Database'!C12="","",'Database'!C12)</f>
        <v/>
      </c>
      <c r="E77" s="37">
        <f>IF('Database'!D12="","",'Database'!D12)</f>
        <v/>
      </c>
      <c r="F77" s="37">
        <f>IF('Database'!E12="","",'Database'!E12)</f>
        <v/>
      </c>
      <c r="G77" s="38">
        <f>IF('Database'!F12="","",'Database'!F12)</f>
        <v/>
      </c>
      <c r="H77" s="38">
        <f>IF('Database'!G12="","",'Database'!G12)</f>
        <v/>
      </c>
      <c r="I77" s="37">
        <f>IF('Database'!H12="","",'Database'!H12)</f>
        <v/>
      </c>
      <c r="J77" s="38">
        <f>IF('Database'!I12="","",'Database'!I12)</f>
        <v/>
      </c>
      <c r="K77" s="37">
        <f>IF('Database'!J12="","",'Database'!J12)</f>
        <v/>
      </c>
      <c r="L77" s="37">
        <f>IF('Database'!K12="","",'Database'!K12)</f>
        <v/>
      </c>
      <c r="M77" s="37">
        <f>IF('Database'!L12="","",'Database'!L12)</f>
        <v/>
      </c>
      <c r="N77" s="38">
        <f>IF('Database'!M12="","",'Database'!M12)</f>
        <v/>
      </c>
    </row>
    <row r="78">
      <c r="A78" s="39">
        <f>IF('Application'!A3="","",'Application'!A3)</f>
        <v/>
      </c>
      <c r="B78" s="39" t="inlineStr">
        <is>
          <t>Application</t>
        </is>
      </c>
      <c r="C78" s="39">
        <f>IF('Application'!B3="","",'Application'!B3)</f>
        <v/>
      </c>
      <c r="D78" s="39">
        <f>IF('Application'!C3="","",'Application'!C3)</f>
        <v/>
      </c>
      <c r="E78" s="39">
        <f>IF('Application'!D3="","",'Application'!D3)</f>
        <v/>
      </c>
      <c r="F78" s="39">
        <f>IF('Application'!E3="","",'Application'!E3)</f>
        <v/>
      </c>
      <c r="G78" s="40">
        <f>IF('Application'!F3="","",'Application'!F3)</f>
        <v/>
      </c>
      <c r="H78" s="40">
        <f>IF('Application'!G3="","",'Application'!G3)</f>
        <v/>
      </c>
      <c r="I78" s="39">
        <f>IF('Application'!H3="","",'Application'!H3)</f>
        <v/>
      </c>
      <c r="J78" s="40">
        <f>IF('Application'!I3="","",'Application'!I3)</f>
        <v/>
      </c>
      <c r="K78" s="39">
        <f>IF('Application'!J3="","",'Application'!J3)</f>
        <v/>
      </c>
      <c r="L78" s="39">
        <f>IF('Application'!K3="","",'Application'!K3)</f>
        <v/>
      </c>
      <c r="M78" s="39">
        <f>IF('Application'!L3="","",'Application'!L3)</f>
        <v/>
      </c>
      <c r="N78" s="40">
        <f>IF('Application'!M3="","",'Application'!M3)</f>
        <v/>
      </c>
    </row>
    <row r="79">
      <c r="A79" s="37">
        <f>IF('Application'!A4="","",'Application'!A4)</f>
        <v/>
      </c>
      <c r="B79" s="37" t="inlineStr">
        <is>
          <t>Application</t>
        </is>
      </c>
      <c r="C79" s="37">
        <f>IF('Application'!B4="","",'Application'!B4)</f>
        <v/>
      </c>
      <c r="D79" s="37">
        <f>IF('Application'!C4="","",'Application'!C4)</f>
        <v/>
      </c>
      <c r="E79" s="37">
        <f>IF('Application'!D4="","",'Application'!D4)</f>
        <v/>
      </c>
      <c r="F79" s="37">
        <f>IF('Application'!E4="","",'Application'!E4)</f>
        <v/>
      </c>
      <c r="G79" s="38">
        <f>IF('Application'!F4="","",'Application'!F4)</f>
        <v/>
      </c>
      <c r="H79" s="38">
        <f>IF('Application'!G4="","",'Application'!G4)</f>
        <v/>
      </c>
      <c r="I79" s="37">
        <f>IF('Application'!H4="","",'Application'!H4)</f>
        <v/>
      </c>
      <c r="J79" s="38">
        <f>IF('Application'!I4="","",'Application'!I4)</f>
        <v/>
      </c>
      <c r="K79" s="37">
        <f>IF('Application'!J4="","",'Application'!J4)</f>
        <v/>
      </c>
      <c r="L79" s="37">
        <f>IF('Application'!K4="","",'Application'!K4)</f>
        <v/>
      </c>
      <c r="M79" s="37">
        <f>IF('Application'!L4="","",'Application'!L4)</f>
        <v/>
      </c>
      <c r="N79" s="38">
        <f>IF('Application'!M4="","",'Application'!M4)</f>
        <v/>
      </c>
    </row>
    <row r="80">
      <c r="A80" s="39">
        <f>IF('Application'!A5="","",'Application'!A5)</f>
        <v/>
      </c>
      <c r="B80" s="39" t="inlineStr">
        <is>
          <t>Application</t>
        </is>
      </c>
      <c r="C80" s="39">
        <f>IF('Application'!B5="","",'Application'!B5)</f>
        <v/>
      </c>
      <c r="D80" s="39">
        <f>IF('Application'!C5="","",'Application'!C5)</f>
        <v/>
      </c>
      <c r="E80" s="39">
        <f>IF('Application'!D5="","",'Application'!D5)</f>
        <v/>
      </c>
      <c r="F80" s="39">
        <f>IF('Application'!E5="","",'Application'!E5)</f>
        <v/>
      </c>
      <c r="G80" s="40">
        <f>IF('Application'!F5="","",'Application'!F5)</f>
        <v/>
      </c>
      <c r="H80" s="40">
        <f>IF('Application'!G5="","",'Application'!G5)</f>
        <v/>
      </c>
      <c r="I80" s="39">
        <f>IF('Application'!H5="","",'Application'!H5)</f>
        <v/>
      </c>
      <c r="J80" s="40">
        <f>IF('Application'!I5="","",'Application'!I5)</f>
        <v/>
      </c>
      <c r="K80" s="39">
        <f>IF('Application'!J5="","",'Application'!J5)</f>
        <v/>
      </c>
      <c r="L80" s="39">
        <f>IF('Application'!K5="","",'Application'!K5)</f>
        <v/>
      </c>
      <c r="M80" s="39">
        <f>IF('Application'!L5="","",'Application'!L5)</f>
        <v/>
      </c>
      <c r="N80" s="40">
        <f>IF('Application'!M5="","",'Application'!M5)</f>
        <v/>
      </c>
    </row>
    <row r="81">
      <c r="A81" s="37">
        <f>IF('Application'!A6="","",'Application'!A6)</f>
        <v/>
      </c>
      <c r="B81" s="37" t="inlineStr">
        <is>
          <t>Application</t>
        </is>
      </c>
      <c r="C81" s="37">
        <f>IF('Application'!B6="","",'Application'!B6)</f>
        <v/>
      </c>
      <c r="D81" s="37">
        <f>IF('Application'!C6="","",'Application'!C6)</f>
        <v/>
      </c>
      <c r="E81" s="37">
        <f>IF('Application'!D6="","",'Application'!D6)</f>
        <v/>
      </c>
      <c r="F81" s="37">
        <f>IF('Application'!E6="","",'Application'!E6)</f>
        <v/>
      </c>
      <c r="G81" s="38">
        <f>IF('Application'!F6="","",'Application'!F6)</f>
        <v/>
      </c>
      <c r="H81" s="38">
        <f>IF('Application'!G6="","",'Application'!G6)</f>
        <v/>
      </c>
      <c r="I81" s="37">
        <f>IF('Application'!H6="","",'Application'!H6)</f>
        <v/>
      </c>
      <c r="J81" s="38">
        <f>IF('Application'!I6="","",'Application'!I6)</f>
        <v/>
      </c>
      <c r="K81" s="37">
        <f>IF('Application'!J6="","",'Application'!J6)</f>
        <v/>
      </c>
      <c r="L81" s="37">
        <f>IF('Application'!K6="","",'Application'!K6)</f>
        <v/>
      </c>
      <c r="M81" s="37">
        <f>IF('Application'!L6="","",'Application'!L6)</f>
        <v/>
      </c>
      <c r="N81" s="38">
        <f>IF('Application'!M6="","",'Application'!M6)</f>
        <v/>
      </c>
    </row>
    <row r="82">
      <c r="A82" s="39">
        <f>IF('Application'!A7="","",'Application'!A7)</f>
        <v/>
      </c>
      <c r="B82" s="39" t="inlineStr">
        <is>
          <t>Application</t>
        </is>
      </c>
      <c r="C82" s="39">
        <f>IF('Application'!B7="","",'Application'!B7)</f>
        <v/>
      </c>
      <c r="D82" s="39">
        <f>IF('Application'!C7="","",'Application'!C7)</f>
        <v/>
      </c>
      <c r="E82" s="39">
        <f>IF('Application'!D7="","",'Application'!D7)</f>
        <v/>
      </c>
      <c r="F82" s="39">
        <f>IF('Application'!E7="","",'Application'!E7)</f>
        <v/>
      </c>
      <c r="G82" s="40">
        <f>IF('Application'!F7="","",'Application'!F7)</f>
        <v/>
      </c>
      <c r="H82" s="40">
        <f>IF('Application'!G7="","",'Application'!G7)</f>
        <v/>
      </c>
      <c r="I82" s="39">
        <f>IF('Application'!H7="","",'Application'!H7)</f>
        <v/>
      </c>
      <c r="J82" s="40">
        <f>IF('Application'!I7="","",'Application'!I7)</f>
        <v/>
      </c>
      <c r="K82" s="39">
        <f>IF('Application'!J7="","",'Application'!J7)</f>
        <v/>
      </c>
      <c r="L82" s="39">
        <f>IF('Application'!K7="","",'Application'!K7)</f>
        <v/>
      </c>
      <c r="M82" s="39">
        <f>IF('Application'!L7="","",'Application'!L7)</f>
        <v/>
      </c>
      <c r="N82" s="40">
        <f>IF('Application'!M7="","",'Application'!M7)</f>
        <v/>
      </c>
    </row>
    <row r="83">
      <c r="A83" s="37">
        <f>IF('Application'!A8="","",'Application'!A8)</f>
        <v/>
      </c>
      <c r="B83" s="37" t="inlineStr">
        <is>
          <t>Application</t>
        </is>
      </c>
      <c r="C83" s="37">
        <f>IF('Application'!B8="","",'Application'!B8)</f>
        <v/>
      </c>
      <c r="D83" s="37">
        <f>IF('Application'!C8="","",'Application'!C8)</f>
        <v/>
      </c>
      <c r="E83" s="37">
        <f>IF('Application'!D8="","",'Application'!D8)</f>
        <v/>
      </c>
      <c r="F83" s="37">
        <f>IF('Application'!E8="","",'Application'!E8)</f>
        <v/>
      </c>
      <c r="G83" s="38">
        <f>IF('Application'!F8="","",'Application'!F8)</f>
        <v/>
      </c>
      <c r="H83" s="38">
        <f>IF('Application'!G8="","",'Application'!G8)</f>
        <v/>
      </c>
      <c r="I83" s="37">
        <f>IF('Application'!H8="","",'Application'!H8)</f>
        <v/>
      </c>
      <c r="J83" s="38">
        <f>IF('Application'!I8="","",'Application'!I8)</f>
        <v/>
      </c>
      <c r="K83" s="37">
        <f>IF('Application'!J8="","",'Application'!J8)</f>
        <v/>
      </c>
      <c r="L83" s="37">
        <f>IF('Application'!K8="","",'Application'!K8)</f>
        <v/>
      </c>
      <c r="M83" s="37">
        <f>IF('Application'!L8="","",'Application'!L8)</f>
        <v/>
      </c>
      <c r="N83" s="38">
        <f>IF('Application'!M8="","",'Application'!M8)</f>
        <v/>
      </c>
    </row>
    <row r="84">
      <c r="A84" s="39">
        <f>IF('Application'!A9="","",'Application'!A9)</f>
        <v/>
      </c>
      <c r="B84" s="39" t="inlineStr">
        <is>
          <t>Application</t>
        </is>
      </c>
      <c r="C84" s="39">
        <f>IF('Application'!B9="","",'Application'!B9)</f>
        <v/>
      </c>
      <c r="D84" s="39">
        <f>IF('Application'!C9="","",'Application'!C9)</f>
        <v/>
      </c>
      <c r="E84" s="39">
        <f>IF('Application'!D9="","",'Application'!D9)</f>
        <v/>
      </c>
      <c r="F84" s="39">
        <f>IF('Application'!E9="","",'Application'!E9)</f>
        <v/>
      </c>
      <c r="G84" s="40">
        <f>IF('Application'!F9="","",'Application'!F9)</f>
        <v/>
      </c>
      <c r="H84" s="40">
        <f>IF('Application'!G9="","",'Application'!G9)</f>
        <v/>
      </c>
      <c r="I84" s="39">
        <f>IF('Application'!H9="","",'Application'!H9)</f>
        <v/>
      </c>
      <c r="J84" s="40">
        <f>IF('Application'!I9="","",'Application'!I9)</f>
        <v/>
      </c>
      <c r="K84" s="39">
        <f>IF('Application'!J9="","",'Application'!J9)</f>
        <v/>
      </c>
      <c r="L84" s="39">
        <f>IF('Application'!K9="","",'Application'!K9)</f>
        <v/>
      </c>
      <c r="M84" s="39">
        <f>IF('Application'!L9="","",'Application'!L9)</f>
        <v/>
      </c>
      <c r="N84" s="40">
        <f>IF('Application'!M9="","",'Application'!M9)</f>
        <v/>
      </c>
    </row>
    <row r="85">
      <c r="A85" s="37">
        <f>IF('Application'!A10="","",'Application'!A10)</f>
        <v/>
      </c>
      <c r="B85" s="37" t="inlineStr">
        <is>
          <t>Application</t>
        </is>
      </c>
      <c r="C85" s="37">
        <f>IF('Application'!B10="","",'Application'!B10)</f>
        <v/>
      </c>
      <c r="D85" s="37">
        <f>IF('Application'!C10="","",'Application'!C10)</f>
        <v/>
      </c>
      <c r="E85" s="37">
        <f>IF('Application'!D10="","",'Application'!D10)</f>
        <v/>
      </c>
      <c r="F85" s="37">
        <f>IF('Application'!E10="","",'Application'!E10)</f>
        <v/>
      </c>
      <c r="G85" s="38">
        <f>IF('Application'!F10="","",'Application'!F10)</f>
        <v/>
      </c>
      <c r="H85" s="38">
        <f>IF('Application'!G10="","",'Application'!G10)</f>
        <v/>
      </c>
      <c r="I85" s="37">
        <f>IF('Application'!H10="","",'Application'!H10)</f>
        <v/>
      </c>
      <c r="J85" s="38">
        <f>IF('Application'!I10="","",'Application'!I10)</f>
        <v/>
      </c>
      <c r="K85" s="37">
        <f>IF('Application'!J10="","",'Application'!J10)</f>
        <v/>
      </c>
      <c r="L85" s="37">
        <f>IF('Application'!K10="","",'Application'!K10)</f>
        <v/>
      </c>
      <c r="M85" s="37">
        <f>IF('Application'!L10="","",'Application'!L10)</f>
        <v/>
      </c>
      <c r="N85" s="38">
        <f>IF('Application'!M10="","",'Application'!M10)</f>
        <v/>
      </c>
    </row>
    <row r="86">
      <c r="A86" s="39">
        <f>IF('Application'!A11="","",'Application'!A11)</f>
        <v/>
      </c>
      <c r="B86" s="39" t="inlineStr">
        <is>
          <t>Application</t>
        </is>
      </c>
      <c r="C86" s="39">
        <f>IF('Application'!B11="","",'Application'!B11)</f>
        <v/>
      </c>
      <c r="D86" s="39">
        <f>IF('Application'!C11="","",'Application'!C11)</f>
        <v/>
      </c>
      <c r="E86" s="39">
        <f>IF('Application'!D11="","",'Application'!D11)</f>
        <v/>
      </c>
      <c r="F86" s="39">
        <f>IF('Application'!E11="","",'Application'!E11)</f>
        <v/>
      </c>
      <c r="G86" s="40">
        <f>IF('Application'!F11="","",'Application'!F11)</f>
        <v/>
      </c>
      <c r="H86" s="40">
        <f>IF('Application'!G11="","",'Application'!G11)</f>
        <v/>
      </c>
      <c r="I86" s="39">
        <f>IF('Application'!H11="","",'Application'!H11)</f>
        <v/>
      </c>
      <c r="J86" s="40">
        <f>IF('Application'!I11="","",'Application'!I11)</f>
        <v/>
      </c>
      <c r="K86" s="39">
        <f>IF('Application'!J11="","",'Application'!J11)</f>
        <v/>
      </c>
      <c r="L86" s="39">
        <f>IF('Application'!K11="","",'Application'!K11)</f>
        <v/>
      </c>
      <c r="M86" s="39">
        <f>IF('Application'!L11="","",'Application'!L11)</f>
        <v/>
      </c>
      <c r="N86" s="40">
        <f>IF('Application'!M11="","",'Application'!M11)</f>
        <v/>
      </c>
    </row>
    <row r="87">
      <c r="A87" s="37">
        <f>IF('Application'!A12="","",'Application'!A12)</f>
        <v/>
      </c>
      <c r="B87" s="37" t="inlineStr">
        <is>
          <t>Application</t>
        </is>
      </c>
      <c r="C87" s="37">
        <f>IF('Application'!B12="","",'Application'!B12)</f>
        <v/>
      </c>
      <c r="D87" s="37">
        <f>IF('Application'!C12="","",'Application'!C12)</f>
        <v/>
      </c>
      <c r="E87" s="37">
        <f>IF('Application'!D12="","",'Application'!D12)</f>
        <v/>
      </c>
      <c r="F87" s="37">
        <f>IF('Application'!E12="","",'Application'!E12)</f>
        <v/>
      </c>
      <c r="G87" s="38">
        <f>IF('Application'!F12="","",'Application'!F12)</f>
        <v/>
      </c>
      <c r="H87" s="38">
        <f>IF('Application'!G12="","",'Application'!G12)</f>
        <v/>
      </c>
      <c r="I87" s="37">
        <f>IF('Application'!H12="","",'Application'!H12)</f>
        <v/>
      </c>
      <c r="J87" s="38">
        <f>IF('Application'!I12="","",'Application'!I12)</f>
        <v/>
      </c>
      <c r="K87" s="37">
        <f>IF('Application'!J12="","",'Application'!J12)</f>
        <v/>
      </c>
      <c r="L87" s="37">
        <f>IF('Application'!K12="","",'Application'!K12)</f>
        <v/>
      </c>
      <c r="M87" s="37">
        <f>IF('Application'!L12="","",'Application'!L12)</f>
        <v/>
      </c>
      <c r="N87" s="38">
        <f>IF('Application'!M12="","",'Application'!M12)</f>
        <v/>
      </c>
    </row>
    <row r="88">
      <c r="A88" s="39">
        <f>IF('Application'!A13="","",'Application'!A13)</f>
        <v/>
      </c>
      <c r="B88" s="39" t="inlineStr">
        <is>
          <t>Application</t>
        </is>
      </c>
      <c r="C88" s="39">
        <f>IF('Application'!B13="","",'Application'!B13)</f>
        <v/>
      </c>
      <c r="D88" s="39">
        <f>IF('Application'!C13="","",'Application'!C13)</f>
        <v/>
      </c>
      <c r="E88" s="39">
        <f>IF('Application'!D13="","",'Application'!D13)</f>
        <v/>
      </c>
      <c r="F88" s="39">
        <f>IF('Application'!E13="","",'Application'!E13)</f>
        <v/>
      </c>
      <c r="G88" s="40">
        <f>IF('Application'!F13="","",'Application'!F13)</f>
        <v/>
      </c>
      <c r="H88" s="40">
        <f>IF('Application'!G13="","",'Application'!G13)</f>
        <v/>
      </c>
      <c r="I88" s="39">
        <f>IF('Application'!H13="","",'Application'!H13)</f>
        <v/>
      </c>
      <c r="J88" s="40">
        <f>IF('Application'!I13="","",'Application'!I13)</f>
        <v/>
      </c>
      <c r="K88" s="39">
        <f>IF('Application'!J13="","",'Application'!J13)</f>
        <v/>
      </c>
      <c r="L88" s="39">
        <f>IF('Application'!K13="","",'Application'!K13)</f>
        <v/>
      </c>
      <c r="M88" s="39">
        <f>IF('Application'!L13="","",'Application'!L13)</f>
        <v/>
      </c>
      <c r="N88" s="40">
        <f>IF('Application'!M13="","",'Application'!M13)</f>
        <v/>
      </c>
    </row>
    <row r="89">
      <c r="A89" s="37">
        <f>IF('Monitoring'!A3="","",'Monitoring'!A3)</f>
        <v/>
      </c>
      <c r="B89" s="37" t="inlineStr">
        <is>
          <t>Monitoring</t>
        </is>
      </c>
      <c r="C89" s="37">
        <f>IF('Monitoring'!B3="","",'Monitoring'!B3)</f>
        <v/>
      </c>
      <c r="D89" s="37">
        <f>IF('Monitoring'!C3="","",'Monitoring'!C3)</f>
        <v/>
      </c>
      <c r="E89" s="37">
        <f>IF('Monitoring'!D3="","",'Monitoring'!D3)</f>
        <v/>
      </c>
      <c r="F89" s="37">
        <f>IF('Monitoring'!E3="","",'Monitoring'!E3)</f>
        <v/>
      </c>
      <c r="G89" s="38">
        <f>IF('Monitoring'!F3="","",'Monitoring'!F3)</f>
        <v/>
      </c>
      <c r="H89" s="38">
        <f>IF('Monitoring'!G3="","",'Monitoring'!G3)</f>
        <v/>
      </c>
      <c r="I89" s="37">
        <f>IF('Monitoring'!H3="","",'Monitoring'!H3)</f>
        <v/>
      </c>
      <c r="J89" s="38">
        <f>IF('Monitoring'!I3="","",'Monitoring'!I3)</f>
        <v/>
      </c>
      <c r="K89" s="37">
        <f>IF('Monitoring'!J3="","",'Monitoring'!J3)</f>
        <v/>
      </c>
      <c r="L89" s="37">
        <f>IF('Monitoring'!K3="","",'Monitoring'!K3)</f>
        <v/>
      </c>
      <c r="M89" s="37">
        <f>IF('Monitoring'!L3="","",'Monitoring'!L3)</f>
        <v/>
      </c>
      <c r="N89" s="38">
        <f>IF('Monitoring'!M3="","",'Monitoring'!M3)</f>
        <v/>
      </c>
    </row>
    <row r="90">
      <c r="A90" s="39">
        <f>IF('Monitoring'!A4="","",'Monitoring'!A4)</f>
        <v/>
      </c>
      <c r="B90" s="39" t="inlineStr">
        <is>
          <t>Monitoring</t>
        </is>
      </c>
      <c r="C90" s="39">
        <f>IF('Monitoring'!B4="","",'Monitoring'!B4)</f>
        <v/>
      </c>
      <c r="D90" s="39">
        <f>IF('Monitoring'!C4="","",'Monitoring'!C4)</f>
        <v/>
      </c>
      <c r="E90" s="39">
        <f>IF('Monitoring'!D4="","",'Monitoring'!D4)</f>
        <v/>
      </c>
      <c r="F90" s="39">
        <f>IF('Monitoring'!E4="","",'Monitoring'!E4)</f>
        <v/>
      </c>
      <c r="G90" s="40">
        <f>IF('Monitoring'!F4="","",'Monitoring'!F4)</f>
        <v/>
      </c>
      <c r="H90" s="40">
        <f>IF('Monitoring'!G4="","",'Monitoring'!G4)</f>
        <v/>
      </c>
      <c r="I90" s="39">
        <f>IF('Monitoring'!H4="","",'Monitoring'!H4)</f>
        <v/>
      </c>
      <c r="J90" s="40">
        <f>IF('Monitoring'!I4="","",'Monitoring'!I4)</f>
        <v/>
      </c>
      <c r="K90" s="39">
        <f>IF('Monitoring'!J4="","",'Monitoring'!J4)</f>
        <v/>
      </c>
      <c r="L90" s="39">
        <f>IF('Monitoring'!K4="","",'Monitoring'!K4)</f>
        <v/>
      </c>
      <c r="M90" s="39">
        <f>IF('Monitoring'!L4="","",'Monitoring'!L4)</f>
        <v/>
      </c>
      <c r="N90" s="40">
        <f>IF('Monitoring'!M4="","",'Monitoring'!M4)</f>
        <v/>
      </c>
    </row>
    <row r="91">
      <c r="A91" s="37">
        <f>IF('Monitoring'!A5="","",'Monitoring'!A5)</f>
        <v/>
      </c>
      <c r="B91" s="37" t="inlineStr">
        <is>
          <t>Monitoring</t>
        </is>
      </c>
      <c r="C91" s="37">
        <f>IF('Monitoring'!B5="","",'Monitoring'!B5)</f>
        <v/>
      </c>
      <c r="D91" s="37">
        <f>IF('Monitoring'!C5="","",'Monitoring'!C5)</f>
        <v/>
      </c>
      <c r="E91" s="37">
        <f>IF('Monitoring'!D5="","",'Monitoring'!D5)</f>
        <v/>
      </c>
      <c r="F91" s="37">
        <f>IF('Monitoring'!E5="","",'Monitoring'!E5)</f>
        <v/>
      </c>
      <c r="G91" s="38">
        <f>IF('Monitoring'!F5="","",'Monitoring'!F5)</f>
        <v/>
      </c>
      <c r="H91" s="38">
        <f>IF('Monitoring'!G5="","",'Monitoring'!G5)</f>
        <v/>
      </c>
      <c r="I91" s="37">
        <f>IF('Monitoring'!H5="","",'Monitoring'!H5)</f>
        <v/>
      </c>
      <c r="J91" s="38">
        <f>IF('Monitoring'!I5="","",'Monitoring'!I5)</f>
        <v/>
      </c>
      <c r="K91" s="37">
        <f>IF('Monitoring'!J5="","",'Monitoring'!J5)</f>
        <v/>
      </c>
      <c r="L91" s="37">
        <f>IF('Monitoring'!K5="","",'Monitoring'!K5)</f>
        <v/>
      </c>
      <c r="M91" s="37">
        <f>IF('Monitoring'!L5="","",'Monitoring'!L5)</f>
        <v/>
      </c>
      <c r="N91" s="38">
        <f>IF('Monitoring'!M5="","",'Monitoring'!M5)</f>
        <v/>
      </c>
    </row>
    <row r="92">
      <c r="A92" s="39">
        <f>IF('Monitoring'!A6="","",'Monitoring'!A6)</f>
        <v/>
      </c>
      <c r="B92" s="39" t="inlineStr">
        <is>
          <t>Monitoring</t>
        </is>
      </c>
      <c r="C92" s="39">
        <f>IF('Monitoring'!B6="","",'Monitoring'!B6)</f>
        <v/>
      </c>
      <c r="D92" s="39">
        <f>IF('Monitoring'!C6="","",'Monitoring'!C6)</f>
        <v/>
      </c>
      <c r="E92" s="39">
        <f>IF('Monitoring'!D6="","",'Monitoring'!D6)</f>
        <v/>
      </c>
      <c r="F92" s="39">
        <f>IF('Monitoring'!E6="","",'Monitoring'!E6)</f>
        <v/>
      </c>
      <c r="G92" s="40">
        <f>IF('Monitoring'!F6="","",'Monitoring'!F6)</f>
        <v/>
      </c>
      <c r="H92" s="40">
        <f>IF('Monitoring'!G6="","",'Monitoring'!G6)</f>
        <v/>
      </c>
      <c r="I92" s="39">
        <f>IF('Monitoring'!H6="","",'Monitoring'!H6)</f>
        <v/>
      </c>
      <c r="J92" s="40">
        <f>IF('Monitoring'!I6="","",'Monitoring'!I6)</f>
        <v/>
      </c>
      <c r="K92" s="39">
        <f>IF('Monitoring'!J6="","",'Monitoring'!J6)</f>
        <v/>
      </c>
      <c r="L92" s="39">
        <f>IF('Monitoring'!K6="","",'Monitoring'!K6)</f>
        <v/>
      </c>
      <c r="M92" s="39">
        <f>IF('Monitoring'!L6="","",'Monitoring'!L6)</f>
        <v/>
      </c>
      <c r="N92" s="40">
        <f>IF('Monitoring'!M6="","",'Monitoring'!M6)</f>
        <v/>
      </c>
    </row>
    <row r="93">
      <c r="A93" s="37">
        <f>IF('Monitoring'!A7="","",'Monitoring'!A7)</f>
        <v/>
      </c>
      <c r="B93" s="37" t="inlineStr">
        <is>
          <t>Monitoring</t>
        </is>
      </c>
      <c r="C93" s="37">
        <f>IF('Monitoring'!B7="","",'Monitoring'!B7)</f>
        <v/>
      </c>
      <c r="D93" s="37">
        <f>IF('Monitoring'!C7="","",'Monitoring'!C7)</f>
        <v/>
      </c>
      <c r="E93" s="37">
        <f>IF('Monitoring'!D7="","",'Monitoring'!D7)</f>
        <v/>
      </c>
      <c r="F93" s="37">
        <f>IF('Monitoring'!E7="","",'Monitoring'!E7)</f>
        <v/>
      </c>
      <c r="G93" s="38">
        <f>IF('Monitoring'!F7="","",'Monitoring'!F7)</f>
        <v/>
      </c>
      <c r="H93" s="38">
        <f>IF('Monitoring'!G7="","",'Monitoring'!G7)</f>
        <v/>
      </c>
      <c r="I93" s="37">
        <f>IF('Monitoring'!H7="","",'Monitoring'!H7)</f>
        <v/>
      </c>
      <c r="J93" s="38">
        <f>IF('Monitoring'!I7="","",'Monitoring'!I7)</f>
        <v/>
      </c>
      <c r="K93" s="37">
        <f>IF('Monitoring'!J7="","",'Monitoring'!J7)</f>
        <v/>
      </c>
      <c r="L93" s="37">
        <f>IF('Monitoring'!K7="","",'Monitoring'!K7)</f>
        <v/>
      </c>
      <c r="M93" s="37">
        <f>IF('Monitoring'!L7="","",'Monitoring'!L7)</f>
        <v/>
      </c>
      <c r="N93" s="38">
        <f>IF('Monitoring'!M7="","",'Monitoring'!M7)</f>
        <v/>
      </c>
    </row>
    <row r="94">
      <c r="A94" s="39">
        <f>IF('Monitoring'!A8="","",'Monitoring'!A8)</f>
        <v/>
      </c>
      <c r="B94" s="39" t="inlineStr">
        <is>
          <t>Monitoring</t>
        </is>
      </c>
      <c r="C94" s="39">
        <f>IF('Monitoring'!B8="","",'Monitoring'!B8)</f>
        <v/>
      </c>
      <c r="D94" s="39">
        <f>IF('Monitoring'!C8="","",'Monitoring'!C8)</f>
        <v/>
      </c>
      <c r="E94" s="39">
        <f>IF('Monitoring'!D8="","",'Monitoring'!D8)</f>
        <v/>
      </c>
      <c r="F94" s="39">
        <f>IF('Monitoring'!E8="","",'Monitoring'!E8)</f>
        <v/>
      </c>
      <c r="G94" s="40">
        <f>IF('Monitoring'!F8="","",'Monitoring'!F8)</f>
        <v/>
      </c>
      <c r="H94" s="40">
        <f>IF('Monitoring'!G8="","",'Monitoring'!G8)</f>
        <v/>
      </c>
      <c r="I94" s="39">
        <f>IF('Monitoring'!H8="","",'Monitoring'!H8)</f>
        <v/>
      </c>
      <c r="J94" s="40">
        <f>IF('Monitoring'!I8="","",'Monitoring'!I8)</f>
        <v/>
      </c>
      <c r="K94" s="39">
        <f>IF('Monitoring'!J8="","",'Monitoring'!J8)</f>
        <v/>
      </c>
      <c r="L94" s="39">
        <f>IF('Monitoring'!K8="","",'Monitoring'!K8)</f>
        <v/>
      </c>
      <c r="M94" s="39">
        <f>IF('Monitoring'!L8="","",'Monitoring'!L8)</f>
        <v/>
      </c>
      <c r="N94" s="40">
        <f>IF('Monitoring'!M8="","",'Monitoring'!M8)</f>
        <v/>
      </c>
    </row>
    <row r="95">
      <c r="A95" s="37">
        <f>IF('Monitoring'!A9="","",'Monitoring'!A9)</f>
        <v/>
      </c>
      <c r="B95" s="37" t="inlineStr">
        <is>
          <t>Monitoring</t>
        </is>
      </c>
      <c r="C95" s="37">
        <f>IF('Monitoring'!B9="","",'Monitoring'!B9)</f>
        <v/>
      </c>
      <c r="D95" s="37">
        <f>IF('Monitoring'!C9="","",'Monitoring'!C9)</f>
        <v/>
      </c>
      <c r="E95" s="37">
        <f>IF('Monitoring'!D9="","",'Monitoring'!D9)</f>
        <v/>
      </c>
      <c r="F95" s="37">
        <f>IF('Monitoring'!E9="","",'Monitoring'!E9)</f>
        <v/>
      </c>
      <c r="G95" s="38">
        <f>IF('Monitoring'!F9="","",'Monitoring'!F9)</f>
        <v/>
      </c>
      <c r="H95" s="38">
        <f>IF('Monitoring'!G9="","",'Monitoring'!G9)</f>
        <v/>
      </c>
      <c r="I95" s="37">
        <f>IF('Monitoring'!H9="","",'Monitoring'!H9)</f>
        <v/>
      </c>
      <c r="J95" s="38">
        <f>IF('Monitoring'!I9="","",'Monitoring'!I9)</f>
        <v/>
      </c>
      <c r="K95" s="37">
        <f>IF('Monitoring'!J9="","",'Monitoring'!J9)</f>
        <v/>
      </c>
      <c r="L95" s="37">
        <f>IF('Monitoring'!K9="","",'Monitoring'!K9)</f>
        <v/>
      </c>
      <c r="M95" s="37">
        <f>IF('Monitoring'!L9="","",'Monitoring'!L9)</f>
        <v/>
      </c>
      <c r="N95" s="38">
        <f>IF('Monitoring'!M9="","",'Monitoring'!M9)</f>
        <v/>
      </c>
    </row>
    <row r="96">
      <c r="A96" s="39">
        <f>IF('Monitoring'!A10="","",'Monitoring'!A10)</f>
        <v/>
      </c>
      <c r="B96" s="39" t="inlineStr">
        <is>
          <t>Monitoring</t>
        </is>
      </c>
      <c r="C96" s="39">
        <f>IF('Monitoring'!B10="","",'Monitoring'!B10)</f>
        <v/>
      </c>
      <c r="D96" s="39">
        <f>IF('Monitoring'!C10="","",'Monitoring'!C10)</f>
        <v/>
      </c>
      <c r="E96" s="39">
        <f>IF('Monitoring'!D10="","",'Monitoring'!D10)</f>
        <v/>
      </c>
      <c r="F96" s="39">
        <f>IF('Monitoring'!E10="","",'Monitoring'!E10)</f>
        <v/>
      </c>
      <c r="G96" s="40">
        <f>IF('Monitoring'!F10="","",'Monitoring'!F10)</f>
        <v/>
      </c>
      <c r="H96" s="40">
        <f>IF('Monitoring'!G10="","",'Monitoring'!G10)</f>
        <v/>
      </c>
      <c r="I96" s="39">
        <f>IF('Monitoring'!H10="","",'Monitoring'!H10)</f>
        <v/>
      </c>
      <c r="J96" s="40">
        <f>IF('Monitoring'!I10="","",'Monitoring'!I10)</f>
        <v/>
      </c>
      <c r="K96" s="39">
        <f>IF('Monitoring'!J10="","",'Monitoring'!J10)</f>
        <v/>
      </c>
      <c r="L96" s="39">
        <f>IF('Monitoring'!K10="","",'Monitoring'!K10)</f>
        <v/>
      </c>
      <c r="M96" s="39">
        <f>IF('Monitoring'!L10="","",'Monitoring'!L10)</f>
        <v/>
      </c>
      <c r="N96" s="40">
        <f>IF('Monitoring'!M10="","",'Monitoring'!M10)</f>
        <v/>
      </c>
    </row>
    <row r="97">
      <c r="A97" s="37">
        <f>IF('Monitoring'!A11="","",'Monitoring'!A11)</f>
        <v/>
      </c>
      <c r="B97" s="37" t="inlineStr">
        <is>
          <t>Monitoring</t>
        </is>
      </c>
      <c r="C97" s="37">
        <f>IF('Monitoring'!B11="","",'Monitoring'!B11)</f>
        <v/>
      </c>
      <c r="D97" s="37">
        <f>IF('Monitoring'!C11="","",'Monitoring'!C11)</f>
        <v/>
      </c>
      <c r="E97" s="37">
        <f>IF('Monitoring'!D11="","",'Monitoring'!D11)</f>
        <v/>
      </c>
      <c r="F97" s="37">
        <f>IF('Monitoring'!E11="","",'Monitoring'!E11)</f>
        <v/>
      </c>
      <c r="G97" s="38">
        <f>IF('Monitoring'!F11="","",'Monitoring'!F11)</f>
        <v/>
      </c>
      <c r="H97" s="38">
        <f>IF('Monitoring'!G11="","",'Monitoring'!G11)</f>
        <v/>
      </c>
      <c r="I97" s="37">
        <f>IF('Monitoring'!H11="","",'Monitoring'!H11)</f>
        <v/>
      </c>
      <c r="J97" s="38">
        <f>IF('Monitoring'!I11="","",'Monitoring'!I11)</f>
        <v/>
      </c>
      <c r="K97" s="37">
        <f>IF('Monitoring'!J11="","",'Monitoring'!J11)</f>
        <v/>
      </c>
      <c r="L97" s="37">
        <f>IF('Monitoring'!K11="","",'Monitoring'!K11)</f>
        <v/>
      </c>
      <c r="M97" s="37">
        <f>IF('Monitoring'!L11="","",'Monitoring'!L11)</f>
        <v/>
      </c>
      <c r="N97" s="38">
        <f>IF('Monitoring'!M11="","",'Monitoring'!M11)</f>
        <v/>
      </c>
    </row>
    <row r="98">
      <c r="A98" s="39">
        <f>IF('Monitoring'!A12="","",'Monitoring'!A12)</f>
        <v/>
      </c>
      <c r="B98" s="39" t="inlineStr">
        <is>
          <t>Monitoring</t>
        </is>
      </c>
      <c r="C98" s="39">
        <f>IF('Monitoring'!B12="","",'Monitoring'!B12)</f>
        <v/>
      </c>
      <c r="D98" s="39">
        <f>IF('Monitoring'!C12="","",'Monitoring'!C12)</f>
        <v/>
      </c>
      <c r="E98" s="39">
        <f>IF('Monitoring'!D12="","",'Monitoring'!D12)</f>
        <v/>
      </c>
      <c r="F98" s="39">
        <f>IF('Monitoring'!E12="","",'Monitoring'!E12)</f>
        <v/>
      </c>
      <c r="G98" s="40">
        <f>IF('Monitoring'!F12="","",'Monitoring'!F12)</f>
        <v/>
      </c>
      <c r="H98" s="40">
        <f>IF('Monitoring'!G12="","",'Monitoring'!G12)</f>
        <v/>
      </c>
      <c r="I98" s="39">
        <f>IF('Monitoring'!H12="","",'Monitoring'!H12)</f>
        <v/>
      </c>
      <c r="J98" s="40">
        <f>IF('Monitoring'!I12="","",'Monitoring'!I12)</f>
        <v/>
      </c>
      <c r="K98" s="39">
        <f>IF('Monitoring'!J12="","",'Monitoring'!J12)</f>
        <v/>
      </c>
      <c r="L98" s="39">
        <f>IF('Monitoring'!K12="","",'Monitoring'!K12)</f>
        <v/>
      </c>
      <c r="M98" s="39">
        <f>IF('Monitoring'!L12="","",'Monitoring'!L12)</f>
        <v/>
      </c>
      <c r="N98" s="40">
        <f>IF('Monitoring'!M12="","",'Monitoring'!M12)</f>
        <v/>
      </c>
    </row>
    <row r="99">
      <c r="A99" s="37">
        <f>IF('Monitoring'!A13="","",'Monitoring'!A13)</f>
        <v/>
      </c>
      <c r="B99" s="37" t="inlineStr">
        <is>
          <t>Monitoring</t>
        </is>
      </c>
      <c r="C99" s="37">
        <f>IF('Monitoring'!B13="","",'Monitoring'!B13)</f>
        <v/>
      </c>
      <c r="D99" s="37">
        <f>IF('Monitoring'!C13="","",'Monitoring'!C13)</f>
        <v/>
      </c>
      <c r="E99" s="37">
        <f>IF('Monitoring'!D13="","",'Monitoring'!D13)</f>
        <v/>
      </c>
      <c r="F99" s="37">
        <f>IF('Monitoring'!E13="","",'Monitoring'!E13)</f>
        <v/>
      </c>
      <c r="G99" s="38">
        <f>IF('Monitoring'!F13="","",'Monitoring'!F13)</f>
        <v/>
      </c>
      <c r="H99" s="38">
        <f>IF('Monitoring'!G13="","",'Monitoring'!G13)</f>
        <v/>
      </c>
      <c r="I99" s="37">
        <f>IF('Monitoring'!H13="","",'Monitoring'!H13)</f>
        <v/>
      </c>
      <c r="J99" s="38">
        <f>IF('Monitoring'!I13="","",'Monitoring'!I13)</f>
        <v/>
      </c>
      <c r="K99" s="37">
        <f>IF('Monitoring'!J13="","",'Monitoring'!J13)</f>
        <v/>
      </c>
      <c r="L99" s="37">
        <f>IF('Monitoring'!K13="","",'Monitoring'!K13)</f>
        <v/>
      </c>
      <c r="M99" s="37">
        <f>IF('Monitoring'!L13="","",'Monitoring'!L13)</f>
        <v/>
      </c>
      <c r="N99" s="38">
        <f>IF('Monitoring'!M13="","",'Monitoring'!M13)</f>
        <v/>
      </c>
    </row>
    <row r="100">
      <c r="A100" s="39">
        <f>IF('Bedrock'!A3="","",'Bedrock'!A3)</f>
        <v/>
      </c>
      <c r="B100" s="39" t="inlineStr">
        <is>
          <t>Bedrock</t>
        </is>
      </c>
      <c r="C100" s="39">
        <f>IF('Bedrock'!B3="","",'Bedrock'!B3)</f>
        <v/>
      </c>
      <c r="D100" s="39">
        <f>IF('Bedrock'!C3="","",'Bedrock'!C3)</f>
        <v/>
      </c>
      <c r="E100" s="39">
        <f>IF('Bedrock'!D3="","",'Bedrock'!D3)</f>
        <v/>
      </c>
      <c r="F100" s="39">
        <f>IF('Bedrock'!E3="","",'Bedrock'!E3)</f>
        <v/>
      </c>
      <c r="G100" s="40">
        <f>IF('Bedrock'!F3="","",'Bedrock'!F3)</f>
        <v/>
      </c>
      <c r="H100" s="40">
        <f>IF('Bedrock'!G3="","",'Bedrock'!G3)</f>
        <v/>
      </c>
      <c r="I100" s="39">
        <f>IF('Bedrock'!H3="","",'Bedrock'!H3)</f>
        <v/>
      </c>
      <c r="J100" s="40">
        <f>IF('Bedrock'!I3="","",'Bedrock'!I3)</f>
        <v/>
      </c>
      <c r="K100" s="39">
        <f>IF('Bedrock'!J3="","",'Bedrock'!J3)</f>
        <v/>
      </c>
      <c r="L100" s="39">
        <f>IF('Bedrock'!K3="","",'Bedrock'!K3)</f>
        <v/>
      </c>
      <c r="M100" s="39">
        <f>IF('Bedrock'!L3="","",'Bedrock'!L3)</f>
        <v/>
      </c>
      <c r="N100" s="40">
        <f>IF('Bedrock'!M3="","",'Bedrock'!M3)</f>
        <v/>
      </c>
    </row>
    <row r="101">
      <c r="A101" s="37">
        <f>IF('Bedrock'!A4="","",'Bedrock'!A4)</f>
        <v/>
      </c>
      <c r="B101" s="37" t="inlineStr">
        <is>
          <t>Bedrock</t>
        </is>
      </c>
      <c r="C101" s="37">
        <f>IF('Bedrock'!B4="","",'Bedrock'!B4)</f>
        <v/>
      </c>
      <c r="D101" s="37">
        <f>IF('Bedrock'!C4="","",'Bedrock'!C4)</f>
        <v/>
      </c>
      <c r="E101" s="37">
        <f>IF('Bedrock'!D4="","",'Bedrock'!D4)</f>
        <v/>
      </c>
      <c r="F101" s="37">
        <f>IF('Bedrock'!E4="","",'Bedrock'!E4)</f>
        <v/>
      </c>
      <c r="G101" s="38">
        <f>IF('Bedrock'!F4="","",'Bedrock'!F4)</f>
        <v/>
      </c>
      <c r="H101" s="38">
        <f>IF('Bedrock'!G4="","",'Bedrock'!G4)</f>
        <v/>
      </c>
      <c r="I101" s="37">
        <f>IF('Bedrock'!H4="","",'Bedrock'!H4)</f>
        <v/>
      </c>
      <c r="J101" s="38">
        <f>IF('Bedrock'!I4="","",'Bedrock'!I4)</f>
        <v/>
      </c>
      <c r="K101" s="37">
        <f>IF('Bedrock'!J4="","",'Bedrock'!J4)</f>
        <v/>
      </c>
      <c r="L101" s="37">
        <f>IF('Bedrock'!K4="","",'Bedrock'!K4)</f>
        <v/>
      </c>
      <c r="M101" s="37">
        <f>IF('Bedrock'!L4="","",'Bedrock'!L4)</f>
        <v/>
      </c>
      <c r="N101" s="38">
        <f>IF('Bedrock'!M4="","",'Bedrock'!M4)</f>
        <v/>
      </c>
    </row>
    <row r="102">
      <c r="A102" s="39">
        <f>IF('Bedrock'!A5="","",'Bedrock'!A5)</f>
        <v/>
      </c>
      <c r="B102" s="39" t="inlineStr">
        <is>
          <t>Bedrock</t>
        </is>
      </c>
      <c r="C102" s="39">
        <f>IF('Bedrock'!B5="","",'Bedrock'!B5)</f>
        <v/>
      </c>
      <c r="D102" s="39">
        <f>IF('Bedrock'!C5="","",'Bedrock'!C5)</f>
        <v/>
      </c>
      <c r="E102" s="39">
        <f>IF('Bedrock'!D5="","",'Bedrock'!D5)</f>
        <v/>
      </c>
      <c r="F102" s="39">
        <f>IF('Bedrock'!E5="","",'Bedrock'!E5)</f>
        <v/>
      </c>
      <c r="G102" s="40">
        <f>IF('Bedrock'!F5="","",'Bedrock'!F5)</f>
        <v/>
      </c>
      <c r="H102" s="40">
        <f>IF('Bedrock'!G5="","",'Bedrock'!G5)</f>
        <v/>
      </c>
      <c r="I102" s="39">
        <f>IF('Bedrock'!H5="","",'Bedrock'!H5)</f>
        <v/>
      </c>
      <c r="J102" s="40">
        <f>IF('Bedrock'!I5="","",'Bedrock'!I5)</f>
        <v/>
      </c>
      <c r="K102" s="39">
        <f>IF('Bedrock'!J5="","",'Bedrock'!J5)</f>
        <v/>
      </c>
      <c r="L102" s="39">
        <f>IF('Bedrock'!K5="","",'Bedrock'!K5)</f>
        <v/>
      </c>
      <c r="M102" s="39">
        <f>IF('Bedrock'!L5="","",'Bedrock'!L5)</f>
        <v/>
      </c>
      <c r="N102" s="40">
        <f>IF('Bedrock'!M5="","",'Bedrock'!M5)</f>
        <v/>
      </c>
    </row>
    <row r="103">
      <c r="A103" s="37">
        <f>IF('Bedrock'!A6="","",'Bedrock'!A6)</f>
        <v/>
      </c>
      <c r="B103" s="37" t="inlineStr">
        <is>
          <t>Bedrock</t>
        </is>
      </c>
      <c r="C103" s="37">
        <f>IF('Bedrock'!B6="","",'Bedrock'!B6)</f>
        <v/>
      </c>
      <c r="D103" s="37">
        <f>IF('Bedrock'!C6="","",'Bedrock'!C6)</f>
        <v/>
      </c>
      <c r="E103" s="37">
        <f>IF('Bedrock'!D6="","",'Bedrock'!D6)</f>
        <v/>
      </c>
      <c r="F103" s="37">
        <f>IF('Bedrock'!E6="","",'Bedrock'!E6)</f>
        <v/>
      </c>
      <c r="G103" s="38">
        <f>IF('Bedrock'!F6="","",'Bedrock'!F6)</f>
        <v/>
      </c>
      <c r="H103" s="38">
        <f>IF('Bedrock'!G6="","",'Bedrock'!G6)</f>
        <v/>
      </c>
      <c r="I103" s="37">
        <f>IF('Bedrock'!H6="","",'Bedrock'!H6)</f>
        <v/>
      </c>
      <c r="J103" s="38">
        <f>IF('Bedrock'!I6="","",'Bedrock'!I6)</f>
        <v/>
      </c>
      <c r="K103" s="37">
        <f>IF('Bedrock'!J6="","",'Bedrock'!J6)</f>
        <v/>
      </c>
      <c r="L103" s="37">
        <f>IF('Bedrock'!K6="","",'Bedrock'!K6)</f>
        <v/>
      </c>
      <c r="M103" s="37">
        <f>IF('Bedrock'!L6="","",'Bedrock'!L6)</f>
        <v/>
      </c>
      <c r="N103" s="38">
        <f>IF('Bedrock'!M6="","",'Bedrock'!M6)</f>
        <v/>
      </c>
    </row>
    <row r="104">
      <c r="A104" s="39">
        <f>IF('Bedrock'!A7="","",'Bedrock'!A7)</f>
        <v/>
      </c>
      <c r="B104" s="39" t="inlineStr">
        <is>
          <t>Bedrock</t>
        </is>
      </c>
      <c r="C104" s="39">
        <f>IF('Bedrock'!B7="","",'Bedrock'!B7)</f>
        <v/>
      </c>
      <c r="D104" s="39">
        <f>IF('Bedrock'!C7="","",'Bedrock'!C7)</f>
        <v/>
      </c>
      <c r="E104" s="39">
        <f>IF('Bedrock'!D7="","",'Bedrock'!D7)</f>
        <v/>
      </c>
      <c r="F104" s="39">
        <f>IF('Bedrock'!E7="","",'Bedrock'!E7)</f>
        <v/>
      </c>
      <c r="G104" s="40">
        <f>IF('Bedrock'!F7="","",'Bedrock'!F7)</f>
        <v/>
      </c>
      <c r="H104" s="40">
        <f>IF('Bedrock'!G7="","",'Bedrock'!G7)</f>
        <v/>
      </c>
      <c r="I104" s="39">
        <f>IF('Bedrock'!H7="","",'Bedrock'!H7)</f>
        <v/>
      </c>
      <c r="J104" s="40">
        <f>IF('Bedrock'!I7="","",'Bedrock'!I7)</f>
        <v/>
      </c>
      <c r="K104" s="39">
        <f>IF('Bedrock'!J7="","",'Bedrock'!J7)</f>
        <v/>
      </c>
      <c r="L104" s="39">
        <f>IF('Bedrock'!K7="","",'Bedrock'!K7)</f>
        <v/>
      </c>
      <c r="M104" s="39">
        <f>IF('Bedrock'!L7="","",'Bedrock'!L7)</f>
        <v/>
      </c>
      <c r="N104" s="40">
        <f>IF('Bedrock'!M7="","",'Bedrock'!M7)</f>
        <v/>
      </c>
    </row>
    <row r="105">
      <c r="A105" s="37">
        <f>IF('Bedrock'!A8="","",'Bedrock'!A8)</f>
        <v/>
      </c>
      <c r="B105" s="37" t="inlineStr">
        <is>
          <t>Bedrock</t>
        </is>
      </c>
      <c r="C105" s="37">
        <f>IF('Bedrock'!B8="","",'Bedrock'!B8)</f>
        <v/>
      </c>
      <c r="D105" s="37">
        <f>IF('Bedrock'!C8="","",'Bedrock'!C8)</f>
        <v/>
      </c>
      <c r="E105" s="37">
        <f>IF('Bedrock'!D8="","",'Bedrock'!D8)</f>
        <v/>
      </c>
      <c r="F105" s="37">
        <f>IF('Bedrock'!E8="","",'Bedrock'!E8)</f>
        <v/>
      </c>
      <c r="G105" s="38">
        <f>IF('Bedrock'!F8="","",'Bedrock'!F8)</f>
        <v/>
      </c>
      <c r="H105" s="38">
        <f>IF('Bedrock'!G8="","",'Bedrock'!G8)</f>
        <v/>
      </c>
      <c r="I105" s="37">
        <f>IF('Bedrock'!H8="","",'Bedrock'!H8)</f>
        <v/>
      </c>
      <c r="J105" s="38">
        <f>IF('Bedrock'!I8="","",'Bedrock'!I8)</f>
        <v/>
      </c>
      <c r="K105" s="37">
        <f>IF('Bedrock'!J8="","",'Bedrock'!J8)</f>
        <v/>
      </c>
      <c r="L105" s="37">
        <f>IF('Bedrock'!K8="","",'Bedrock'!K8)</f>
        <v/>
      </c>
      <c r="M105" s="37">
        <f>IF('Bedrock'!L8="","",'Bedrock'!L8)</f>
        <v/>
      </c>
      <c r="N105" s="38">
        <f>IF('Bedrock'!M8="","",'Bedrock'!M8)</f>
        <v/>
      </c>
    </row>
    <row r="106">
      <c r="A106" s="39">
        <f>IF('Integration'!A3="","",'Integration'!A3)</f>
        <v/>
      </c>
      <c r="B106" s="39" t="inlineStr">
        <is>
          <t>Integration</t>
        </is>
      </c>
      <c r="C106" s="39">
        <f>IF('Integration'!B3="","",'Integration'!B3)</f>
        <v/>
      </c>
      <c r="D106" s="39">
        <f>IF('Integration'!C3="","",'Integration'!C3)</f>
        <v/>
      </c>
      <c r="E106" s="39">
        <f>IF('Integration'!D3="","",'Integration'!D3)</f>
        <v/>
      </c>
      <c r="F106" s="39">
        <f>IF('Integration'!E3="","",'Integration'!E3)</f>
        <v/>
      </c>
      <c r="G106" s="40">
        <f>IF('Integration'!F3="","",'Integration'!F3)</f>
        <v/>
      </c>
      <c r="H106" s="40">
        <f>IF('Integration'!G3="","",'Integration'!G3)</f>
        <v/>
      </c>
      <c r="I106" s="39">
        <f>IF('Integration'!H3="","",'Integration'!H3)</f>
        <v/>
      </c>
      <c r="J106" s="40">
        <f>IF('Integration'!I3="","",'Integration'!I3)</f>
        <v/>
      </c>
      <c r="K106" s="39">
        <f>IF('Integration'!J3="","",'Integration'!J3)</f>
        <v/>
      </c>
      <c r="L106" s="39">
        <f>IF('Integration'!K3="","",'Integration'!K3)</f>
        <v/>
      </c>
      <c r="M106" s="39">
        <f>IF('Integration'!L3="","",'Integration'!L3)</f>
        <v/>
      </c>
      <c r="N106" s="40">
        <f>IF('Integration'!M3="","",'Integration'!M3)</f>
        <v/>
      </c>
    </row>
    <row r="107">
      <c r="A107" s="37">
        <f>IF('Integration'!A4="","",'Integration'!A4)</f>
        <v/>
      </c>
      <c r="B107" s="37" t="inlineStr">
        <is>
          <t>Integration</t>
        </is>
      </c>
      <c r="C107" s="37">
        <f>IF('Integration'!B4="","",'Integration'!B4)</f>
        <v/>
      </c>
      <c r="D107" s="37">
        <f>IF('Integration'!C4="","",'Integration'!C4)</f>
        <v/>
      </c>
      <c r="E107" s="37">
        <f>IF('Integration'!D4="","",'Integration'!D4)</f>
        <v/>
      </c>
      <c r="F107" s="37">
        <f>IF('Integration'!E4="","",'Integration'!E4)</f>
        <v/>
      </c>
      <c r="G107" s="38">
        <f>IF('Integration'!F4="","",'Integration'!F4)</f>
        <v/>
      </c>
      <c r="H107" s="38">
        <f>IF('Integration'!G4="","",'Integration'!G4)</f>
        <v/>
      </c>
      <c r="I107" s="37">
        <f>IF('Integration'!H4="","",'Integration'!H4)</f>
        <v/>
      </c>
      <c r="J107" s="38">
        <f>IF('Integration'!I4="","",'Integration'!I4)</f>
        <v/>
      </c>
      <c r="K107" s="37">
        <f>IF('Integration'!J4="","",'Integration'!J4)</f>
        <v/>
      </c>
      <c r="L107" s="37">
        <f>IF('Integration'!K4="","",'Integration'!K4)</f>
        <v/>
      </c>
      <c r="M107" s="37">
        <f>IF('Integration'!L4="","",'Integration'!L4)</f>
        <v/>
      </c>
      <c r="N107" s="38">
        <f>IF('Integration'!M4="","",'Integration'!M4)</f>
        <v/>
      </c>
    </row>
    <row r="108">
      <c r="A108" s="39">
        <f>IF('Integration'!A5="","",'Integration'!A5)</f>
        <v/>
      </c>
      <c r="B108" s="39" t="inlineStr">
        <is>
          <t>Integration</t>
        </is>
      </c>
      <c r="C108" s="39">
        <f>IF('Integration'!B5="","",'Integration'!B5)</f>
        <v/>
      </c>
      <c r="D108" s="39">
        <f>IF('Integration'!C5="","",'Integration'!C5)</f>
        <v/>
      </c>
      <c r="E108" s="39">
        <f>IF('Integration'!D5="","",'Integration'!D5)</f>
        <v/>
      </c>
      <c r="F108" s="39">
        <f>IF('Integration'!E5="","",'Integration'!E5)</f>
        <v/>
      </c>
      <c r="G108" s="40">
        <f>IF('Integration'!F5="","",'Integration'!F5)</f>
        <v/>
      </c>
      <c r="H108" s="40">
        <f>IF('Integration'!G5="","",'Integration'!G5)</f>
        <v/>
      </c>
      <c r="I108" s="39">
        <f>IF('Integration'!H5="","",'Integration'!H5)</f>
        <v/>
      </c>
      <c r="J108" s="40">
        <f>IF('Integration'!I5="","",'Integration'!I5)</f>
        <v/>
      </c>
      <c r="K108" s="39">
        <f>IF('Integration'!J5="","",'Integration'!J5)</f>
        <v/>
      </c>
      <c r="L108" s="39">
        <f>IF('Integration'!K5="","",'Integration'!K5)</f>
        <v/>
      </c>
      <c r="M108" s="39">
        <f>IF('Integration'!L5="","",'Integration'!L5)</f>
        <v/>
      </c>
      <c r="N108" s="40">
        <f>IF('Integration'!M5="","",'Integration'!M5)</f>
        <v/>
      </c>
    </row>
    <row r="109">
      <c r="A109" s="37">
        <f>IF('Integration'!A6="","",'Integration'!A6)</f>
        <v/>
      </c>
      <c r="B109" s="37" t="inlineStr">
        <is>
          <t>Integration</t>
        </is>
      </c>
      <c r="C109" s="37">
        <f>IF('Integration'!B6="","",'Integration'!B6)</f>
        <v/>
      </c>
      <c r="D109" s="37">
        <f>IF('Integration'!C6="","",'Integration'!C6)</f>
        <v/>
      </c>
      <c r="E109" s="37">
        <f>IF('Integration'!D6="","",'Integration'!D6)</f>
        <v/>
      </c>
      <c r="F109" s="37">
        <f>IF('Integration'!E6="","",'Integration'!E6)</f>
        <v/>
      </c>
      <c r="G109" s="38">
        <f>IF('Integration'!F6="","",'Integration'!F6)</f>
        <v/>
      </c>
      <c r="H109" s="38">
        <f>IF('Integration'!G6="","",'Integration'!G6)</f>
        <v/>
      </c>
      <c r="I109" s="37">
        <f>IF('Integration'!H6="","",'Integration'!H6)</f>
        <v/>
      </c>
      <c r="J109" s="38">
        <f>IF('Integration'!I6="","",'Integration'!I6)</f>
        <v/>
      </c>
      <c r="K109" s="37">
        <f>IF('Integration'!J6="","",'Integration'!J6)</f>
        <v/>
      </c>
      <c r="L109" s="37">
        <f>IF('Integration'!K6="","",'Integration'!K6)</f>
        <v/>
      </c>
      <c r="M109" s="37">
        <f>IF('Integration'!L6="","",'Integration'!L6)</f>
        <v/>
      </c>
      <c r="N109" s="38">
        <f>IF('Integration'!M6="","",'Integration'!M6)</f>
        <v/>
      </c>
    </row>
    <row r="110">
      <c r="A110" s="39">
        <f>IF('Integration'!A7="","",'Integration'!A7)</f>
        <v/>
      </c>
      <c r="B110" s="39" t="inlineStr">
        <is>
          <t>Integration</t>
        </is>
      </c>
      <c r="C110" s="39">
        <f>IF('Integration'!B7="","",'Integration'!B7)</f>
        <v/>
      </c>
      <c r="D110" s="39">
        <f>IF('Integration'!C7="","",'Integration'!C7)</f>
        <v/>
      </c>
      <c r="E110" s="39">
        <f>IF('Integration'!D7="","",'Integration'!D7)</f>
        <v/>
      </c>
      <c r="F110" s="39">
        <f>IF('Integration'!E7="","",'Integration'!E7)</f>
        <v/>
      </c>
      <c r="G110" s="40">
        <f>IF('Integration'!F7="","",'Integration'!F7)</f>
        <v/>
      </c>
      <c r="H110" s="40">
        <f>IF('Integration'!G7="","",'Integration'!G7)</f>
        <v/>
      </c>
      <c r="I110" s="39">
        <f>IF('Integration'!H7="","",'Integration'!H7)</f>
        <v/>
      </c>
      <c r="J110" s="40">
        <f>IF('Integration'!I7="","",'Integration'!I7)</f>
        <v/>
      </c>
      <c r="K110" s="39">
        <f>IF('Integration'!J7="","",'Integration'!J7)</f>
        <v/>
      </c>
      <c r="L110" s="39">
        <f>IF('Integration'!K7="","",'Integration'!K7)</f>
        <v/>
      </c>
      <c r="M110" s="39">
        <f>IF('Integration'!L7="","",'Integration'!L7)</f>
        <v/>
      </c>
      <c r="N110" s="40">
        <f>IF('Integration'!M7="","",'Integration'!M7)</f>
        <v/>
      </c>
    </row>
    <row r="111">
      <c r="A111" s="37">
        <f>IF('Integration'!A8="","",'Integration'!A8)</f>
        <v/>
      </c>
      <c r="B111" s="37" t="inlineStr">
        <is>
          <t>Integration</t>
        </is>
      </c>
      <c r="C111" s="37">
        <f>IF('Integration'!B8="","",'Integration'!B8)</f>
        <v/>
      </c>
      <c r="D111" s="37">
        <f>IF('Integration'!C8="","",'Integration'!C8)</f>
        <v/>
      </c>
      <c r="E111" s="37">
        <f>IF('Integration'!D8="","",'Integration'!D8)</f>
        <v/>
      </c>
      <c r="F111" s="37">
        <f>IF('Integration'!E8="","",'Integration'!E8)</f>
        <v/>
      </c>
      <c r="G111" s="38">
        <f>IF('Integration'!F8="","",'Integration'!F8)</f>
        <v/>
      </c>
      <c r="H111" s="38">
        <f>IF('Integration'!G8="","",'Integration'!G8)</f>
        <v/>
      </c>
      <c r="I111" s="37">
        <f>IF('Integration'!H8="","",'Integration'!H8)</f>
        <v/>
      </c>
      <c r="J111" s="38">
        <f>IF('Integration'!I8="","",'Integration'!I8)</f>
        <v/>
      </c>
      <c r="K111" s="37">
        <f>IF('Integration'!J8="","",'Integration'!J8)</f>
        <v/>
      </c>
      <c r="L111" s="37">
        <f>IF('Integration'!K8="","",'Integration'!K8)</f>
        <v/>
      </c>
      <c r="M111" s="37">
        <f>IF('Integration'!L8="","",'Integration'!L8)</f>
        <v/>
      </c>
      <c r="N111" s="38">
        <f>IF('Integration'!M8="","",'Integration'!M8)</f>
        <v/>
      </c>
    </row>
    <row r="112">
      <c r="A112" s="39">
        <f>IF('Operations'!A3="","",'Operations'!A3)</f>
        <v/>
      </c>
      <c r="B112" s="39" t="inlineStr">
        <is>
          <t>Operations</t>
        </is>
      </c>
      <c r="C112" s="39">
        <f>IF('Operations'!B3="","",'Operations'!B3)</f>
        <v/>
      </c>
      <c r="D112" s="39">
        <f>IF('Operations'!C3="","",'Operations'!C3)</f>
        <v/>
      </c>
      <c r="E112" s="39">
        <f>IF('Operations'!D3="","",'Operations'!D3)</f>
        <v/>
      </c>
      <c r="F112" s="39">
        <f>IF('Operations'!E3="","",'Operations'!E3)</f>
        <v/>
      </c>
      <c r="G112" s="40">
        <f>IF('Operations'!F3="","",'Operations'!F3)</f>
        <v/>
      </c>
      <c r="H112" s="40">
        <f>IF('Operations'!G3="","",'Operations'!G3)</f>
        <v/>
      </c>
      <c r="I112" s="39">
        <f>IF('Operations'!H3="","",'Operations'!H3)</f>
        <v/>
      </c>
      <c r="J112" s="40">
        <f>IF('Operations'!I3="","",'Operations'!I3)</f>
        <v/>
      </c>
      <c r="K112" s="39">
        <f>IF('Operations'!J3="","",'Operations'!J3)</f>
        <v/>
      </c>
      <c r="L112" s="39">
        <f>IF('Operations'!K3="","",'Operations'!K3)</f>
        <v/>
      </c>
      <c r="M112" s="39">
        <f>IF('Operations'!L3="","",'Operations'!L3)</f>
        <v/>
      </c>
      <c r="N112" s="40">
        <f>IF('Operations'!M3="","",'Operations'!M3)</f>
        <v/>
      </c>
    </row>
    <row r="113">
      <c r="A113" s="37">
        <f>IF('Operations'!A4="","",'Operations'!A4)</f>
        <v/>
      </c>
      <c r="B113" s="37" t="inlineStr">
        <is>
          <t>Operations</t>
        </is>
      </c>
      <c r="C113" s="37">
        <f>IF('Operations'!B4="","",'Operations'!B4)</f>
        <v/>
      </c>
      <c r="D113" s="37">
        <f>IF('Operations'!C4="","",'Operations'!C4)</f>
        <v/>
      </c>
      <c r="E113" s="37">
        <f>IF('Operations'!D4="","",'Operations'!D4)</f>
        <v/>
      </c>
      <c r="F113" s="37">
        <f>IF('Operations'!E4="","",'Operations'!E4)</f>
        <v/>
      </c>
      <c r="G113" s="38">
        <f>IF('Operations'!F4="","",'Operations'!F4)</f>
        <v/>
      </c>
      <c r="H113" s="38">
        <f>IF('Operations'!G4="","",'Operations'!G4)</f>
        <v/>
      </c>
      <c r="I113" s="37">
        <f>IF('Operations'!H4="","",'Operations'!H4)</f>
        <v/>
      </c>
      <c r="J113" s="38">
        <f>IF('Operations'!I4="","",'Operations'!I4)</f>
        <v/>
      </c>
      <c r="K113" s="37">
        <f>IF('Operations'!J4="","",'Operations'!J4)</f>
        <v/>
      </c>
      <c r="L113" s="37">
        <f>IF('Operations'!K4="","",'Operations'!K4)</f>
        <v/>
      </c>
      <c r="M113" s="37">
        <f>IF('Operations'!L4="","",'Operations'!L4)</f>
        <v/>
      </c>
      <c r="N113" s="38">
        <f>IF('Operations'!M4="","",'Operations'!M4)</f>
        <v/>
      </c>
    </row>
    <row r="114">
      <c r="A114" s="39">
        <f>IF('Operations'!A5="","",'Operations'!A5)</f>
        <v/>
      </c>
      <c r="B114" s="39" t="inlineStr">
        <is>
          <t>Operations</t>
        </is>
      </c>
      <c r="C114" s="39">
        <f>IF('Operations'!B5="","",'Operations'!B5)</f>
        <v/>
      </c>
      <c r="D114" s="39">
        <f>IF('Operations'!C5="","",'Operations'!C5)</f>
        <v/>
      </c>
      <c r="E114" s="39">
        <f>IF('Operations'!D5="","",'Operations'!D5)</f>
        <v/>
      </c>
      <c r="F114" s="39">
        <f>IF('Operations'!E5="","",'Operations'!E5)</f>
        <v/>
      </c>
      <c r="G114" s="40">
        <f>IF('Operations'!F5="","",'Operations'!F5)</f>
        <v/>
      </c>
      <c r="H114" s="40">
        <f>IF('Operations'!G5="","",'Operations'!G5)</f>
        <v/>
      </c>
      <c r="I114" s="39">
        <f>IF('Operations'!H5="","",'Operations'!H5)</f>
        <v/>
      </c>
      <c r="J114" s="40">
        <f>IF('Operations'!I5="","",'Operations'!I5)</f>
        <v/>
      </c>
      <c r="K114" s="39">
        <f>IF('Operations'!J5="","",'Operations'!J5)</f>
        <v/>
      </c>
      <c r="L114" s="39">
        <f>IF('Operations'!K5="","",'Operations'!K5)</f>
        <v/>
      </c>
      <c r="M114" s="39">
        <f>IF('Operations'!L5="","",'Operations'!L5)</f>
        <v/>
      </c>
      <c r="N114" s="40">
        <f>IF('Operations'!M5="","",'Operations'!M5)</f>
        <v/>
      </c>
    </row>
    <row r="115">
      <c r="A115" s="37">
        <f>IF('Operations'!A6="","",'Operations'!A6)</f>
        <v/>
      </c>
      <c r="B115" s="37" t="inlineStr">
        <is>
          <t>Operations</t>
        </is>
      </c>
      <c r="C115" s="37">
        <f>IF('Operations'!B6="","",'Operations'!B6)</f>
        <v/>
      </c>
      <c r="D115" s="37">
        <f>IF('Operations'!C6="","",'Operations'!C6)</f>
        <v/>
      </c>
      <c r="E115" s="37">
        <f>IF('Operations'!D6="","",'Operations'!D6)</f>
        <v/>
      </c>
      <c r="F115" s="37">
        <f>IF('Operations'!E6="","",'Operations'!E6)</f>
        <v/>
      </c>
      <c r="G115" s="38">
        <f>IF('Operations'!F6="","",'Operations'!F6)</f>
        <v/>
      </c>
      <c r="H115" s="38">
        <f>IF('Operations'!G6="","",'Operations'!G6)</f>
        <v/>
      </c>
      <c r="I115" s="37">
        <f>IF('Operations'!H6="","",'Operations'!H6)</f>
        <v/>
      </c>
      <c r="J115" s="38">
        <f>IF('Operations'!I6="","",'Operations'!I6)</f>
        <v/>
      </c>
      <c r="K115" s="37">
        <f>IF('Operations'!J6="","",'Operations'!J6)</f>
        <v/>
      </c>
      <c r="L115" s="37">
        <f>IF('Operations'!K6="","",'Operations'!K6)</f>
        <v/>
      </c>
      <c r="M115" s="37">
        <f>IF('Operations'!L6="","",'Operations'!L6)</f>
        <v/>
      </c>
      <c r="N115" s="38">
        <f>IF('Operations'!M6="","",'Operations'!M6)</f>
        <v/>
      </c>
    </row>
    <row r="116">
      <c r="A116" s="39">
        <f>IF('Operations'!A7="","",'Operations'!A7)</f>
        <v/>
      </c>
      <c r="B116" s="39" t="inlineStr">
        <is>
          <t>Operations</t>
        </is>
      </c>
      <c r="C116" s="39">
        <f>IF('Operations'!B7="","",'Operations'!B7)</f>
        <v/>
      </c>
      <c r="D116" s="39">
        <f>IF('Operations'!C7="","",'Operations'!C7)</f>
        <v/>
      </c>
      <c r="E116" s="39">
        <f>IF('Operations'!D7="","",'Operations'!D7)</f>
        <v/>
      </c>
      <c r="F116" s="39">
        <f>IF('Operations'!E7="","",'Operations'!E7)</f>
        <v/>
      </c>
      <c r="G116" s="40">
        <f>IF('Operations'!F7="","",'Operations'!F7)</f>
        <v/>
      </c>
      <c r="H116" s="40">
        <f>IF('Operations'!G7="","",'Operations'!G7)</f>
        <v/>
      </c>
      <c r="I116" s="39">
        <f>IF('Operations'!H7="","",'Operations'!H7)</f>
        <v/>
      </c>
      <c r="J116" s="40">
        <f>IF('Operations'!I7="","",'Operations'!I7)</f>
        <v/>
      </c>
      <c r="K116" s="39">
        <f>IF('Operations'!J7="","",'Operations'!J7)</f>
        <v/>
      </c>
      <c r="L116" s="39">
        <f>IF('Operations'!K7="","",'Operations'!K7)</f>
        <v/>
      </c>
      <c r="M116" s="39">
        <f>IF('Operations'!L7="","",'Operations'!L7)</f>
        <v/>
      </c>
      <c r="N116" s="40">
        <f>IF('Operations'!M7="","",'Operations'!M7)</f>
        <v/>
      </c>
    </row>
    <row r="117">
      <c r="A117" s="37">
        <f>IF('Operations'!A8="","",'Operations'!A8)</f>
        <v/>
      </c>
      <c r="B117" s="37" t="inlineStr">
        <is>
          <t>Operations</t>
        </is>
      </c>
      <c r="C117" s="37">
        <f>IF('Operations'!B8="","",'Operations'!B8)</f>
        <v/>
      </c>
      <c r="D117" s="37">
        <f>IF('Operations'!C8="","",'Operations'!C8)</f>
        <v/>
      </c>
      <c r="E117" s="37">
        <f>IF('Operations'!D8="","",'Operations'!D8)</f>
        <v/>
      </c>
      <c r="F117" s="37">
        <f>IF('Operations'!E8="","",'Operations'!E8)</f>
        <v/>
      </c>
      <c r="G117" s="38">
        <f>IF('Operations'!F8="","",'Operations'!F8)</f>
        <v/>
      </c>
      <c r="H117" s="38">
        <f>IF('Operations'!G8="","",'Operations'!G8)</f>
        <v/>
      </c>
      <c r="I117" s="37">
        <f>IF('Operations'!H8="","",'Operations'!H8)</f>
        <v/>
      </c>
      <c r="J117" s="38">
        <f>IF('Operations'!I8="","",'Operations'!I8)</f>
        <v/>
      </c>
      <c r="K117" s="37">
        <f>IF('Operations'!J8="","",'Operations'!J8)</f>
        <v/>
      </c>
      <c r="L117" s="37">
        <f>IF('Operations'!K8="","",'Operations'!K8)</f>
        <v/>
      </c>
      <c r="M117" s="37">
        <f>IF('Operations'!L8="","",'Operations'!L8)</f>
        <v/>
      </c>
      <c r="N117" s="38">
        <f>IF('Operations'!M8="","",'Operations'!M8)</f>
        <v/>
      </c>
    </row>
    <row r="118">
      <c r="A118" s="39">
        <f>IF('Operations'!A9="","",'Operations'!A9)</f>
        <v/>
      </c>
      <c r="B118" s="39" t="inlineStr">
        <is>
          <t>Operations</t>
        </is>
      </c>
      <c r="C118" s="39">
        <f>IF('Operations'!B9="","",'Operations'!B9)</f>
        <v/>
      </c>
      <c r="D118" s="39">
        <f>IF('Operations'!C9="","",'Operations'!C9)</f>
        <v/>
      </c>
      <c r="E118" s="39">
        <f>IF('Operations'!D9="","",'Operations'!D9)</f>
        <v/>
      </c>
      <c r="F118" s="39">
        <f>IF('Operations'!E9="","",'Operations'!E9)</f>
        <v/>
      </c>
      <c r="G118" s="40">
        <f>IF('Operations'!F9="","",'Operations'!F9)</f>
        <v/>
      </c>
      <c r="H118" s="40">
        <f>IF('Operations'!G9="","",'Operations'!G9)</f>
        <v/>
      </c>
      <c r="I118" s="39">
        <f>IF('Operations'!H9="","",'Operations'!H9)</f>
        <v/>
      </c>
      <c r="J118" s="40">
        <f>IF('Operations'!I9="","",'Operations'!I9)</f>
        <v/>
      </c>
      <c r="K118" s="39">
        <f>IF('Operations'!J9="","",'Operations'!J9)</f>
        <v/>
      </c>
      <c r="L118" s="39">
        <f>IF('Operations'!K9="","",'Operations'!K9)</f>
        <v/>
      </c>
      <c r="M118" s="39">
        <f>IF('Operations'!L9="","",'Operations'!L9)</f>
        <v/>
      </c>
      <c r="N118" s="40">
        <f>IF('Operations'!M9="","",'Operations'!M9)</f>
        <v/>
      </c>
    </row>
    <row r="119">
      <c r="A119" s="37">
        <f>IF('Operations'!A10="","",'Operations'!A10)</f>
        <v/>
      </c>
      <c r="B119" s="37" t="inlineStr">
        <is>
          <t>Operations</t>
        </is>
      </c>
      <c r="C119" s="37">
        <f>IF('Operations'!B10="","",'Operations'!B10)</f>
        <v/>
      </c>
      <c r="D119" s="37">
        <f>IF('Operations'!C10="","",'Operations'!C10)</f>
        <v/>
      </c>
      <c r="E119" s="37">
        <f>IF('Operations'!D10="","",'Operations'!D10)</f>
        <v/>
      </c>
      <c r="F119" s="37">
        <f>IF('Operations'!E10="","",'Operations'!E10)</f>
        <v/>
      </c>
      <c r="G119" s="38">
        <f>IF('Operations'!F10="","",'Operations'!F10)</f>
        <v/>
      </c>
      <c r="H119" s="38">
        <f>IF('Operations'!G10="","",'Operations'!G10)</f>
        <v/>
      </c>
      <c r="I119" s="37">
        <f>IF('Operations'!H10="","",'Operations'!H10)</f>
        <v/>
      </c>
      <c r="J119" s="38">
        <f>IF('Operations'!I10="","",'Operations'!I10)</f>
        <v/>
      </c>
      <c r="K119" s="37">
        <f>IF('Operations'!J10="","",'Operations'!J10)</f>
        <v/>
      </c>
      <c r="L119" s="37">
        <f>IF('Operations'!K10="","",'Operations'!K10)</f>
        <v/>
      </c>
      <c r="M119" s="37">
        <f>IF('Operations'!L10="","",'Operations'!L10)</f>
        <v/>
      </c>
      <c r="N119" s="38">
        <f>IF('Operations'!M10="","",'Operations'!M10)</f>
        <v/>
      </c>
    </row>
    <row r="120">
      <c r="A120" s="39">
        <f>IF('Operations'!A11="","",'Operations'!A11)</f>
        <v/>
      </c>
      <c r="B120" s="39" t="inlineStr">
        <is>
          <t>Operations</t>
        </is>
      </c>
      <c r="C120" s="39">
        <f>IF('Operations'!B11="","",'Operations'!B11)</f>
        <v/>
      </c>
      <c r="D120" s="39">
        <f>IF('Operations'!C11="","",'Operations'!C11)</f>
        <v/>
      </c>
      <c r="E120" s="39">
        <f>IF('Operations'!D11="","",'Operations'!D11)</f>
        <v/>
      </c>
      <c r="F120" s="39">
        <f>IF('Operations'!E11="","",'Operations'!E11)</f>
        <v/>
      </c>
      <c r="G120" s="40">
        <f>IF('Operations'!F11="","",'Operations'!F11)</f>
        <v/>
      </c>
      <c r="H120" s="40">
        <f>IF('Operations'!G11="","",'Operations'!G11)</f>
        <v/>
      </c>
      <c r="I120" s="39">
        <f>IF('Operations'!H11="","",'Operations'!H11)</f>
        <v/>
      </c>
      <c r="J120" s="40">
        <f>IF('Operations'!I11="","",'Operations'!I11)</f>
        <v/>
      </c>
      <c r="K120" s="39">
        <f>IF('Operations'!J11="","",'Operations'!J11)</f>
        <v/>
      </c>
      <c r="L120" s="39">
        <f>IF('Operations'!K11="","",'Operations'!K11)</f>
        <v/>
      </c>
      <c r="M120" s="39">
        <f>IF('Operations'!L11="","",'Operations'!L11)</f>
        <v/>
      </c>
      <c r="N120" s="40">
        <f>IF('Operations'!M11="","",'Operations'!M11)</f>
        <v/>
      </c>
    </row>
    <row r="121">
      <c r="A121" s="37">
        <f>IF('Operations'!A12="","",'Operations'!A12)</f>
        <v/>
      </c>
      <c r="B121" s="37" t="inlineStr">
        <is>
          <t>Operations</t>
        </is>
      </c>
      <c r="C121" s="37">
        <f>IF('Operations'!B12="","",'Operations'!B12)</f>
        <v/>
      </c>
      <c r="D121" s="37">
        <f>IF('Operations'!C12="","",'Operations'!C12)</f>
        <v/>
      </c>
      <c r="E121" s="37">
        <f>IF('Operations'!D12="","",'Operations'!D12)</f>
        <v/>
      </c>
      <c r="F121" s="37">
        <f>IF('Operations'!E12="","",'Operations'!E12)</f>
        <v/>
      </c>
      <c r="G121" s="38">
        <f>IF('Operations'!F12="","",'Operations'!F12)</f>
        <v/>
      </c>
      <c r="H121" s="38">
        <f>IF('Operations'!G12="","",'Operations'!G12)</f>
        <v/>
      </c>
      <c r="I121" s="37">
        <f>IF('Operations'!H12="","",'Operations'!H12)</f>
        <v/>
      </c>
      <c r="J121" s="38">
        <f>IF('Operations'!I12="","",'Operations'!I12)</f>
        <v/>
      </c>
      <c r="K121" s="37">
        <f>IF('Operations'!J12="","",'Operations'!J12)</f>
        <v/>
      </c>
      <c r="L121" s="37">
        <f>IF('Operations'!K12="","",'Operations'!K12)</f>
        <v/>
      </c>
      <c r="M121" s="37">
        <f>IF('Operations'!L12="","",'Operations'!L12)</f>
        <v/>
      </c>
      <c r="N121" s="38">
        <f>IF('Operations'!M12="","",'Operations'!M12)</f>
        <v/>
      </c>
    </row>
    <row r="122">
      <c r="A122" s="39">
        <f>IF('Operations'!A13="","",'Operations'!A13)</f>
        <v/>
      </c>
      <c r="B122" s="39" t="inlineStr">
        <is>
          <t>Operations</t>
        </is>
      </c>
      <c r="C122" s="39">
        <f>IF('Operations'!B13="","",'Operations'!B13)</f>
        <v/>
      </c>
      <c r="D122" s="39">
        <f>IF('Operations'!C13="","",'Operations'!C13)</f>
        <v/>
      </c>
      <c r="E122" s="39">
        <f>IF('Operations'!D13="","",'Operations'!D13)</f>
        <v/>
      </c>
      <c r="F122" s="39">
        <f>IF('Operations'!E13="","",'Operations'!E13)</f>
        <v/>
      </c>
      <c r="G122" s="40">
        <f>IF('Operations'!F13="","",'Operations'!F13)</f>
        <v/>
      </c>
      <c r="H122" s="40">
        <f>IF('Operations'!G13="","",'Operations'!G13)</f>
        <v/>
      </c>
      <c r="I122" s="39">
        <f>IF('Operations'!H13="","",'Operations'!H13)</f>
        <v/>
      </c>
      <c r="J122" s="40">
        <f>IF('Operations'!I13="","",'Operations'!I13)</f>
        <v/>
      </c>
      <c r="K122" s="39">
        <f>IF('Operations'!J13="","",'Operations'!J13)</f>
        <v/>
      </c>
      <c r="L122" s="39">
        <f>IF('Operations'!K13="","",'Operations'!K13)</f>
        <v/>
      </c>
      <c r="M122" s="39">
        <f>IF('Operations'!L13="","",'Operations'!L13)</f>
        <v/>
      </c>
      <c r="N122" s="40">
        <f>IF('Operations'!M13="","",'Operations'!M13)</f>
        <v/>
      </c>
    </row>
    <row r="123">
      <c r="A123" s="37">
        <f>IF('Operations'!A14="","",'Operations'!A14)</f>
        <v/>
      </c>
      <c r="B123" s="37" t="inlineStr">
        <is>
          <t>Operations</t>
        </is>
      </c>
      <c r="C123" s="37">
        <f>IF('Operations'!B14="","",'Operations'!B14)</f>
        <v/>
      </c>
      <c r="D123" s="37">
        <f>IF('Operations'!C14="","",'Operations'!C14)</f>
        <v/>
      </c>
      <c r="E123" s="37">
        <f>IF('Operations'!D14="","",'Operations'!D14)</f>
        <v/>
      </c>
      <c r="F123" s="37">
        <f>IF('Operations'!E14="","",'Operations'!E14)</f>
        <v/>
      </c>
      <c r="G123" s="38">
        <f>IF('Operations'!F14="","",'Operations'!F14)</f>
        <v/>
      </c>
      <c r="H123" s="38">
        <f>IF('Operations'!G14="","",'Operations'!G14)</f>
        <v/>
      </c>
      <c r="I123" s="37">
        <f>IF('Operations'!H14="","",'Operations'!H14)</f>
        <v/>
      </c>
      <c r="J123" s="38">
        <f>IF('Operations'!I14="","",'Operations'!I14)</f>
        <v/>
      </c>
      <c r="K123" s="37">
        <f>IF('Operations'!J14="","",'Operations'!J14)</f>
        <v/>
      </c>
      <c r="L123" s="37">
        <f>IF('Operations'!K14="","",'Operations'!K14)</f>
        <v/>
      </c>
      <c r="M123" s="37">
        <f>IF('Operations'!L14="","",'Operations'!L14)</f>
        <v/>
      </c>
      <c r="N123" s="38">
        <f>IF('Operations'!M14="","",'Operations'!M14)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aws-agentic-presales</t>
        </is>
      </c>
      <c r="C3" s="39" t="inlineStr">
        <is>
          <t>aws-agentic-presales</t>
        </is>
      </c>
      <c r="D3" s="39" t="inlineStr">
        <is>
          <t>aws-agentic-presales</t>
        </is>
      </c>
      <c r="E3" s="39" t="inlineStr">
        <is>
          <t>Solution identifier used for resource naming and tagging across all environments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hyphens only max 50 chars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/>
      <c r="M3" s="40" t="inlineStr">
        <is>
          <t>2025-06-01</t>
        </is>
      </c>
    </row>
    <row r="4" ht="26" customHeight="1">
      <c r="A4" s="43" t="inlineStr">
        <is>
          <t>solution.region.primary</t>
        </is>
      </c>
      <c r="B4" s="37" t="inlineStr">
        <is>
          <t>us-west-2</t>
        </is>
      </c>
      <c r="C4" s="37" t="inlineStr">
        <is>
          <t>us-west-2</t>
        </is>
      </c>
      <c r="D4" s="37" t="inlineStr">
        <is>
          <t>us-west-2</t>
        </is>
      </c>
      <c r="E4" s="37" t="inlineStr">
        <is>
          <t>Primary AWS deployment region; isolated from PREDICTif us-east-1 workloads per SOW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Single region per SOW scope; multi-region deferred to Phase 2</t>
        </is>
      </c>
      <c r="M4" s="38" t="inlineStr">
        <is>
          <t>2025-06-01</t>
        </is>
      </c>
    </row>
    <row r="5" ht="26" customHeight="1">
      <c r="A5" s="42" t="inlineStr">
        <is>
          <t>solution.environment</t>
        </is>
      </c>
      <c r="B5" s="39" t="inlineStr">
        <is>
          <t>production</t>
        </is>
      </c>
      <c r="C5" s="39" t="inlineStr">
        <is>
          <t>dev</t>
        </is>
      </c>
      <c r="D5" s="39" t="inlineStr">
        <is>
          <t>production</t>
        </is>
      </c>
      <c r="E5" s="39" t="inlineStr">
        <is>
          <t>Deployment environment identifier used in resource naming pattern eofw-{env}-*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production | dev | staging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DR mirrors production environment naming</t>
        </is>
      </c>
      <c r="M5" s="40" t="inlineStr">
        <is>
          <t>2025-06-01</t>
        </is>
      </c>
    </row>
    <row r="6" ht="26" customHeight="1">
      <c r="A6" s="43" t="inlineStr">
        <is>
          <t>solution.version</t>
        </is>
      </c>
      <c r="B6" s="37" t="inlineStr">
        <is>
          <t>1.0.0</t>
        </is>
      </c>
      <c r="C6" s="37" t="inlineStr">
        <is>
          <t>1.0.0</t>
        </is>
      </c>
      <c r="D6" s="37" t="inlineStr">
        <is>
          <t>1.0.0</t>
        </is>
      </c>
      <c r="E6" s="37" t="inlineStr">
        <is>
          <t>Current platform release version tracked in GitHub and used for CLI pip package versioning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Semantic versioning X.Y.Z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/>
      <c r="M6" s="38" t="inlineStr">
        <is>
          <t>2025-06-01</t>
        </is>
      </c>
    </row>
    <row r="7" ht="26" customHeight="1">
      <c r="A7" s="42" t="inlineStr">
        <is>
          <t>solution.account_id</t>
        </is>
      </c>
      <c r="B7" s="39" t="inlineStr">
        <is>
          <t>[aws-account-id]</t>
        </is>
      </c>
      <c r="C7" s="39" t="inlineStr">
        <is>
          <t>[aws-account-id]</t>
        </is>
      </c>
      <c r="D7" s="39" t="inlineStr">
        <is>
          <t>[aws-account-id]</t>
        </is>
      </c>
      <c r="E7" s="39" t="inlineStr">
        <is>
          <t>AWS account ID hosting the us-west-2 platform footprint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12-digit numeric</t>
        </is>
      </c>
      <c r="I7" s="40" t="inlineStr">
        <is>
          <t>Confidential</t>
        </is>
      </c>
      <c r="J7" s="39" t="inlineStr">
        <is>
          <t>Cloud CoE</t>
        </is>
      </c>
      <c r="K7" s="39" t="inlineStr"/>
      <c r="L7" s="39" t="inlineStr">
        <is>
          <t>Dedicated account isolated from us-east-1 per SOW scope</t>
        </is>
      </c>
      <c r="M7" s="40" t="inlineStr">
        <is>
          <t>2025-06-01</t>
        </is>
      </c>
    </row>
    <row r="8" ht="26" customHeight="1">
      <c r="A8" s="43" t="inlineStr">
        <is>
          <t>solution.cost_center</t>
        </is>
      </c>
      <c r="B8" s="37" t="inlineStr">
        <is>
          <t>AMATRA-PRESALES-2026</t>
        </is>
      </c>
      <c r="C8" s="37" t="inlineStr">
        <is>
          <t>AMATRA-PRESALES-2026</t>
        </is>
      </c>
      <c r="D8" s="37" t="inlineStr">
        <is>
          <t>AMATRA-PRESALES-2026</t>
        </is>
      </c>
      <c r="E8" s="37" t="inlineStr">
        <is>
          <t>Cost center tag applied to all AWS resources for billing attribution per SOC 2 CC9.1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Non-empty string</t>
        </is>
      </c>
      <c r="I8" s="38" t="inlineStr">
        <is>
          <t>Public</t>
        </is>
      </c>
      <c r="J8" s="37" t="inlineStr">
        <is>
          <t>Cloud CoE</t>
        </is>
      </c>
      <c r="K8" s="37" t="inlineStr"/>
      <c r="L8" s="37" t="inlineStr">
        <is>
          <t>Required tag enforced by Terraform and AWS Config rules</t>
        </is>
      </c>
      <c r="M8" s="38" t="inlineStr">
        <is>
          <t>2025-06-01</t>
        </is>
      </c>
    </row>
    <row r="9" ht="26" customHeight="1">
      <c r="A9" s="42" t="inlineStr">
        <is>
          <t>solution.deadline</t>
        </is>
      </c>
      <c r="B9" s="39" t="inlineStr">
        <is>
          <t>2026-04-30</t>
        </is>
      </c>
      <c r="C9" s="39" t="inlineStr">
        <is>
          <t>2026-04-30</t>
        </is>
      </c>
      <c r="D9" s="39" t="inlineStr">
        <is>
          <t>2026-04-30</t>
        </is>
      </c>
      <c r="E9" s="39" t="inlineStr">
        <is>
          <t>Hard go-live deadline (end of April 2026) for executive demonstration to Sarah Lin (CRO)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ISO 8601 date YYYY-MM-DD</t>
        </is>
      </c>
      <c r="I9" s="40" t="inlineStr">
        <is>
          <t>Public</t>
        </is>
      </c>
      <c r="J9" s="39" t="inlineStr">
        <is>
          <t>Cloud CoE</t>
        </is>
      </c>
      <c r="K9" s="39" t="inlineStr"/>
      <c r="L9" s="39" t="inlineStr">
        <is>
          <t>Critical path gate; drives 12-week delivery schedule</t>
        </is>
      </c>
      <c r="M9" s="40" t="inlineStr">
        <is>
          <t>2025-06-01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Networking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networking.vpc_cidr</t>
        </is>
      </c>
      <c r="B3" s="39" t="inlineStr">
        <is>
          <t>10.0.0.0/16</t>
        </is>
      </c>
      <c r="C3" s="39" t="inlineStr">
        <is>
          <t>10.0.0.0/16</t>
        </is>
      </c>
      <c r="D3" s="39" t="inlineStr">
        <is>
          <t>10.0.0.0/16</t>
        </is>
      </c>
      <c r="E3" s="39" t="inlineStr">
        <is>
          <t>VPC CIDR block for the us-west-2 platform footprint; isolated from us-east-1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CIDR /16 or smaller</t>
        </is>
      </c>
      <c r="I3" s="40" t="inlineStr">
        <is>
          <t>Confidential</t>
        </is>
      </c>
      <c r="J3" s="39" t="inlineStr">
        <is>
          <t>Network Team</t>
        </is>
      </c>
      <c r="K3" s="39" t="inlineStr">
        <is>
          <t>solution.region.primary</t>
        </is>
      </c>
      <c r="L3" s="39" t="inlineStr"/>
      <c r="M3" s="40" t="inlineStr">
        <is>
          <t>2025-06-01</t>
        </is>
      </c>
    </row>
    <row r="4" ht="26" customHeight="1">
      <c r="A4" s="43" t="inlineStr">
        <is>
          <t>networking.subnet_public_az1_cidr</t>
        </is>
      </c>
      <c r="B4" s="37" t="inlineStr">
        <is>
          <t>10.0.1.0/24</t>
        </is>
      </c>
      <c r="C4" s="37" t="inlineStr">
        <is>
          <t>10.0.1.0/24</t>
        </is>
      </c>
      <c r="D4" s="37" t="inlineStr">
        <is>
          <t>10.0.1.0/24</t>
        </is>
      </c>
      <c r="E4" s="37" t="inlineStr">
        <is>
          <t>Public subnet AZ1 (us-west-2a) for NAT Gateway only; no Lambda compute in public subnets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CIDR within VPC CIDR</t>
        </is>
      </c>
      <c r="I4" s="38" t="inlineStr">
        <is>
          <t>Confidential</t>
        </is>
      </c>
      <c r="J4" s="37" t="inlineStr">
        <is>
          <t>Network Team</t>
        </is>
      </c>
      <c r="K4" s="37" t="inlineStr">
        <is>
          <t>networking.vpc_cidr</t>
        </is>
      </c>
      <c r="L4" s="37" t="inlineStr"/>
      <c r="M4" s="38" t="inlineStr">
        <is>
          <t>2025-06-01</t>
        </is>
      </c>
    </row>
    <row r="5" ht="26" customHeight="1">
      <c r="A5" s="42" t="inlineStr">
        <is>
          <t>networking.subnet_public_az2_cidr</t>
        </is>
      </c>
      <c r="B5" s="39" t="inlineStr">
        <is>
          <t>10.0.2.0/24</t>
        </is>
      </c>
      <c r="C5" s="39" t="inlineStr">
        <is>
          <t>10.0.2.0/24</t>
        </is>
      </c>
      <c r="D5" s="39" t="inlineStr">
        <is>
          <t>10.0.2.0/24</t>
        </is>
      </c>
      <c r="E5" s="39" t="inlineStr">
        <is>
          <t>Public subnet AZ2 (us-west-2b) for NAT Gateway only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CIDR within VPC CIDR</t>
        </is>
      </c>
      <c r="I5" s="40" t="inlineStr">
        <is>
          <t>Confidential</t>
        </is>
      </c>
      <c r="J5" s="39" t="inlineStr">
        <is>
          <t>Network Team</t>
        </is>
      </c>
      <c r="K5" s="39" t="inlineStr">
        <is>
          <t>networking.vpc_cidr</t>
        </is>
      </c>
      <c r="L5" s="39" t="inlineStr"/>
      <c r="M5" s="40" t="inlineStr">
        <is>
          <t>2025-06-01</t>
        </is>
      </c>
    </row>
    <row r="6" ht="26" customHeight="1">
      <c r="A6" s="43" t="inlineStr">
        <is>
          <t>networking.subnet_private_az1_cidr</t>
        </is>
      </c>
      <c r="B6" s="37" t="inlineStr">
        <is>
          <t>10.0.10.0/24</t>
        </is>
      </c>
      <c r="C6" s="37" t="inlineStr">
        <is>
          <t>10.0.10.0/24</t>
        </is>
      </c>
      <c r="D6" s="37" t="inlineStr">
        <is>
          <t>10.0.10.0/24</t>
        </is>
      </c>
      <c r="E6" s="37" t="inlineStr">
        <is>
          <t>Private subnet AZ1 (us-west-2a) hosting all Lambda functions and agent orchestration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CIDR within VPC CIDR</t>
        </is>
      </c>
      <c r="I6" s="38" t="inlineStr">
        <is>
          <t>Confidential</t>
        </is>
      </c>
      <c r="J6" s="37" t="inlineStr">
        <is>
          <t>Network Team</t>
        </is>
      </c>
      <c r="K6" s="37" t="inlineStr">
        <is>
          <t>networking.vpc_cidr</t>
        </is>
      </c>
      <c r="L6" s="37" t="inlineStr"/>
      <c r="M6" s="38" t="inlineStr">
        <is>
          <t>2025-06-01</t>
        </is>
      </c>
    </row>
    <row r="7" ht="26" customHeight="1">
      <c r="A7" s="42" t="inlineStr">
        <is>
          <t>networking.subnet_private_az2_cidr</t>
        </is>
      </c>
      <c r="B7" s="39" t="inlineStr">
        <is>
          <t>10.0.11.0/24</t>
        </is>
      </c>
      <c r="C7" s="39" t="inlineStr">
        <is>
          <t>10.0.11.0/24</t>
        </is>
      </c>
      <c r="D7" s="39" t="inlineStr">
        <is>
          <t>10.0.11.0/24</t>
        </is>
      </c>
      <c r="E7" s="39" t="inlineStr">
        <is>
          <t>Private subnet AZ2 (us-west-2b) hosting all Lambda functions and agent orchestration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CIDR within VPC CIDR</t>
        </is>
      </c>
      <c r="I7" s="40" t="inlineStr">
        <is>
          <t>Confidential</t>
        </is>
      </c>
      <c r="J7" s="39" t="inlineStr">
        <is>
          <t>Network Team</t>
        </is>
      </c>
      <c r="K7" s="39" t="inlineStr">
        <is>
          <t>networking.vpc_cidr</t>
        </is>
      </c>
      <c r="L7" s="39" t="inlineStr"/>
      <c r="M7" s="40" t="inlineStr">
        <is>
          <t>2025-06-01</t>
        </is>
      </c>
    </row>
    <row r="8" ht="26" customHeight="1">
      <c r="A8" s="43" t="inlineStr">
        <is>
          <t>networking.subnet_db_az1_cidr</t>
        </is>
      </c>
      <c r="B8" s="37" t="inlineStr">
        <is>
          <t>10.0.20.0/24</t>
        </is>
      </c>
      <c r="C8" s="37" t="inlineStr">
        <is>
          <t>10.0.20.0/24</t>
        </is>
      </c>
      <c r="D8" s="37" t="inlineStr">
        <is>
          <t>10.0.20.0/24</t>
        </is>
      </c>
      <c r="E8" s="37" t="inlineStr">
        <is>
          <t>Database subnet AZ1 reserved for future RDS/ElastiCache; DynamoDB accessed via VPC Endpoint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CIDR within VPC CIDR</t>
        </is>
      </c>
      <c r="I8" s="38" t="inlineStr">
        <is>
          <t>Confidential</t>
        </is>
      </c>
      <c r="J8" s="37" t="inlineStr">
        <is>
          <t>Network Team</t>
        </is>
      </c>
      <c r="K8" s="37" t="inlineStr">
        <is>
          <t>networking.vpc_cidr</t>
        </is>
      </c>
      <c r="L8" s="37" t="inlineStr"/>
      <c r="M8" s="38" t="inlineStr">
        <is>
          <t>2025-06-01</t>
        </is>
      </c>
    </row>
    <row r="9" ht="26" customHeight="1">
      <c r="A9" s="42" t="inlineStr">
        <is>
          <t>networking.subnet_db_az2_cidr</t>
        </is>
      </c>
      <c r="B9" s="39" t="inlineStr">
        <is>
          <t>10.0.21.0/24</t>
        </is>
      </c>
      <c r="C9" s="39" t="inlineStr">
        <is>
          <t>10.0.21.0/24</t>
        </is>
      </c>
      <c r="D9" s="39" t="inlineStr">
        <is>
          <t>10.0.21.0/24</t>
        </is>
      </c>
      <c r="E9" s="39" t="inlineStr">
        <is>
          <t>Database subnet AZ2 reserved for future RDS/ElastiCache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CIDR within VPC CIDR</t>
        </is>
      </c>
      <c r="I9" s="40" t="inlineStr">
        <is>
          <t>Confidential</t>
        </is>
      </c>
      <c r="J9" s="39" t="inlineStr">
        <is>
          <t>Network Team</t>
        </is>
      </c>
      <c r="K9" s="39" t="inlineStr">
        <is>
          <t>networking.vpc_cidr</t>
        </is>
      </c>
      <c r="L9" s="39" t="inlineStr"/>
      <c r="M9" s="40" t="inlineStr">
        <is>
          <t>2025-06-01</t>
        </is>
      </c>
    </row>
    <row r="10" ht="26" customHeight="1">
      <c r="A10" s="43" t="inlineStr">
        <is>
          <t>networking.nat_gateway_count</t>
        </is>
      </c>
      <c r="B10" s="37" t="inlineStr">
        <is>
          <t>1</t>
        </is>
      </c>
      <c r="C10" s="37" t="inlineStr">
        <is>
          <t>1</t>
        </is>
      </c>
      <c r="D10" s="37" t="inlineStr">
        <is>
          <t>1</t>
        </is>
      </c>
      <c r="E10" s="37" t="inlineStr">
        <is>
          <t>NAT Gateways deployed in public subnets for Lambda outbound internet access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1-3</t>
        </is>
      </c>
      <c r="I10" s="38" t="inlineStr">
        <is>
          <t>Public</t>
        </is>
      </c>
      <c r="J10" s="37" t="inlineStr">
        <is>
          <t>Network Team</t>
        </is>
      </c>
      <c r="K10" s="37" t="inlineStr">
        <is>
          <t>networking.vpc_cidr</t>
        </is>
      </c>
      <c r="L10" s="37" t="inlineStr">
        <is>
          <t>Single NAT in AZ1 for PoC; second AZ2 NAT recommended in Phase 2 for AZ resilience</t>
        </is>
      </c>
      <c r="M10" s="38" t="inlineStr">
        <is>
          <t>2025-06-01</t>
        </is>
      </c>
    </row>
    <row r="11" ht="26" customHeight="1">
      <c r="A11" s="42" t="inlineStr">
        <is>
          <t>networking.vpc_endpoint_s3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Enable S3 Gateway VPC Endpoint to route Lambda-to-S3 traffic without public internet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 | false</t>
        </is>
      </c>
      <c r="I11" s="40" t="inlineStr">
        <is>
          <t>Public</t>
        </is>
      </c>
      <c r="J11" s="39" t="inlineStr">
        <is>
          <t>Network Team</t>
        </is>
      </c>
      <c r="K11" s="39" t="inlineStr">
        <is>
          <t>networking.vpc_cidr</t>
        </is>
      </c>
      <c r="L11" s="39" t="inlineStr">
        <is>
          <t>Required to keep artifact reads/writes off public internet</t>
        </is>
      </c>
      <c r="M11" s="40" t="inlineStr">
        <is>
          <t>2025-06-01</t>
        </is>
      </c>
    </row>
    <row r="12" ht="26" customHeight="1">
      <c r="A12" s="43" t="inlineStr">
        <is>
          <t>networking.vpc_endpoint_dynamodb</t>
        </is>
      </c>
      <c r="B12" s="37" t="inlineStr">
        <is>
          <t>true</t>
        </is>
      </c>
      <c r="C12" s="37" t="inlineStr">
        <is>
          <t>true</t>
        </is>
      </c>
      <c r="D12" s="37" t="inlineStr">
        <is>
          <t>true</t>
        </is>
      </c>
      <c r="E12" s="37" t="inlineStr">
        <is>
          <t>Enable DynamoDB Gateway VPC Endpoint to route Lambda-to-DynamoDB quota operations privately</t>
        </is>
      </c>
      <c r="F12" s="38" t="inlineStr">
        <is>
          <t>Yes</t>
        </is>
      </c>
      <c r="G12" s="38" t="inlineStr">
        <is>
          <t>Boolean</t>
        </is>
      </c>
      <c r="H12" s="37" t="inlineStr">
        <is>
          <t>true | false</t>
        </is>
      </c>
      <c r="I12" s="38" t="inlineStr">
        <is>
          <t>Public</t>
        </is>
      </c>
      <c r="J12" s="37" t="inlineStr">
        <is>
          <t>Network Team</t>
        </is>
      </c>
      <c r="K12" s="37" t="inlineStr">
        <is>
          <t>networking.vpc_cidr</t>
        </is>
      </c>
      <c r="L12" s="37" t="inlineStr">
        <is>
          <t>Required for quota enforcement latency target &lt; 50ms P99</t>
        </is>
      </c>
      <c r="M12" s="38" t="inlineStr">
        <is>
          <t>2025-06-01</t>
        </is>
      </c>
    </row>
    <row r="13" ht="26" customHeight="1">
      <c r="A13" s="42" t="inlineStr">
        <is>
          <t>networking.vpc_endpoint_secrets_manager</t>
        </is>
      </c>
      <c r="B13" s="39" t="inlineStr">
        <is>
          <t>true</t>
        </is>
      </c>
      <c r="C13" s="39" t="inlineStr">
        <is>
          <t>true</t>
        </is>
      </c>
      <c r="D13" s="39" t="inlineStr">
        <is>
          <t>true</t>
        </is>
      </c>
      <c r="E13" s="39" t="inlineStr">
        <is>
          <t>Enable Secrets Manager Interface VPC Endpoint for PAT retrieval without public internet traversal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 | false</t>
        </is>
      </c>
      <c r="I13" s="40" t="inlineStr">
        <is>
          <t>Public</t>
        </is>
      </c>
      <c r="J13" s="39" t="inlineStr">
        <is>
          <t>Network Team</t>
        </is>
      </c>
      <c r="K13" s="39" t="inlineStr">
        <is>
          <t>networking.vpc_cidr</t>
        </is>
      </c>
      <c r="L13" s="39" t="inlineStr">
        <is>
          <t>Required for secure runtime PAT retrieval by GitHub push Lambda</t>
        </is>
      </c>
      <c r="M13" s="40" t="inlineStr">
        <is>
          <t>2025-06-01</t>
        </is>
      </c>
    </row>
    <row r="14" ht="26" customHeight="1">
      <c r="A14" s="43" t="inlineStr">
        <is>
          <t>networking.vpc_endpoint_bedrock_runtime</t>
        </is>
      </c>
      <c r="B14" s="37" t="inlineStr">
        <is>
          <t>true</t>
        </is>
      </c>
      <c r="C14" s="37" t="inlineStr">
        <is>
          <t>true</t>
        </is>
      </c>
      <c r="D14" s="37" t="inlineStr">
        <is>
          <t>true</t>
        </is>
      </c>
      <c r="E14" s="37" t="inlineStr">
        <is>
          <t>Enable Bedrock Runtime Interface VPC Endpoint to route agent invocations privately</t>
        </is>
      </c>
      <c r="F14" s="38" t="inlineStr">
        <is>
          <t>Yes</t>
        </is>
      </c>
      <c r="G14" s="38" t="inlineStr">
        <is>
          <t>Boolean</t>
        </is>
      </c>
      <c r="H14" s="37" t="inlineStr">
        <is>
          <t>true | false</t>
        </is>
      </c>
      <c r="I14" s="38" t="inlineStr">
        <is>
          <t>Public</t>
        </is>
      </c>
      <c r="J14" s="37" t="inlineStr">
        <is>
          <t>Network Team</t>
        </is>
      </c>
      <c r="K14" s="37" t="inlineStr">
        <is>
          <t>networking.vpc_cidr</t>
        </is>
      </c>
      <c r="L14" s="37" t="inlineStr">
        <is>
          <t>Reduces latency and eliminates public internet exposure of model invocations</t>
        </is>
      </c>
      <c r="M14" s="38" t="inlineStr">
        <is>
          <t>2025-06-01</t>
        </is>
      </c>
    </row>
    <row r="15" ht="26" customHeight="1">
      <c r="A15" s="42" t="inlineStr">
        <is>
          <t>networking.apigw_endpoint</t>
        </is>
      </c>
      <c r="B15" s="39" t="inlineStr">
        <is>
          <t>https://[apigw-id].execute-api.us-west-2.amazonaws.com</t>
        </is>
      </c>
      <c r="C15" s="39" t="inlineStr">
        <is>
          <t>https://[apigw-id].execute-api.us-west-2.amazonaws.com</t>
        </is>
      </c>
      <c r="D15" s="39" t="inlineStr">
        <is>
          <t>https://[apigw-id].execute-api.us-west-2.amazonaws.com</t>
        </is>
      </c>
      <c r="E15" s="39" t="inlineStr">
        <is>
          <t>API Gateway HTTP API v2 regional endpoint base URL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Valid HTTPS URL</t>
        </is>
      </c>
      <c r="I15" s="40" t="inlineStr">
        <is>
          <t>Confidential</t>
        </is>
      </c>
      <c r="J15" s="39" t="inlineStr">
        <is>
          <t>Network Team</t>
        </is>
      </c>
      <c r="K15" s="39" t="inlineStr">
        <is>
          <t>solution.region.primary</t>
        </is>
      </c>
      <c r="L15" s="39" t="inlineStr">
        <is>
          <t>HTTPS-only; HTTP rejected; 11 Lambda routes mounted under /api/v1/</t>
        </is>
      </c>
      <c r="M15" s="40" t="inlineStr">
        <is>
          <t>2025-06-01</t>
        </is>
      </c>
    </row>
    <row r="16" ht="26" customHeight="1">
      <c r="A16" s="43" t="inlineStr">
        <is>
          <t>networking.apigw_throttle_rps_burst</t>
        </is>
      </c>
      <c r="B16" s="37" t="inlineStr">
        <is>
          <t>1000</t>
        </is>
      </c>
      <c r="C16" s="37" t="inlineStr">
        <is>
          <t>100</t>
        </is>
      </c>
      <c r="D16" s="37" t="inlineStr">
        <is>
          <t>1000</t>
        </is>
      </c>
      <c r="E16" s="37" t="inlineStr">
        <is>
          <t>API Gateway burst throttle limit in requests per second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1-10000</t>
        </is>
      </c>
      <c r="I16" s="38" t="inlineStr">
        <is>
          <t>Public</t>
        </is>
      </c>
      <c r="J16" s="37" t="inlineStr">
        <is>
          <t>Network Team</t>
        </is>
      </c>
      <c r="K16" s="37" t="inlineStr">
        <is>
          <t>networking.apigw_endpoint</t>
        </is>
      </c>
      <c r="L16" s="37" t="inlineStr">
        <is>
          <t>Per-user quota enforced in DynamoDB in addition to API Gateway throttle</t>
        </is>
      </c>
      <c r="M16" s="38" t="inlineStr">
        <is>
          <t>2025-06-01</t>
        </is>
      </c>
    </row>
  </sheetData>
  <autoFilter ref="A2:M16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security.cognito.user_pool_name</t>
        </is>
      </c>
      <c r="B3" s="39" t="inlineStr">
        <is>
          <t>eofw-prd-userpool</t>
        </is>
      </c>
      <c r="C3" s="39" t="inlineStr">
        <is>
          <t>eofw-dev-userpool</t>
        </is>
      </c>
      <c r="D3" s="39" t="inlineStr">
        <is>
          <t>eofw-prd-userpool</t>
        </is>
      </c>
      <c r="E3" s="39" t="inlineStr">
        <is>
          <t>Amazon Cognito User Pool name providing JWT authentication for all 11 API routes and CLI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 max 128 chars</t>
        </is>
      </c>
      <c r="I3" s="40" t="inlineStr">
        <is>
          <t>Confidential</t>
        </is>
      </c>
      <c r="J3" s="39" t="inlineStr">
        <is>
          <t>Security Team</t>
        </is>
      </c>
      <c r="K3" s="39" t="inlineStr">
        <is>
          <t>solution.region.primary</t>
        </is>
      </c>
      <c r="L3" s="39" t="inlineStr"/>
      <c r="M3" s="40" t="inlineStr">
        <is>
          <t>2025-06-01</t>
        </is>
      </c>
    </row>
    <row r="4" ht="26" customHeight="1">
      <c r="A4" s="43" t="inlineStr">
        <is>
          <t>security.cognito.user_pool_id</t>
        </is>
      </c>
      <c r="B4" s="37" t="inlineStr">
        <is>
          <t>[cognito-user-pool-id]</t>
        </is>
      </c>
      <c r="C4" s="37" t="inlineStr">
        <is>
          <t>[cognito-user-pool-id]</t>
        </is>
      </c>
      <c r="D4" s="37" t="inlineStr">
        <is>
          <t>[cognito-user-pool-id]</t>
        </is>
      </c>
      <c r="E4" s="37" t="inlineStr">
        <is>
          <t>Cognito User Pool ID; referenced by API Gateway JWT authoriser and Lambda route handlers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Format: {region}_{poolId}</t>
        </is>
      </c>
      <c r="I4" s="38" t="inlineStr">
        <is>
          <t>Secret</t>
        </is>
      </c>
      <c r="J4" s="37" t="inlineStr">
        <is>
          <t>Security Team</t>
        </is>
      </c>
      <c r="K4" s="37" t="inlineStr">
        <is>
          <t>security.cognito.user_pool_name</t>
        </is>
      </c>
      <c r="L4" s="37" t="inlineStr">
        <is>
          <t>Store in Secrets Manager; CTO sign-off required before provisioning in production</t>
        </is>
      </c>
      <c r="M4" s="38" t="inlineStr">
        <is>
          <t>2025-06-01</t>
        </is>
      </c>
    </row>
    <row r="5" ht="26" customHeight="1">
      <c r="A5" s="42" t="inlineStr">
        <is>
          <t>security.cognito.app_client_id</t>
        </is>
      </c>
      <c r="B5" s="39" t="inlineStr">
        <is>
          <t>[cognito-app-client-id]</t>
        </is>
      </c>
      <c r="C5" s="39" t="inlineStr">
        <is>
          <t>[cognito-app-client-id]</t>
        </is>
      </c>
      <c r="D5" s="39" t="inlineStr">
        <is>
          <t>[cognito-app-client-id]</t>
        </is>
      </c>
      <c r="E5" s="39" t="inlineStr">
        <is>
          <t>Cognito User Pool App Client ID used by the CLI for PKCE-based authorization code flow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Alphanumeric</t>
        </is>
      </c>
      <c r="I5" s="40" t="inlineStr">
        <is>
          <t>Secret</t>
        </is>
      </c>
      <c r="J5" s="39" t="inlineStr">
        <is>
          <t>Security Team</t>
        </is>
      </c>
      <c r="K5" s="39" t="inlineStr">
        <is>
          <t>security.cognito.user_pool_id</t>
        </is>
      </c>
      <c r="L5" s="39" t="inlineStr">
        <is>
          <t>Store in Secrets Manager; never bake into CLI package or container image</t>
        </is>
      </c>
      <c r="M5" s="40" t="inlineStr">
        <is>
          <t>2025-06-01</t>
        </is>
      </c>
    </row>
    <row r="6" ht="26" customHeight="1">
      <c r="A6" s="43" t="inlineStr">
        <is>
          <t>security.cognito.access_token_expiry_seconds</t>
        </is>
      </c>
      <c r="B6" s="37" t="inlineStr">
        <is>
          <t>3600</t>
        </is>
      </c>
      <c r="C6" s="37" t="inlineStr">
        <is>
          <t>3600</t>
        </is>
      </c>
      <c r="D6" s="37" t="inlineStr">
        <is>
          <t>3600</t>
        </is>
      </c>
      <c r="E6" s="37" t="inlineStr">
        <is>
          <t>JWT access token expiry in seconds (1 hour); CLI auto-refreshes using stored refresh token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300-86400</t>
        </is>
      </c>
      <c r="I6" s="38" t="inlineStr">
        <is>
          <t>Public</t>
        </is>
      </c>
      <c r="J6" s="37" t="inlineStr">
        <is>
          <t>Security Team</t>
        </is>
      </c>
      <c r="K6" s="37" t="inlineStr">
        <is>
          <t>security.cognito.user_pool_id</t>
        </is>
      </c>
      <c r="L6" s="37" t="inlineStr">
        <is>
          <t>SOC 2 CC6.1 control; short expiry limits blast radius of compromised token</t>
        </is>
      </c>
      <c r="M6" s="38" t="inlineStr">
        <is>
          <t>2025-06-01</t>
        </is>
      </c>
    </row>
    <row r="7" ht="26" customHeight="1">
      <c r="A7" s="42" t="inlineStr">
        <is>
          <t>security.cognito.refresh_token_expiry_days</t>
        </is>
      </c>
      <c r="B7" s="39" t="inlineStr">
        <is>
          <t>30</t>
        </is>
      </c>
      <c r="C7" s="39" t="inlineStr">
        <is>
          <t>30</t>
        </is>
      </c>
      <c r="D7" s="39" t="inlineStr">
        <is>
          <t>30</t>
        </is>
      </c>
      <c r="E7" s="39" t="inlineStr">
        <is>
          <t>Cognito refresh token validity in days per SOW Security &amp; Compliance specification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1-3650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security.cognito.user_pool_id</t>
        </is>
      </c>
      <c r="L7" s="39" t="inlineStr">
        <is>
          <t>30-day refresh token per SOW; CLI stores in ~/.eoframework/credentials</t>
        </is>
      </c>
      <c r="M7" s="40" t="inlineStr">
        <is>
          <t>2025-06-01</t>
        </is>
      </c>
    </row>
    <row r="8" ht="26" customHeight="1">
      <c r="A8" s="43" t="inlineStr">
        <is>
          <t>security.cognito.mfa_enabled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Require MFA for Admin role in production; standard Cognito MFA setting</t>
        </is>
      </c>
      <c r="F8" s="38" t="inlineStr">
        <is>
          <t>Yes</t>
        </is>
      </c>
      <c r="G8" s="38" t="inlineStr">
        <is>
          <t>Boolean</t>
        </is>
      </c>
      <c r="H8" s="37" t="inlineStr">
        <is>
          <t>true | false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security.cognito.user_pool_id</t>
        </is>
      </c>
      <c r="L8" s="37" t="inlineStr">
        <is>
          <t>SOC 2 CC6.1 control; Admin role requires MFA; Consultant role exempt at PoC</t>
        </is>
      </c>
      <c r="M8" s="38" t="inlineStr">
        <is>
          <t>2025-06-01</t>
        </is>
      </c>
    </row>
    <row r="9" ht="26" customHeight="1">
      <c r="A9" s="42" t="inlineStr">
        <is>
          <t>security.cognito.cto_signoff_required</t>
        </is>
      </c>
      <c r="B9" s="39" t="inlineStr">
        <is>
          <t>true</t>
        </is>
      </c>
      <c r="C9" s="39" t="inlineStr">
        <is>
          <t>false</t>
        </is>
      </c>
      <c r="D9" s="39" t="inlineStr">
        <is>
          <t>true</t>
        </is>
      </c>
      <c r="E9" s="39" t="inlineStr">
        <is>
          <t>CTO approval gate required before provisioning production Cognito User Pool per SOW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 | false</t>
        </is>
      </c>
      <c r="I9" s="40" t="inlineStr">
        <is>
          <t>Public</t>
        </is>
      </c>
      <c r="J9" s="39" t="inlineStr">
        <is>
          <t>Security Team</t>
        </is>
      </c>
      <c r="K9" s="39" t="inlineStr">
        <is>
          <t>security.cognito.user_pool_id</t>
        </is>
      </c>
      <c r="L9" s="39" t="inlineStr">
        <is>
          <t>Critical path for Phase 1 milestone M3; must not slip beyond Week 3</t>
        </is>
      </c>
      <c r="M9" s="40" t="inlineStr">
        <is>
          <t>2025-06-01</t>
        </is>
      </c>
    </row>
    <row r="10" ht="26" customHeight="1">
      <c r="A10" s="43" t="inlineStr">
        <is>
          <t>security.kms.s3_cmk_arn</t>
        </is>
      </c>
      <c r="B10" s="37" t="inlineStr">
        <is>
          <t>[kms-s3-cmk-arn]</t>
        </is>
      </c>
      <c r="C10" s="37" t="inlineStr">
        <is>
          <t>[kms-s3-cmk-arn]</t>
        </is>
      </c>
      <c r="D10" s="37" t="inlineStr">
        <is>
          <t>[kms-s3-cmk-arn]</t>
        </is>
      </c>
      <c r="E10" s="37" t="inlineStr">
        <is>
          <t>Customer-managed KMS key ARN for S3 artifact bucket SSE-KMS encryption at rest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KMS key ARN</t>
        </is>
      </c>
      <c r="I10" s="38" t="inlineStr">
        <is>
          <t>Secret</t>
        </is>
      </c>
      <c r="J10" s="37" t="inlineStr">
        <is>
          <t>Security Team</t>
        </is>
      </c>
      <c r="K10" s="37" t="inlineStr">
        <is>
          <t>storage.s3.artifact_bucket_name</t>
        </is>
      </c>
      <c r="L10" s="37" t="inlineStr">
        <is>
          <t>Stored in Secrets Manager; 90-day key rotation policy; key usage logged in CloudTrail</t>
        </is>
      </c>
      <c r="M10" s="38" t="inlineStr">
        <is>
          <t>2025-06-01</t>
        </is>
      </c>
    </row>
    <row r="11" ht="26" customHeight="1">
      <c r="A11" s="42" t="inlineStr">
        <is>
          <t>security.kms.rotation_days</t>
        </is>
      </c>
      <c r="B11" s="39" t="inlineStr">
        <is>
          <t>90</t>
        </is>
      </c>
      <c r="C11" s="39" t="inlineStr">
        <is>
          <t>90</t>
        </is>
      </c>
      <c r="D11" s="39" t="inlineStr">
        <is>
          <t>90</t>
        </is>
      </c>
      <c r="E11" s="39" t="inlineStr">
        <is>
          <t>KMS key rotation period in days applied to S3 CMK and Secrets Manager encryption keys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1-365</t>
        </is>
      </c>
      <c r="I11" s="40" t="inlineStr">
        <is>
          <t>Public</t>
        </is>
      </c>
      <c r="J11" s="39" t="inlineStr">
        <is>
          <t>Security Team</t>
        </is>
      </c>
      <c r="K11" s="39" t="inlineStr">
        <is>
          <t>security.kms.s3_cmk_arn</t>
        </is>
      </c>
      <c r="L11" s="39" t="inlineStr"/>
      <c r="M11" s="40" t="inlineStr">
        <is>
          <t>2025-06-01</t>
        </is>
      </c>
    </row>
    <row r="12" ht="26" customHeight="1">
      <c r="A12" s="43" t="inlineStr">
        <is>
          <t>security.iam.access_analyzer_enabled</t>
        </is>
      </c>
      <c r="B12" s="37" t="inlineStr">
        <is>
          <t>true</t>
        </is>
      </c>
      <c r="C12" s="37" t="inlineStr">
        <is>
          <t>true</t>
        </is>
      </c>
      <c r="D12" s="37" t="inlineStr">
        <is>
          <t>true</t>
        </is>
      </c>
      <c r="E12" s="37" t="inlineStr">
        <is>
          <t>Enable IAM Access Analyzer to continuously validate no overly permissive Lambda execution roles exist</t>
        </is>
      </c>
      <c r="F12" s="38" t="inlineStr">
        <is>
          <t>Yes</t>
        </is>
      </c>
      <c r="G12" s="38" t="inlineStr">
        <is>
          <t>Boolean</t>
        </is>
      </c>
      <c r="H12" s="37" t="inlineStr">
        <is>
          <t>true | false</t>
        </is>
      </c>
      <c r="I12" s="38" t="inlineStr">
        <is>
          <t>Public</t>
        </is>
      </c>
      <c r="J12" s="37" t="inlineStr">
        <is>
          <t>Security Team</t>
        </is>
      </c>
      <c r="K12" s="37" t="inlineStr"/>
      <c r="L12" s="37" t="inlineStr">
        <is>
          <t>Required by SOW security design; no wildcard IAM actions permitted</t>
        </is>
      </c>
      <c r="M12" s="38" t="inlineStr">
        <is>
          <t>2025-06-01</t>
        </is>
      </c>
    </row>
    <row r="13" ht="26" customHeight="1">
      <c r="A13" s="42" t="inlineStr">
        <is>
          <t>security.guardduty_enabled</t>
        </is>
      </c>
      <c r="B13" s="39" t="inlineStr">
        <is>
          <t>true</t>
        </is>
      </c>
      <c r="C13" s="39" t="inlineStr">
        <is>
          <t>true</t>
        </is>
      </c>
      <c r="D13" s="39" t="inlineStr">
        <is>
          <t>true</t>
        </is>
      </c>
      <c r="E13" s="39" t="inlineStr">
        <is>
          <t>Enable AWS GuardDuty for threat detection in us-west-2 account; findings routed to Security Hub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 | false</t>
        </is>
      </c>
      <c r="I13" s="40" t="inlineStr">
        <is>
          <t>Public</t>
        </is>
      </c>
      <c r="J13" s="39" t="inlineStr">
        <is>
          <t>Security Team</t>
        </is>
      </c>
      <c r="K13" s="39" t="inlineStr">
        <is>
          <t>security.securityhub_enabled</t>
        </is>
      </c>
      <c r="L13" s="39" t="inlineStr"/>
      <c r="M13" s="40" t="inlineStr">
        <is>
          <t>2025-06-01</t>
        </is>
      </c>
    </row>
    <row r="14" ht="26" customHeight="1">
      <c r="A14" s="43" t="inlineStr">
        <is>
          <t>security.securityhub_enabled</t>
        </is>
      </c>
      <c r="B14" s="37" t="inlineStr">
        <is>
          <t>true</t>
        </is>
      </c>
      <c r="C14" s="37" t="inlineStr">
        <is>
          <t>true</t>
        </is>
      </c>
      <c r="D14" s="37" t="inlineStr">
        <is>
          <t>true</t>
        </is>
      </c>
      <c r="E14" s="37" t="inlineStr">
        <is>
          <t>Enable AWS Security Hub aggregating GuardDuty / Config / Inspector findings for SOC 2 posture</t>
        </is>
      </c>
      <c r="F14" s="38" t="inlineStr">
        <is>
          <t>Yes</t>
        </is>
      </c>
      <c r="G14" s="38" t="inlineStr">
        <is>
          <t>Boolean</t>
        </is>
      </c>
      <c r="H14" s="37" t="inlineStr">
        <is>
          <t>true | false</t>
        </is>
      </c>
      <c r="I14" s="38" t="inlineStr">
        <is>
          <t>Public</t>
        </is>
      </c>
      <c r="J14" s="37" t="inlineStr">
        <is>
          <t>Security Team</t>
        </is>
      </c>
      <c r="K14" s="37" t="inlineStr">
        <is>
          <t>security.guardduty_enabled</t>
        </is>
      </c>
      <c r="L14" s="37" t="inlineStr">
        <is>
          <t>SOC 2 CC7.2 control; reviewed by Daniel Park quarterly</t>
        </is>
      </c>
      <c r="M14" s="38" t="inlineStr">
        <is>
          <t>2025-06-01</t>
        </is>
      </c>
    </row>
    <row r="15" ht="26" customHeight="1">
      <c r="A15" s="42" t="inlineStr">
        <is>
          <t>security.cloudtrail.management_events</t>
        </is>
      </c>
      <c r="B15" s="39" t="inlineStr">
        <is>
          <t>true</t>
        </is>
      </c>
      <c r="C15" s="39" t="inlineStr">
        <is>
          <t>true</t>
        </is>
      </c>
      <c r="D15" s="39" t="inlineStr">
        <is>
          <t>true</t>
        </is>
      </c>
      <c r="E15" s="39" t="inlineStr">
        <is>
          <t>Enable CloudTrail Management Events logging all AWS API calls in us-west-2 account</t>
        </is>
      </c>
      <c r="F15" s="40" t="inlineStr">
        <is>
          <t>Yes</t>
        </is>
      </c>
      <c r="G15" s="40" t="inlineStr">
        <is>
          <t>Boolean</t>
        </is>
      </c>
      <c r="H15" s="39" t="inlineStr">
        <is>
          <t>true | false</t>
        </is>
      </c>
      <c r="I15" s="40" t="inlineStr">
        <is>
          <t>Public</t>
        </is>
      </c>
      <c r="J15" s="39" t="inlineStr">
        <is>
          <t>Security Team</t>
        </is>
      </c>
      <c r="K15" s="39" t="inlineStr"/>
      <c r="L15" s="39" t="inlineStr">
        <is>
          <t>SOC 2 CC8.1 control; logs stored in dedicated S3 bucket with Object Lock (WORM)</t>
        </is>
      </c>
      <c r="M15" s="40" t="inlineStr">
        <is>
          <t>2025-06-01</t>
        </is>
      </c>
    </row>
    <row r="16" ht="26" customHeight="1">
      <c r="A16" s="43" t="inlineStr">
        <is>
          <t>security.cloudtrail.s3_data_events</t>
        </is>
      </c>
      <c r="B16" s="37" t="inlineStr">
        <is>
          <t>true</t>
        </is>
      </c>
      <c r="C16" s="37" t="inlineStr">
        <is>
          <t>false</t>
        </is>
      </c>
      <c r="D16" s="37" t="inlineStr">
        <is>
          <t>true</t>
        </is>
      </c>
      <c r="E16" s="37" t="inlineStr">
        <is>
          <t>Enable CloudTrail S3 Data Events on artifact bucket for GetObject/PutObject audit trail</t>
        </is>
      </c>
      <c r="F16" s="38" t="inlineStr">
        <is>
          <t>Yes</t>
        </is>
      </c>
      <c r="G16" s="38" t="inlineStr">
        <is>
          <t>Boolean</t>
        </is>
      </c>
      <c r="H16" s="37" t="inlineStr">
        <is>
          <t>true | false</t>
        </is>
      </c>
      <c r="I16" s="38" t="inlineStr">
        <is>
          <t>Public</t>
        </is>
      </c>
      <c r="J16" s="37" t="inlineStr">
        <is>
          <t>Security Team</t>
        </is>
      </c>
      <c r="K16" s="37" t="inlineStr">
        <is>
          <t>storage.s3.artifact_bucket_name</t>
        </is>
      </c>
      <c r="L16" s="37" t="inlineStr">
        <is>
          <t>SOC 2 CC6.1 evidence; disabled in dev to reduce CloudTrail cost</t>
        </is>
      </c>
      <c r="M16" s="38" t="inlineStr">
        <is>
          <t>2025-06-01</t>
        </is>
      </c>
    </row>
    <row r="17" ht="26" customHeight="1">
      <c r="A17" s="42" t="inlineStr">
        <is>
          <t>security.cloudtrail.retention_days</t>
        </is>
      </c>
      <c r="B17" s="39" t="inlineStr">
        <is>
          <t>365</t>
        </is>
      </c>
      <c r="C17" s="39" t="inlineStr">
        <is>
          <t>90</t>
        </is>
      </c>
      <c r="D17" s="39" t="inlineStr">
        <is>
          <t>365</t>
        </is>
      </c>
      <c r="E17" s="39" t="inlineStr">
        <is>
          <t>CloudTrail log retention in days in dedicated S3 bucket with Object Lock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90-3650</t>
        </is>
      </c>
      <c r="I17" s="40" t="inlineStr">
        <is>
          <t>Public</t>
        </is>
      </c>
      <c r="J17" s="39" t="inlineStr">
        <is>
          <t>Security Team</t>
        </is>
      </c>
      <c r="K17" s="39" t="inlineStr"/>
      <c r="L17" s="39" t="inlineStr">
        <is>
          <t>365 days required for SOC 2 evidence window</t>
        </is>
      </c>
      <c r="M17" s="40" t="inlineStr">
        <is>
          <t>2025-06-01</t>
        </is>
      </c>
    </row>
    <row r="18" ht="26" customHeight="1">
      <c r="A18" s="43" t="inlineStr">
        <is>
          <t>security.tls_minimum_version</t>
        </is>
      </c>
      <c r="B18" s="37" t="inlineStr">
        <is>
          <t>TLS1.2</t>
        </is>
      </c>
      <c r="C18" s="37" t="inlineStr">
        <is>
          <t>TLS1.2</t>
        </is>
      </c>
      <c r="D18" s="37" t="inlineStr">
        <is>
          <t>TLS1.2</t>
        </is>
      </c>
      <c r="E18" s="37" t="inlineStr">
        <is>
          <t>Minimum TLS version enforced on API Gateway / Cognito / DynamoDB / S3 SDK endpoints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TLS1.2 | TLS1.3</t>
        </is>
      </c>
      <c r="I18" s="38" t="inlineStr">
        <is>
          <t>Public</t>
        </is>
      </c>
      <c r="J18" s="37" t="inlineStr">
        <is>
          <t>Security Team</t>
        </is>
      </c>
      <c r="K18" s="37" t="inlineStr"/>
      <c r="L18" s="37" t="inlineStr">
        <is>
          <t>No HTTP endpoints; all requests rejected without TLS per SOW security design</t>
        </is>
      </c>
      <c r="M18" s="38" t="inlineStr">
        <is>
          <t>2025-06-01</t>
        </is>
      </c>
    </row>
  </sheetData>
  <autoFilter ref="A2:M18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compute.lambda.api_handler.memory_mb</t>
        </is>
      </c>
      <c r="B3" s="39" t="inlineStr">
        <is>
          <t>256</t>
        </is>
      </c>
      <c r="C3" s="39" t="inlineStr">
        <is>
          <t>256</t>
        </is>
      </c>
      <c r="D3" s="39" t="inlineStr">
        <is>
          <t>256</t>
        </is>
      </c>
      <c r="E3" s="39" t="inlineStr">
        <is>
          <t>Memory allocation for non-generation API route handler Lambda functions (10 functions)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128-10240</t>
        </is>
      </c>
      <c r="I3" s="40" t="inlineStr">
        <is>
          <t>Public</t>
        </is>
      </c>
      <c r="J3" s="39" t="inlineStr">
        <is>
          <t>Development</t>
        </is>
      </c>
      <c r="K3" s="39" t="inlineStr">
        <is>
          <t>solution.region.primary</t>
        </is>
      </c>
      <c r="L3" s="39" t="inlineStr"/>
      <c r="M3" s="40" t="inlineStr">
        <is>
          <t>2025-06-01</t>
        </is>
      </c>
    </row>
    <row r="4" ht="26" customHeight="1">
      <c r="A4" s="43" t="inlineStr">
        <is>
          <t>compute.lambda.api_handler.timeout_seconds</t>
        </is>
      </c>
      <c r="B4" s="37" t="inlineStr">
        <is>
          <t>30</t>
        </is>
      </c>
      <c r="C4" s="37" t="inlineStr">
        <is>
          <t>30</t>
        </is>
      </c>
      <c r="D4" s="37" t="inlineStr">
        <is>
          <t>30</t>
        </is>
      </c>
      <c r="E4" s="37" t="inlineStr">
        <is>
          <t>Timeout for synchronous API route handlers; generation initiator uses separate config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1-900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/>
      <c r="M4" s="38" t="inlineStr">
        <is>
          <t>2025-06-01</t>
        </is>
      </c>
    </row>
    <row r="5" ht="26" customHeight="1">
      <c r="A5" s="42" t="inlineStr">
        <is>
          <t>compute.lambda.generation_initiator.memory_mb</t>
        </is>
      </c>
      <c r="B5" s="39" t="inlineStr">
        <is>
          <t>512</t>
        </is>
      </c>
      <c r="C5" s="39" t="inlineStr">
        <is>
          <t>512</t>
        </is>
      </c>
      <c r="D5" s="39" t="inlineStr">
        <is>
          <t>512</t>
        </is>
      </c>
      <c r="E5" s="39" t="inlineStr">
        <is>
          <t>Memory for the Solution Generation Initiator Lambda that triggers the five-agent graph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128-10240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bedrock.agentcore.runtime_region</t>
        </is>
      </c>
      <c r="L5" s="39" t="inlineStr"/>
      <c r="M5" s="40" t="inlineStr">
        <is>
          <t>2025-06-01</t>
        </is>
      </c>
    </row>
    <row r="6" ht="26" customHeight="1">
      <c r="A6" s="43" t="inlineStr">
        <is>
          <t>compute.lambda.generation_initiator.timeout_seconds</t>
        </is>
      </c>
      <c r="B6" s="37" t="inlineStr">
        <is>
          <t>60</t>
        </is>
      </c>
      <c r="C6" s="37" t="inlineStr">
        <is>
          <t>60</t>
        </is>
      </c>
      <c r="D6" s="37" t="inlineStr">
        <is>
          <t>60</t>
        </is>
      </c>
      <c r="E6" s="37" t="inlineStr">
        <is>
          <t>Timeout for the Solution Generation Initiator Lambda; returns 202 Accepted immediately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1-900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compute.lambda.generation_initiator.memory_mb</t>
        </is>
      </c>
      <c r="L6" s="37" t="inlineStr"/>
      <c r="M6" s="38" t="inlineStr">
        <is>
          <t>2025-06-01</t>
        </is>
      </c>
    </row>
    <row r="7" ht="26" customHeight="1">
      <c r="A7" s="42" t="inlineStr">
        <is>
          <t>compute.lambda.agent_trigger.memory_mb</t>
        </is>
      </c>
      <c r="B7" s="39" t="inlineStr">
        <is>
          <t>1024</t>
        </is>
      </c>
      <c r="C7" s="39" t="inlineStr">
        <is>
          <t>1024</t>
        </is>
      </c>
      <c r="D7" s="39" t="inlineStr">
        <is>
          <t>1024</t>
        </is>
      </c>
      <c r="E7" s="39" t="inlineStr">
        <is>
          <t>Memory for the 5 agent orchestration trigger Lambdas running eof-tools container image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128-10240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compute.ecr.agent_image_uri</t>
        </is>
      </c>
      <c r="L7" s="39" t="inlineStr"/>
      <c r="M7" s="40" t="inlineStr">
        <is>
          <t>2025-06-01</t>
        </is>
      </c>
    </row>
    <row r="8" ht="26" customHeight="1">
      <c r="A8" s="43" t="inlineStr">
        <is>
          <t>compute.lambda.agent_trigger.timeout_seconds</t>
        </is>
      </c>
      <c r="B8" s="37" t="inlineStr">
        <is>
          <t>900</t>
        </is>
      </c>
      <c r="C8" s="37" t="inlineStr">
        <is>
          <t>900</t>
        </is>
      </c>
      <c r="D8" s="37" t="inlineStr">
        <is>
          <t>900</t>
        </is>
      </c>
      <c r="E8" s="37" t="inlineStr">
        <is>
          <t>Maximum Lambda timeout applied to agent triggers to accommodate eof-tools conversion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1-900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compute.lambda.agent_trigger.memory_mb</t>
        </is>
      </c>
      <c r="L8" s="37" t="inlineStr">
        <is>
          <t>Must be ≤ Bedrock AgentCore Runtime invocation timeout</t>
        </is>
      </c>
      <c r="M8" s="38" t="inlineStr">
        <is>
          <t>2025-06-01</t>
        </is>
      </c>
    </row>
    <row r="9" ht="26" customHeight="1">
      <c r="A9" s="42" t="inlineStr">
        <is>
          <t>compute.lambda.cognito_trigger.memory_mb</t>
        </is>
      </c>
      <c r="B9" s="39" t="inlineStr">
        <is>
          <t>256</t>
        </is>
      </c>
      <c r="C9" s="39" t="inlineStr">
        <is>
          <t>256</t>
        </is>
      </c>
      <c r="D9" s="39" t="inlineStr">
        <is>
          <t>256</t>
        </is>
      </c>
      <c r="E9" s="39" t="inlineStr">
        <is>
          <t>Memory for the Cognito post-confirmation trigger Lambda that writes DynamoDB user profiles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128-10240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security.cognito.user_pool_id</t>
        </is>
      </c>
      <c r="L9" s="39" t="inlineStr"/>
      <c r="M9" s="40" t="inlineStr">
        <is>
          <t>2025-06-01</t>
        </is>
      </c>
    </row>
    <row r="10" ht="26" customHeight="1">
      <c r="A10" s="43" t="inlineStr">
        <is>
          <t>compute.lambda.cognito_trigger.timeout_seconds</t>
        </is>
      </c>
      <c r="B10" s="37" t="inlineStr">
        <is>
          <t>10</t>
        </is>
      </c>
      <c r="C10" s="37" t="inlineStr">
        <is>
          <t>10</t>
        </is>
      </c>
      <c r="D10" s="37" t="inlineStr">
        <is>
          <t>10</t>
        </is>
      </c>
      <c r="E10" s="37" t="inlineStr">
        <is>
          <t>Timeout for the Cognito post-confirmation trigger; must complete before Cognito times out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1-900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compute.lambda.cognito_trigger.memory_mb</t>
        </is>
      </c>
      <c r="L10" s="37" t="inlineStr"/>
      <c r="M10" s="38" t="inlineStr">
        <is>
          <t>2025-06-01</t>
        </is>
      </c>
    </row>
    <row r="11" ht="26" customHeight="1">
      <c r="A11" s="42" t="inlineStr">
        <is>
          <t>compute.lambda.github_push.memory_mb</t>
        </is>
      </c>
      <c r="B11" s="39" t="inlineStr">
        <is>
          <t>256</t>
        </is>
      </c>
      <c r="C11" s="39" t="inlineStr">
        <is>
          <t>256</t>
        </is>
      </c>
      <c r="D11" s="39" t="inlineStr">
        <is>
          <t>256</t>
        </is>
      </c>
      <c r="E11" s="39" t="inlineStr">
        <is>
          <t>Memory for the GitHub push Lambda that commits artifacts to the configured repository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128-10240</t>
        </is>
      </c>
      <c r="I11" s="40" t="inlineStr">
        <is>
          <t>Public</t>
        </is>
      </c>
      <c r="J11" s="39" t="inlineStr">
        <is>
          <t>Development</t>
        </is>
      </c>
      <c r="K11" s="39" t="inlineStr">
        <is>
          <t>integration.github.secret_arn</t>
        </is>
      </c>
      <c r="L11" s="39" t="inlineStr"/>
      <c r="M11" s="40" t="inlineStr">
        <is>
          <t>2025-06-01</t>
        </is>
      </c>
    </row>
    <row r="12" ht="26" customHeight="1">
      <c r="A12" s="43" t="inlineStr">
        <is>
          <t>compute.lambda.github_push.timeout_seconds</t>
        </is>
      </c>
      <c r="B12" s="37" t="inlineStr">
        <is>
          <t>60</t>
        </is>
      </c>
      <c r="C12" s="37" t="inlineStr">
        <is>
          <t>60</t>
        </is>
      </c>
      <c r="D12" s="37" t="inlineStr">
        <is>
          <t>60</t>
        </is>
      </c>
      <c r="E12" s="37" t="inlineStr">
        <is>
          <t>Timeout for GitHub push Lambda; accounts for Secrets Manager retrieval and GitHub API call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1-900</t>
        </is>
      </c>
      <c r="I12" s="38" t="inlineStr">
        <is>
          <t>Public</t>
        </is>
      </c>
      <c r="J12" s="37" t="inlineStr">
        <is>
          <t>Development</t>
        </is>
      </c>
      <c r="K12" s="37" t="inlineStr">
        <is>
          <t>compute.lambda.github_push.memory_mb</t>
        </is>
      </c>
      <c r="L12" s="37" t="inlineStr"/>
      <c r="M12" s="38" t="inlineStr">
        <is>
          <t>2025-06-01</t>
        </is>
      </c>
    </row>
    <row r="13" ht="26" customHeight="1">
      <c r="A13" s="42" t="inlineStr">
        <is>
          <t>compute.lambda.runtime</t>
        </is>
      </c>
      <c r="B13" s="39" t="inlineStr">
        <is>
          <t>python3.12</t>
        </is>
      </c>
      <c r="C13" s="39" t="inlineStr">
        <is>
          <t>python3.12</t>
        </is>
      </c>
      <c r="D13" s="39" t="inlineStr">
        <is>
          <t>python3.12</t>
        </is>
      </c>
      <c r="E13" s="39" t="inlineStr">
        <is>
          <t>Python runtime version for all 17 Lambda functions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Valid AWS Lambda runtime identifier</t>
        </is>
      </c>
      <c r="I13" s="40" t="inlineStr">
        <is>
          <t>Public</t>
        </is>
      </c>
      <c r="J13" s="39" t="inlineStr">
        <is>
          <t>Development</t>
        </is>
      </c>
      <c r="K13" s="39" t="inlineStr"/>
      <c r="L13" s="39" t="inlineStr"/>
      <c r="M13" s="40" t="inlineStr">
        <is>
          <t>2025-06-01</t>
        </is>
      </c>
    </row>
    <row r="14" ht="26" customHeight="1">
      <c r="A14" s="43" t="inlineStr">
        <is>
          <t>compute.lambda.architecture</t>
        </is>
      </c>
      <c r="B14" s="37" t="inlineStr">
        <is>
          <t>arm64</t>
        </is>
      </c>
      <c r="C14" s="37" t="inlineStr">
        <is>
          <t>arm64</t>
        </is>
      </c>
      <c r="D14" s="37" t="inlineStr">
        <is>
          <t>arm64</t>
        </is>
      </c>
      <c r="E14" s="37" t="inlineStr">
        <is>
          <t>Lambda function CPU architecture; arm64 provides better price-performance for Python workloads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x86_64 | arm64</t>
        </is>
      </c>
      <c r="I14" s="38" t="inlineStr">
        <is>
          <t>Public</t>
        </is>
      </c>
      <c r="J14" s="37" t="inlineStr">
        <is>
          <t>Development</t>
        </is>
      </c>
      <c r="K14" s="37" t="inlineStr"/>
      <c r="L14" s="37" t="inlineStr"/>
      <c r="M14" s="38" t="inlineStr">
        <is>
          <t>2025-06-01</t>
        </is>
      </c>
    </row>
    <row r="15" ht="26" customHeight="1">
      <c r="A15" s="42" t="inlineStr">
        <is>
          <t>compute.lambda.total_function_count</t>
        </is>
      </c>
      <c r="B15" s="39" t="inlineStr">
        <is>
          <t>17</t>
        </is>
      </c>
      <c r="C15" s="39" t="inlineStr">
        <is>
          <t>17</t>
        </is>
      </c>
      <c r="D15" s="39" t="inlineStr">
        <is>
          <t>17</t>
        </is>
      </c>
      <c r="E15" s="39" t="inlineStr">
        <is>
          <t>Total Lambda functions: 11 API routes + 5 agent triggers + 1 Cognito post-confirmation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17</t>
        </is>
      </c>
      <c r="I15" s="40" t="inlineStr">
        <is>
          <t>Public</t>
        </is>
      </c>
      <c r="J15" s="39" t="inlineStr">
        <is>
          <t>Development</t>
        </is>
      </c>
      <c r="K15" s="39" t="inlineStr"/>
      <c r="L15" s="39" t="inlineStr"/>
      <c r="M15" s="40" t="inlineStr">
        <is>
          <t>2025-06-01</t>
        </is>
      </c>
    </row>
    <row r="16" ht="26" customHeight="1">
      <c r="A16" s="43" t="inlineStr">
        <is>
          <t>compute.lambda.provisioned_concurrency_agent_triggers</t>
        </is>
      </c>
      <c r="B16" s="37" t="inlineStr">
        <is>
          <t>0</t>
        </is>
      </c>
      <c r="C16" s="37" t="inlineStr">
        <is>
          <t>0</t>
        </is>
      </c>
      <c r="D16" s="37" t="inlineStr">
        <is>
          <t>0</t>
        </is>
      </c>
      <c r="E16" s="37" t="inlineStr">
        <is>
          <t>Provisioned concurrency for agent triggers; set to 0 at launch; evaluate after Phase 3 load test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0-100</t>
        </is>
      </c>
      <c r="I16" s="38" t="inlineStr">
        <is>
          <t>Public</t>
        </is>
      </c>
      <c r="J16" s="37" t="inlineStr">
        <is>
          <t>Development</t>
        </is>
      </c>
      <c r="K16" s="37" t="inlineStr">
        <is>
          <t>compute.lambda.agent_trigger.memory_mb</t>
        </is>
      </c>
      <c r="L16" s="37" t="inlineStr">
        <is>
          <t>Increase if P99 cold-start timeout observed in Phase 3 load test per risk register</t>
        </is>
      </c>
      <c r="M16" s="38" t="inlineStr">
        <is>
          <t>2025-06-01</t>
        </is>
      </c>
    </row>
    <row r="17" ht="26" customHeight="1">
      <c r="A17" s="42" t="inlineStr">
        <is>
          <t>compute.ecr.repository_name</t>
        </is>
      </c>
      <c r="B17" s="39" t="inlineStr">
        <is>
          <t>eofw-prd-ecr-agent-image</t>
        </is>
      </c>
      <c r="C17" s="39" t="inlineStr">
        <is>
          <t>eofw-dev-ecr-agent-image</t>
        </is>
      </c>
      <c r="D17" s="39" t="inlineStr">
        <is>
          <t>eofw-prd-ecr-agent-image</t>
        </is>
      </c>
      <c r="E17" s="39" t="inlineStr">
        <is>
          <t>ECR repository name for the eof-tools agent container image</t>
        </is>
      </c>
      <c r="F17" s="40" t="inlineStr">
        <is>
          <t>Yes</t>
        </is>
      </c>
      <c r="G17" s="40" t="inlineStr">
        <is>
          <t>String</t>
        </is>
      </c>
      <c r="H17" s="39" t="inlineStr">
        <is>
          <t>Valid ECR repo name</t>
        </is>
      </c>
      <c r="I17" s="40" t="inlineStr">
        <is>
          <t>Confidential</t>
        </is>
      </c>
      <c r="J17" s="39" t="inlineStr">
        <is>
          <t>DevOps</t>
        </is>
      </c>
      <c r="K17" s="39" t="inlineStr">
        <is>
          <t>solution.region.primary</t>
        </is>
      </c>
      <c r="L17" s="39" t="inlineStr"/>
      <c r="M17" s="40" t="inlineStr">
        <is>
          <t>2025-06-01</t>
        </is>
      </c>
    </row>
    <row r="18" ht="26" customHeight="1">
      <c r="A18" s="43" t="inlineStr">
        <is>
          <t>compute.ecr.agent_image_uri</t>
        </is>
      </c>
      <c r="B18" s="37" t="inlineStr">
        <is>
          <t>[ecr-agent-image-uri]</t>
        </is>
      </c>
      <c r="C18" s="37" t="inlineStr">
        <is>
          <t>[ecr-agent-image-uri]</t>
        </is>
      </c>
      <c r="D18" s="37" t="inlineStr">
        <is>
          <t>[ecr-agent-image-uri]</t>
        </is>
      </c>
      <c r="E18" s="37" t="inlineStr">
        <is>
          <t>Full ECR URI including tag for the eof-tools Docker image baked with ~30 Python converter modules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Valid ECR URI format: {account}.dkr.ecr.{region}.amazonaws.com/{repo}:{tag}</t>
        </is>
      </c>
      <c r="I18" s="38" t="inlineStr">
        <is>
          <t>Confidential</t>
        </is>
      </c>
      <c r="J18" s="37" t="inlineStr">
        <is>
          <t>DevOps</t>
        </is>
      </c>
      <c r="K18" s="37" t="inlineStr">
        <is>
          <t>compute.ecr.repository_name</t>
        </is>
      </c>
      <c r="L18" s="37" t="inlineStr">
        <is>
          <t>Image tag must be immutable; updated each sprint via CI/CD pipeline</t>
        </is>
      </c>
      <c r="M18" s="38" t="inlineStr">
        <is>
          <t>2025-06-01</t>
        </is>
      </c>
    </row>
    <row r="19" ht="26" customHeight="1">
      <c r="A19" s="42" t="inlineStr">
        <is>
          <t>compute.lambda.xray_tracing</t>
        </is>
      </c>
      <c r="B19" s="39" t="inlineStr">
        <is>
          <t>Active</t>
        </is>
      </c>
      <c r="C19" s="39" t="inlineStr">
        <is>
          <t>Active</t>
        </is>
      </c>
      <c r="D19" s="39" t="inlineStr">
        <is>
          <t>Active</t>
        </is>
      </c>
      <c r="E19" s="39" t="inlineStr">
        <is>
          <t>AWS X-Ray tracing mode for all 17 Lambda functions; enables distributed service maps</t>
        </is>
      </c>
      <c r="F19" s="40" t="inlineStr">
        <is>
          <t>Yes</t>
        </is>
      </c>
      <c r="G19" s="40" t="inlineStr">
        <is>
          <t>String</t>
        </is>
      </c>
      <c r="H19" s="39" t="inlineStr">
        <is>
          <t>Active | PassThrough</t>
        </is>
      </c>
      <c r="I19" s="40" t="inlineStr">
        <is>
          <t>Public</t>
        </is>
      </c>
      <c r="J19" s="39" t="inlineStr">
        <is>
          <t>Operations</t>
        </is>
      </c>
      <c r="K19" s="39" t="inlineStr"/>
      <c r="L19" s="39" t="inlineStr"/>
      <c r="M19" s="40" t="inlineStr">
        <is>
          <t>2025-06-01</t>
        </is>
      </c>
    </row>
  </sheetData>
  <autoFilter ref="A2:M19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storage.s3.artifact_bucket_name</t>
        </is>
      </c>
      <c r="B3" s="39" t="inlineStr">
        <is>
          <t>[s3-artifact-bucket-name]</t>
        </is>
      </c>
      <c r="C3" s="39" t="inlineStr">
        <is>
          <t>[s3-artifact-bucket-name]</t>
        </is>
      </c>
      <c r="D3" s="39" t="inlineStr">
        <is>
          <t>[s3-artifact-bucket-name]</t>
        </is>
      </c>
      <c r="E3" s="39" t="inlineStr">
        <is>
          <t>S3 bucket for all generated artifacts: raw MD/CSV + converted DOCX/PPTX/XLSX + Terraform bundles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 bucket name lowercase alphanumeric hyphens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solution.region.primary</t>
        </is>
      </c>
      <c r="L3" s="39" t="inlineStr">
        <is>
          <t>Versioning enabled; SSE-KMS encryption; public access block enabled</t>
        </is>
      </c>
      <c r="M3" s="40" t="inlineStr">
        <is>
          <t>2025-06-01</t>
        </is>
      </c>
    </row>
    <row r="4" ht="26" customHeight="1">
      <c r="A4" s="43" t="inlineStr">
        <is>
          <t>storage.s3.artifact_bucket_versioning</t>
        </is>
      </c>
      <c r="B4" s="37" t="inlineStr">
        <is>
          <t>Enabled</t>
        </is>
      </c>
      <c r="C4" s="37" t="inlineStr">
        <is>
          <t>Enabled</t>
        </is>
      </c>
      <c r="D4" s="37" t="inlineStr">
        <is>
          <t>Enabled</t>
        </is>
      </c>
      <c r="E4" s="37" t="inlineStr">
        <is>
          <t>S3 versioning on artifact bucket; retains previous object versions for 90 days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Enabled | Suspended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storage.s3.artifact_bucket_name</t>
        </is>
      </c>
      <c r="L4" s="37" t="inlineStr">
        <is>
          <t>S3 versioning covers artifact history for RPO of 1 hour</t>
        </is>
      </c>
      <c r="M4" s="38" t="inlineStr">
        <is>
          <t>2025-06-01</t>
        </is>
      </c>
    </row>
    <row r="5" ht="26" customHeight="1">
      <c r="A5" s="42" t="inlineStr">
        <is>
          <t>storage.s3.artifact_standard_retention_days</t>
        </is>
      </c>
      <c r="B5" s="39" t="inlineStr">
        <is>
          <t>365</t>
        </is>
      </c>
      <c r="C5" s="39" t="inlineStr">
        <is>
          <t>90</t>
        </is>
      </c>
      <c r="D5" s="39" t="inlineStr">
        <is>
          <t>365</t>
        </is>
      </c>
      <c r="E5" s="39" t="inlineStr">
        <is>
          <t>S3 Standard storage retention in days before lifecycle transition to S3 Glacier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1-3650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storage.s3.artifact_bucket_name</t>
        </is>
      </c>
      <c r="L5" s="39" t="inlineStr">
        <is>
          <t>Managed via S3 Lifecycle rules; transition to Glacier after 12 months in production</t>
        </is>
      </c>
      <c r="M5" s="40" t="inlineStr">
        <is>
          <t>2025-06-01</t>
        </is>
      </c>
    </row>
    <row r="6" ht="26" customHeight="1">
      <c r="A6" s="43" t="inlineStr">
        <is>
          <t>storage.s3.artifact_glacier_retention_days</t>
        </is>
      </c>
      <c r="B6" s="37" t="inlineStr">
        <is>
          <t>730</t>
        </is>
      </c>
      <c r="C6" s="37" t="inlineStr">
        <is>
          <t>0</t>
        </is>
      </c>
      <c r="D6" s="37" t="inlineStr">
        <is>
          <t>730</t>
        </is>
      </c>
      <c r="E6" s="37" t="inlineStr">
        <is>
          <t>S3 Glacier retention in days before expiry after transition from Standard storage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0-3650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storage.s3.artifact_standard_retention_days</t>
        </is>
      </c>
      <c r="L6" s="37" t="inlineStr">
        <is>
          <t>730 days = 24 months Glacier per SOW Data Architecture section</t>
        </is>
      </c>
      <c r="M6" s="38" t="inlineStr">
        <is>
          <t>2025-06-01</t>
        </is>
      </c>
    </row>
    <row r="7" ht="26" customHeight="1">
      <c r="A7" s="42" t="inlineStr">
        <is>
          <t>storage.s3.artifact_path_raw_presales</t>
        </is>
      </c>
      <c r="B7" s="39" t="inlineStr">
        <is>
          <t>{solution_id}/raw/pre-sales/</t>
        </is>
      </c>
      <c r="C7" s="39" t="inlineStr">
        <is>
          <t>{solution_id}/raw/pre-sales/</t>
        </is>
      </c>
      <c r="D7" s="39" t="inlineStr">
        <is>
          <t>{solution_id}/raw/pre-sales/</t>
        </is>
      </c>
      <c r="E7" s="39" t="inlineStr">
        <is>
          <t>S3 key prefix for raw MD/CSV presales artifacts per structured path hierarchy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Must include {solution_id} token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storage.s3.artifact_bucket_name</t>
        </is>
      </c>
      <c r="L7" s="39" t="inlineStr"/>
      <c r="M7" s="40" t="inlineStr">
        <is>
          <t>2025-06-01</t>
        </is>
      </c>
    </row>
    <row r="8" ht="26" customHeight="1">
      <c r="A8" s="43" t="inlineStr">
        <is>
          <t>storage.s3.artifact_path_raw_delivery</t>
        </is>
      </c>
      <c r="B8" s="37" t="inlineStr">
        <is>
          <t>{solution_id}/raw/delivery/</t>
        </is>
      </c>
      <c r="C8" s="37" t="inlineStr">
        <is>
          <t>{solution_id}/raw/delivery/</t>
        </is>
      </c>
      <c r="D8" s="37" t="inlineStr">
        <is>
          <t>{solution_id}/raw/delivery/</t>
        </is>
      </c>
      <c r="E8" s="37" t="inlineStr">
        <is>
          <t>S3 key prefix for raw MD delivery artifacts per structured path hierarchy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Must include {solution_id} token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storage.s3.artifact_bucket_name</t>
        </is>
      </c>
      <c r="L8" s="37" t="inlineStr"/>
      <c r="M8" s="38" t="inlineStr">
        <is>
          <t>2025-06-01</t>
        </is>
      </c>
    </row>
    <row r="9" ht="26" customHeight="1">
      <c r="A9" s="42" t="inlineStr">
        <is>
          <t>storage.s3.artifact_path_automation</t>
        </is>
      </c>
      <c r="B9" s="39" t="inlineStr">
        <is>
          <t>{solution_id}/automation/</t>
        </is>
      </c>
      <c r="C9" s="39" t="inlineStr">
        <is>
          <t>{solution_id}/automation/</t>
        </is>
      </c>
      <c r="D9" s="39" t="inlineStr">
        <is>
          <t>{solution_id}/automation/</t>
        </is>
      </c>
      <c r="E9" s="39" t="inlineStr">
        <is>
          <t>S3 key prefix for the Terraform IaC automation bundle (12th artifact type)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Must include {solution_id} token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storage.s3.artifact_bucket_name</t>
        </is>
      </c>
      <c r="L9" s="39" t="inlineStr"/>
      <c r="M9" s="40" t="inlineStr">
        <is>
          <t>2025-06-01</t>
        </is>
      </c>
    </row>
    <row r="10" ht="26" customHeight="1">
      <c r="A10" s="43" t="inlineStr">
        <is>
          <t>storage.s3.cloudtrail_bucket_name</t>
        </is>
      </c>
      <c r="B10" s="37" t="inlineStr">
        <is>
          <t>[s3-cloudtrail-bucket-name]</t>
        </is>
      </c>
      <c r="C10" s="37" t="inlineStr">
        <is>
          <t>[s3-cloudtrail-bucket-name]</t>
        </is>
      </c>
      <c r="D10" s="37" t="inlineStr">
        <is>
          <t>[s3-cloudtrail-bucket-name]</t>
        </is>
      </c>
      <c r="E10" s="37" t="inlineStr">
        <is>
          <t>Dedicated S3 bucket for CloudTrail logs; Object Lock (WORM) enabled to prevent tampering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Globally unique bucket name lowercase alphanumeric hyphens</t>
        </is>
      </c>
      <c r="I10" s="38" t="inlineStr">
        <is>
          <t>Confidential</t>
        </is>
      </c>
      <c r="J10" s="37" t="inlineStr">
        <is>
          <t>Security Team</t>
        </is>
      </c>
      <c r="K10" s="37" t="inlineStr">
        <is>
          <t>security.cloudtrail.management_events</t>
        </is>
      </c>
      <c r="L10" s="37" t="inlineStr">
        <is>
          <t>Separate from artifact bucket; Object Lock enforces immutability per SOC 2 CC8.1</t>
        </is>
      </c>
      <c r="M10" s="38" t="inlineStr">
        <is>
          <t>2025-06-01</t>
        </is>
      </c>
    </row>
    <row r="11" ht="26" customHeight="1">
      <c r="A11" s="42" t="inlineStr">
        <is>
          <t>storage.s3.guidance_bucket_name</t>
        </is>
      </c>
      <c r="B11" s="39" t="inlineStr">
        <is>
          <t>[s3-guidance-bucket-name]</t>
        </is>
      </c>
      <c r="C11" s="39" t="inlineStr">
        <is>
          <t>[s3-guidance-bucket-name]</t>
        </is>
      </c>
      <c r="D11" s="39" t="inlineStr">
        <is>
          <t>[s3-guidance-bucket-name]</t>
        </is>
      </c>
      <c r="E11" s="39" t="inlineStr">
        <is>
          <t>S3 bucket hosting EO Framework guidance files used by generation agents for artifact prompting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Globally unique bucket name lowercase alphanumeric hyphens</t>
        </is>
      </c>
      <c r="I11" s="40" t="inlineStr">
        <is>
          <t>Confidential</t>
        </is>
      </c>
      <c r="J11" s="39" t="inlineStr">
        <is>
          <t>Operations</t>
        </is>
      </c>
      <c r="K11" s="39" t="inlineStr">
        <is>
          <t>solution.region.primary</t>
        </is>
      </c>
      <c r="L11" s="39" t="inlineStr">
        <is>
          <t>Vendor team requires read access from Week 1 per SOW assumption A13</t>
        </is>
      </c>
      <c r="M11" s="40" t="inlineStr">
        <is>
          <t>2025-06-01</t>
        </is>
      </c>
    </row>
  </sheetData>
  <autoFilter ref="A2:M11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database.users_table_name</t>
        </is>
      </c>
      <c r="B3" s="39" t="inlineStr">
        <is>
          <t>eofw-prd-tbl-users</t>
        </is>
      </c>
      <c r="C3" s="39" t="inlineStr">
        <is>
          <t>eofw-dev-tbl-users</t>
        </is>
      </c>
      <c r="D3" s="39" t="inlineStr">
        <is>
          <t>eofw-prd-tbl-users</t>
        </is>
      </c>
      <c r="E3" s="39" t="inlineStr">
        <is>
          <t>DynamoDB table storing Cognito user profiles written by post-confirmation trigger Lambda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hyphens max 255 chars</t>
        </is>
      </c>
      <c r="I3" s="40" t="inlineStr">
        <is>
          <t>Confidential</t>
        </is>
      </c>
      <c r="J3" s="39" t="inlineStr">
        <is>
          <t>Database Team</t>
        </is>
      </c>
      <c r="K3" s="39" t="inlineStr">
        <is>
          <t>solution.region.primary</t>
        </is>
      </c>
      <c r="L3" s="39" t="inlineStr"/>
      <c r="M3" s="40" t="inlineStr">
        <is>
          <t>2025-06-01</t>
        </is>
      </c>
    </row>
    <row r="4" ht="26" customHeight="1">
      <c r="A4" s="43" t="inlineStr">
        <is>
          <t>database.solutions_table_name</t>
        </is>
      </c>
      <c r="B4" s="37" t="inlineStr">
        <is>
          <t>eofw-prd-tbl-solutions</t>
        </is>
      </c>
      <c r="C4" s="37" t="inlineStr">
        <is>
          <t>eofw-dev-tbl-solutions</t>
        </is>
      </c>
      <c r="D4" s="37" t="inlineStr">
        <is>
          <t>eofw-prd-tbl-solutions</t>
        </is>
      </c>
      <c r="E4" s="37" t="inlineStr">
        <is>
          <t>DynamoDB table storing solution state / artifact statuses / per-phase token usage (PK: solution_id)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Alphanumeric hyphens max 255 chars</t>
        </is>
      </c>
      <c r="I4" s="38" t="inlineStr">
        <is>
          <t>Confidential</t>
        </is>
      </c>
      <c r="J4" s="37" t="inlineStr">
        <is>
          <t>Database Team</t>
        </is>
      </c>
      <c r="K4" s="37" t="inlineStr">
        <is>
          <t>solution.region.primary</t>
        </is>
      </c>
      <c r="L4" s="37" t="inlineStr"/>
      <c r="M4" s="38" t="inlineStr">
        <is>
          <t>2025-06-01</t>
        </is>
      </c>
    </row>
    <row r="5" ht="26" customHeight="1">
      <c r="A5" s="42" t="inlineStr">
        <is>
          <t>database.quotas_table_name</t>
        </is>
      </c>
      <c r="B5" s="39" t="inlineStr">
        <is>
          <t>eofw-prd-tbl-quotas</t>
        </is>
      </c>
      <c r="C5" s="39" t="inlineStr">
        <is>
          <t>eofw-dev-tbl-quotas</t>
        </is>
      </c>
      <c r="D5" s="39" t="inlineStr">
        <is>
          <t>eofw-prd-tbl-quotas</t>
        </is>
      </c>
      <c r="E5" s="39" t="inlineStr">
        <is>
          <t>DynamoDB table for per-user and global atomic quota counters (PK: user_id or GLOBAL)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Alphanumeric hyphens max 255 chars</t>
        </is>
      </c>
      <c r="I5" s="40" t="inlineStr">
        <is>
          <t>Confidential</t>
        </is>
      </c>
      <c r="J5" s="39" t="inlineStr">
        <is>
          <t>Database Team</t>
        </is>
      </c>
      <c r="K5" s="39" t="inlineStr">
        <is>
          <t>solution.region.primary</t>
        </is>
      </c>
      <c r="L5" s="39" t="inlineStr">
        <is>
          <t>Atomic conditional writes prevent quota bypass; validated in Phase 3 security testing</t>
        </is>
      </c>
      <c r="M5" s="40" t="inlineStr">
        <is>
          <t>2025-06-01</t>
        </is>
      </c>
    </row>
    <row r="6" ht="26" customHeight="1">
      <c r="A6" s="43" t="inlineStr">
        <is>
          <t>database.audit_events_table_name</t>
        </is>
      </c>
      <c r="B6" s="37" t="inlineStr">
        <is>
          <t>eofw-prd-tbl-audit-events</t>
        </is>
      </c>
      <c r="C6" s="37" t="inlineStr">
        <is>
          <t>eofw-dev-tbl-audit-events</t>
        </is>
      </c>
      <c r="D6" s="37" t="inlineStr">
        <is>
          <t>eofw-prd-tbl-audit-events</t>
        </is>
      </c>
      <c r="E6" s="37" t="inlineStr">
        <is>
          <t>DynamoDB immutable audit log table capturing all API calls per SOC 2 CC7 requirements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Alphanumeric hyphens max 255 chars</t>
        </is>
      </c>
      <c r="I6" s="38" t="inlineStr">
        <is>
          <t>Confidential</t>
        </is>
      </c>
      <c r="J6" s="37" t="inlineStr">
        <is>
          <t>Database Team</t>
        </is>
      </c>
      <c r="K6" s="37" t="inlineStr">
        <is>
          <t>solution.region.primary</t>
        </is>
      </c>
      <c r="L6" s="37" t="inlineStr"/>
      <c r="M6" s="38" t="inlineStr">
        <is>
          <t>2025-06-01</t>
        </is>
      </c>
    </row>
    <row r="7" ht="26" customHeight="1">
      <c r="A7" s="42" t="inlineStr">
        <is>
          <t>database.billing_mode</t>
        </is>
      </c>
      <c r="B7" s="39" t="inlineStr">
        <is>
          <t>PAY_PER_REQUEST</t>
        </is>
      </c>
      <c r="C7" s="39" t="inlineStr">
        <is>
          <t>PAY_PER_REQUEST</t>
        </is>
      </c>
      <c r="D7" s="39" t="inlineStr">
        <is>
          <t>PAY_PER_REQUEST</t>
        </is>
      </c>
      <c r="E7" s="39" t="inlineStr">
        <is>
          <t>DynamoDB billing mode for all four tables; On-Demand auto-scales to any throughput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PROVISIONED | PAY_PER_REQUEST</t>
        </is>
      </c>
      <c r="I7" s="40" t="inlineStr">
        <is>
          <t>Public</t>
        </is>
      </c>
      <c r="J7" s="39" t="inlineStr">
        <is>
          <t>Database Team</t>
        </is>
      </c>
      <c r="K7" s="39" t="inlineStr"/>
      <c r="L7" s="39" t="inlineStr">
        <is>
          <t>Review reserved capacity at scale post-PoC per cost model</t>
        </is>
      </c>
      <c r="M7" s="40" t="inlineStr">
        <is>
          <t>2025-06-01</t>
        </is>
      </c>
    </row>
    <row r="8" ht="26" customHeight="1">
      <c r="A8" s="43" t="inlineStr">
        <is>
          <t>database.pitr_enabled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Enable DynamoDB Point-In-Time Recovery on all four tables; required for 4-hour RTO target</t>
        </is>
      </c>
      <c r="F8" s="38" t="inlineStr">
        <is>
          <t>Yes</t>
        </is>
      </c>
      <c r="G8" s="38" t="inlineStr">
        <is>
          <t>Boolean</t>
        </is>
      </c>
      <c r="H8" s="37" t="inlineStr">
        <is>
          <t>true | false</t>
        </is>
      </c>
      <c r="I8" s="38" t="inlineStr">
        <is>
          <t>Public</t>
        </is>
      </c>
      <c r="J8" s="37" t="inlineStr">
        <is>
          <t>Database Team</t>
        </is>
      </c>
      <c r="K8" s="37" t="inlineStr"/>
      <c r="L8" s="37" t="inlineStr">
        <is>
          <t>PITR restore test executed in Phase 3 to validate RTO; 35-day recovery window</t>
        </is>
      </c>
      <c r="M8" s="38" t="inlineStr">
        <is>
          <t>2025-06-01</t>
        </is>
      </c>
    </row>
    <row r="9" ht="26" customHeight="1">
      <c r="A9" s="42" t="inlineStr">
        <is>
          <t>database.audit_events_ttl_days</t>
        </is>
      </c>
      <c r="B9" s="39" t="inlineStr">
        <is>
          <t>90</t>
        </is>
      </c>
      <c r="C9" s="39" t="inlineStr">
        <is>
          <t>30</t>
        </is>
      </c>
      <c r="D9" s="39" t="inlineStr">
        <is>
          <t>90</t>
        </is>
      </c>
      <c r="E9" s="39" t="inlineStr">
        <is>
          <t>TTL-based retention for audit_events records; expires items automatically without manual deletion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1-3653</t>
        </is>
      </c>
      <c r="I9" s="40" t="inlineStr">
        <is>
          <t>Public</t>
        </is>
      </c>
      <c r="J9" s="39" t="inlineStr">
        <is>
          <t>Database Team</t>
        </is>
      </c>
      <c r="K9" s="39" t="inlineStr">
        <is>
          <t>database.audit_events_table_name</t>
        </is>
      </c>
      <c r="L9" s="39" t="inlineStr">
        <is>
          <t>SOC 2 CC7.2 evidence; set shorter in dev to control costs</t>
        </is>
      </c>
      <c r="M9" s="40" t="inlineStr">
        <is>
          <t>2025-06-01</t>
        </is>
      </c>
    </row>
    <row r="10" ht="26" customHeight="1">
      <c r="A10" s="43" t="inlineStr">
        <is>
          <t>database.quota_per_user_monthly</t>
        </is>
      </c>
      <c r="B10" s="37" t="inlineStr">
        <is>
          <t>10</t>
        </is>
      </c>
      <c r="C10" s="37" t="inlineStr">
        <is>
          <t>10</t>
        </is>
      </c>
      <c r="D10" s="37" t="inlineStr">
        <is>
          <t>10</t>
        </is>
      </c>
      <c r="E10" s="37" t="inlineStr">
        <is>
          <t>Maximum solutions per Amatra consultant per calendar month per SOW scope parameter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database.quotas_table_name</t>
        </is>
      </c>
      <c r="L10" s="37" t="inlineStr">
        <is>
          <t>Enforced via atomic DynamoDB conditional write; admin override available via API</t>
        </is>
      </c>
      <c r="M10" s="38" t="inlineStr">
        <is>
          <t>2025-06-01</t>
        </is>
      </c>
    </row>
    <row r="11" ht="26" customHeight="1">
      <c r="A11" s="42" t="inlineStr">
        <is>
          <t>database.quota_global_monthly</t>
        </is>
      </c>
      <c r="B11" s="39" t="inlineStr">
        <is>
          <t>1000</t>
        </is>
      </c>
      <c r="C11" s="39" t="inlineStr">
        <is>
          <t>100</t>
        </is>
      </c>
      <c r="D11" s="39" t="inlineStr">
        <is>
          <t>1000</t>
        </is>
      </c>
      <c r="E11" s="39" t="inlineStr">
        <is>
          <t>Maximum total solutions across all users per calendar month per SOW scope parameter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1-100000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database.quotas_table_name</t>
        </is>
      </c>
      <c r="L11" s="39" t="inlineStr">
        <is>
          <t>CloudWatch alarm fires at 90% of this threshold (900 solutions)</t>
        </is>
      </c>
      <c r="M11" s="40" t="inlineStr">
        <is>
          <t>2025-06-01</t>
        </is>
      </c>
    </row>
    <row r="12" ht="26" customHeight="1">
      <c r="A12" s="43" t="inlineStr">
        <is>
          <t>database.inactive_user_suspension_days</t>
        </is>
      </c>
      <c r="B12" s="37" t="inlineStr">
        <is>
          <t>90</t>
        </is>
      </c>
      <c r="C12" s="37" t="inlineStr">
        <is>
          <t>90</t>
        </is>
      </c>
      <c r="D12" s="37" t="inlineStr">
        <is>
          <t>90</t>
        </is>
      </c>
      <c r="E12" s="37" t="inlineStr">
        <is>
          <t>Days of API inactivity before the scheduled Lambda suspends the Cognito account per SOC 2 CC6.2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1-365</t>
        </is>
      </c>
      <c r="I12" s="38" t="inlineStr">
        <is>
          <t>Public</t>
        </is>
      </c>
      <c r="J12" s="37" t="inlineStr">
        <is>
          <t>Security Team</t>
        </is>
      </c>
      <c r="K12" s="37" t="inlineStr">
        <is>
          <t>database.users_table_name</t>
        </is>
      </c>
      <c r="L12" s="37" t="inlineStr">
        <is>
          <t>Quarterly access reviews conducted by Daniel Park</t>
        </is>
      </c>
      <c r="M12" s="38" t="inlineStr">
        <is>
          <t>2025-06-01</t>
        </is>
      </c>
    </row>
  </sheetData>
  <autoFilter ref="A2:M12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application.name</t>
        </is>
      </c>
      <c r="B3" s="39" t="inlineStr">
        <is>
          <t>eoframework</t>
        </is>
      </c>
      <c r="C3" s="39" t="inlineStr">
        <is>
          <t>eoframework</t>
        </is>
      </c>
      <c r="D3" s="39" t="inlineStr">
        <is>
          <t>eoframework</t>
        </is>
      </c>
      <c r="E3" s="39" t="inlineStr">
        <is>
          <t>Application identifier used in CloudWatch log groups and X-Ray service maps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hyphens only max 50 chars</t>
        </is>
      </c>
      <c r="I3" s="40" t="inlineStr">
        <is>
          <t>Public</t>
        </is>
      </c>
      <c r="J3" s="39" t="inlineStr">
        <is>
          <t>Development</t>
        </is>
      </c>
      <c r="K3" s="39" t="inlineStr">
        <is>
          <t>solution.name</t>
        </is>
      </c>
      <c r="L3" s="39" t="inlineStr"/>
      <c r="M3" s="40" t="inlineStr">
        <is>
          <t>2025-06-01</t>
        </is>
      </c>
    </row>
    <row r="4" ht="26" customHeight="1">
      <c r="A4" s="43" t="inlineStr">
        <is>
          <t>application.log_level</t>
        </is>
      </c>
      <c r="B4" s="37" t="inlineStr">
        <is>
          <t>info</t>
        </is>
      </c>
      <c r="C4" s="37" t="inlineStr">
        <is>
          <t>debug</t>
        </is>
      </c>
      <c r="D4" s="37" t="inlineStr">
        <is>
          <t>info</t>
        </is>
      </c>
      <c r="E4" s="37" t="inlineStr">
        <is>
          <t>Logging verbosity for all 17 Lambda functions; debug enabled in dev for agent tracing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debug | info | warn | error</t>
        </is>
      </c>
      <c r="I4" s="38" t="inlineStr">
        <is>
          <t>Public</t>
        </is>
      </c>
      <c r="J4" s="37" t="inlineStr">
        <is>
          <t>Operations</t>
        </is>
      </c>
      <c r="K4" s="37" t="inlineStr"/>
      <c r="L4" s="37" t="inlineStr"/>
      <c r="M4" s="38" t="inlineStr">
        <is>
          <t>2025-06-01</t>
        </is>
      </c>
    </row>
    <row r="5" ht="26" customHeight="1">
      <c r="A5" s="42" t="inlineStr">
        <is>
          <t>application.port</t>
        </is>
      </c>
      <c r="B5" s="39" t="inlineStr">
        <is>
          <t>443</t>
        </is>
      </c>
      <c r="C5" s="39" t="inlineStr">
        <is>
          <t>443</t>
        </is>
      </c>
      <c r="D5" s="39" t="inlineStr">
        <is>
          <t>443</t>
        </is>
      </c>
      <c r="E5" s="39" t="inlineStr">
        <is>
          <t>HTTPS port enforced on API Gateway HTTP API v2; HTTP requests rejected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443 only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networking.apigw_endpoint</t>
        </is>
      </c>
      <c r="L5" s="39" t="inlineStr"/>
      <c r="M5" s="40" t="inlineStr">
        <is>
          <t>2025-06-01</t>
        </is>
      </c>
    </row>
    <row r="6" ht="26" customHeight="1">
      <c r="A6" s="43" t="inlineStr">
        <is>
          <t>application.timeout_seconds</t>
        </is>
      </c>
      <c r="B6" s="37" t="inlineStr">
        <is>
          <t>30</t>
        </is>
      </c>
      <c r="C6" s="37" t="inlineStr">
        <is>
          <t>30</t>
        </is>
      </c>
      <c r="D6" s="37" t="inlineStr">
        <is>
          <t>30</t>
        </is>
      </c>
      <c r="E6" s="37" t="inlineStr">
        <is>
          <t>Synchronous API route Lambda timeout in seconds; async generation routes use separate config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1-900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compute.lambda.api_handler.timeout_seconds</t>
        </is>
      </c>
      <c r="L6" s="37" t="inlineStr"/>
      <c r="M6" s="38" t="inlineStr">
        <is>
          <t>2025-06-01</t>
        </is>
      </c>
    </row>
    <row r="7" ht="26" customHeight="1">
      <c r="A7" s="42" t="inlineStr">
        <is>
          <t>application.cli_package_name</t>
        </is>
      </c>
      <c r="B7" s="39" t="inlineStr">
        <is>
          <t>eoframework-cli</t>
        </is>
      </c>
      <c r="C7" s="39" t="inlineStr">
        <is>
          <t>eoframework-cli</t>
        </is>
      </c>
      <c r="D7" s="39" t="inlineStr">
        <is>
          <t>eoframework-cli</t>
        </is>
      </c>
      <c r="E7" s="39" t="inlineStr">
        <is>
          <t>Pip-installable Python package name for the 14-subcommand consultant-facing CLI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Python package name</t>
        </is>
      </c>
      <c r="I7" s="40" t="inlineStr">
        <is>
          <t>Public</t>
        </is>
      </c>
      <c r="J7" s="39" t="inlineStr">
        <is>
          <t>Development</t>
        </is>
      </c>
      <c r="K7" s="39" t="inlineStr"/>
      <c r="L7" s="39" t="inlineStr"/>
      <c r="M7" s="40" t="inlineStr">
        <is>
          <t>2025-06-01</t>
        </is>
      </c>
    </row>
    <row r="8" ht="26" customHeight="1">
      <c r="A8" s="43" t="inlineStr">
        <is>
          <t>application.cli_subcommand_count</t>
        </is>
      </c>
      <c r="B8" s="37" t="inlineStr">
        <is>
          <t>14</t>
        </is>
      </c>
      <c r="C8" s="37" t="inlineStr">
        <is>
          <t>14</t>
        </is>
      </c>
      <c r="D8" s="37" t="inlineStr">
        <is>
          <t>14</t>
        </is>
      </c>
      <c r="E8" s="37" t="inlineStr">
        <is>
          <t>Total CLI subcommands including auth / generate / status / admin per SOW specification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14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application.cli_package_name</t>
        </is>
      </c>
      <c r="L8" s="37" t="inlineStr">
        <is>
          <t>Must match SOW deliverable D11 exactly</t>
        </is>
      </c>
      <c r="M8" s="38" t="inlineStr">
        <is>
          <t>2025-06-01</t>
        </is>
      </c>
    </row>
    <row r="9" ht="26" customHeight="1">
      <c r="A9" s="42" t="inlineStr">
        <is>
          <t>application.api_route_count</t>
        </is>
      </c>
      <c r="B9" s="39" t="inlineStr">
        <is>
          <t>11</t>
        </is>
      </c>
      <c r="C9" s="39" t="inlineStr">
        <is>
          <t>11</t>
        </is>
      </c>
      <c r="D9" s="39" t="inlineStr">
        <is>
          <t>11</t>
        </is>
      </c>
      <c r="E9" s="39" t="inlineStr">
        <is>
          <t>Total HTTP API v2 Lambda routes per SOW specification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11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networking.apigw_endpoint</t>
        </is>
      </c>
      <c r="L9" s="39" t="inlineStr">
        <is>
          <t>Must match SOW deliverable D4 exactly</t>
        </is>
      </c>
      <c r="M9" s="40" t="inlineStr">
        <is>
          <t>2025-06-01</t>
        </is>
      </c>
    </row>
    <row r="10" ht="26" customHeight="1">
      <c r="A10" s="43" t="inlineStr">
        <is>
          <t>application.artifact_types_count</t>
        </is>
      </c>
      <c r="B10" s="37" t="inlineStr">
        <is>
          <t>12</t>
        </is>
      </c>
      <c r="C10" s="37" t="inlineStr">
        <is>
          <t>12</t>
        </is>
      </c>
      <c r="D10" s="37" t="inlineStr">
        <is>
          <t>12</t>
        </is>
      </c>
      <c r="E10" s="37" t="inlineStr">
        <is>
          <t>Total EO Framework artifact types: 5 presales + 6 delivery + 1 Terraform automation bundle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12</t>
        </is>
      </c>
      <c r="I10" s="38" t="inlineStr">
        <is>
          <t>Public</t>
        </is>
      </c>
      <c r="J10" s="37" t="inlineStr">
        <is>
          <t>Development</t>
        </is>
      </c>
      <c r="K10" s="37" t="inlineStr"/>
      <c r="L10" s="37" t="inlineStr"/>
      <c r="M10" s="38" t="inlineStr">
        <is>
          <t>2025-06-01</t>
        </is>
      </c>
    </row>
    <row r="11" ht="26" customHeight="1">
      <c r="A11" s="42" t="inlineStr">
        <is>
          <t>application.agent_count</t>
        </is>
      </c>
      <c r="B11" s="39" t="inlineStr">
        <is>
          <t>5</t>
        </is>
      </c>
      <c r="C11" s="39" t="inlineStr">
        <is>
          <t>5</t>
        </is>
      </c>
      <c r="D11" s="39" t="inlineStr">
        <is>
          <t>5</t>
        </is>
      </c>
      <c r="E11" s="39" t="inlineStr">
        <is>
          <t>Total Strands agents registered in Bedrock AgentCore Runtime per SOW scope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5</t>
        </is>
      </c>
      <c r="I11" s="40" t="inlineStr">
        <is>
          <t>Public</t>
        </is>
      </c>
      <c r="J11" s="39" t="inlineStr">
        <is>
          <t>Development</t>
        </is>
      </c>
      <c r="K11" s="39" t="inlineStr">
        <is>
          <t>bedrock.agentcore.runtime_region</t>
        </is>
      </c>
      <c r="L11" s="39" t="inlineStr"/>
      <c r="M11" s="40" t="inlineStr">
        <is>
          <t>2025-06-01</t>
        </is>
      </c>
    </row>
    <row r="12" ht="26" customHeight="1">
      <c r="A12" s="43" t="inlineStr">
        <is>
          <t>application.max_retries_per_artifact</t>
        </is>
      </c>
      <c r="B12" s="37" t="inlineStr">
        <is>
          <t>3</t>
        </is>
      </c>
      <c r="C12" s="37" t="inlineStr">
        <is>
          <t>3</t>
        </is>
      </c>
      <c r="D12" s="37" t="inlineStr">
        <is>
          <t>3</t>
        </is>
      </c>
      <c r="E12" s="37" t="inlineStr">
        <is>
          <t>Maximum automatic retries per artifact in the EO Validator validation loop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1-10</t>
        </is>
      </c>
      <c r="I12" s="38" t="inlineStr">
        <is>
          <t>Public</t>
        </is>
      </c>
      <c r="J12" s="37" t="inlineStr">
        <is>
          <t>Development</t>
        </is>
      </c>
      <c r="K12" s="37" t="inlineStr">
        <is>
          <t>bedrock.validator_model_id</t>
        </is>
      </c>
      <c r="L12" s="37" t="inlineStr">
        <is>
          <t>Graded delivery policy surfaces passing artifacts while retrying failures</t>
        </is>
      </c>
      <c r="M12" s="38" t="inlineStr">
        <is>
          <t>2025-06-01</t>
        </is>
      </c>
    </row>
    <row r="13" ht="26" customHeight="1">
      <c r="A13" s="42" t="inlineStr">
        <is>
          <t>application.generation_timeout_minutes</t>
        </is>
      </c>
      <c r="B13" s="39" t="inlineStr">
        <is>
          <t>60</t>
        </is>
      </c>
      <c r="C13" s="39" t="inlineStr">
        <is>
          <t>60</t>
        </is>
      </c>
      <c r="D13" s="39" t="inlineStr">
        <is>
          <t>60</t>
        </is>
      </c>
      <c r="E13" s="39" t="inlineStr">
        <is>
          <t>End-to-end 12-artifact solution bundle generation time limit; SLA target from SOW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1-480</t>
        </is>
      </c>
      <c r="I13" s="40" t="inlineStr">
        <is>
          <t>Public</t>
        </is>
      </c>
      <c r="J13" s="39" t="inlineStr">
        <is>
          <t>Operations</t>
        </is>
      </c>
      <c r="K13" s="39" t="inlineStr"/>
      <c r="L13" s="39" t="inlineStr"/>
      <c r="M13" s="40" t="inlineStr">
        <is>
          <t>2025-06-01</t>
        </is>
      </c>
    </row>
  </sheetData>
  <autoFilter ref="A2:M13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monitoring.cloudwatch_dashboard_name</t>
        </is>
      </c>
      <c r="B3" s="39" t="inlineStr">
        <is>
          <t>eofw-prd-health</t>
        </is>
      </c>
      <c r="C3" s="39" t="inlineStr">
        <is>
          <t>eofw-dev-health</t>
        </is>
      </c>
      <c r="D3" s="39" t="inlineStr">
        <is>
          <t>eofw-prd-health</t>
        </is>
      </c>
      <c r="E3" s="39" t="inlineStr">
        <is>
          <t>CloudWatch dashboard name for real-time Lambda / DynamoDB / Bedrock operational visibility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 max 255 chars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solution.region.primary</t>
        </is>
      </c>
      <c r="L3" s="39" t="inlineStr"/>
      <c r="M3" s="40" t="inlineStr">
        <is>
          <t>2025-06-01</t>
        </is>
      </c>
    </row>
    <row r="4" ht="26" customHeight="1">
      <c r="A4" s="43" t="inlineStr">
        <is>
          <t>monitoring.log_retention_lambda_days</t>
        </is>
      </c>
      <c r="B4" s="37" t="inlineStr">
        <is>
          <t>90</t>
        </is>
      </c>
      <c r="C4" s="37" t="inlineStr">
        <is>
          <t>30</t>
        </is>
      </c>
      <c r="D4" s="37" t="inlineStr">
        <is>
          <t>90</t>
        </is>
      </c>
      <c r="E4" s="37" t="inlineStr">
        <is>
          <t>CloudWatch Log Group retention in days for the 17 Lambda function log groups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1-3653</t>
        </is>
      </c>
      <c r="I4" s="38" t="inlineStr">
        <is>
          <t>Public</t>
        </is>
      </c>
      <c r="J4" s="37" t="inlineStr">
        <is>
          <t>Operations</t>
        </is>
      </c>
      <c r="K4" s="37" t="inlineStr"/>
      <c r="L4" s="37" t="inlineStr">
        <is>
          <t>Production uses 90 days per SOW data architecture; shorter in dev to control cost</t>
        </is>
      </c>
      <c r="M4" s="38" t="inlineStr">
        <is>
          <t>2025-06-01</t>
        </is>
      </c>
    </row>
    <row r="5" ht="26" customHeight="1">
      <c r="A5" s="42" t="inlineStr">
        <is>
          <t>monitoring.log_retention_cloudtrail_days</t>
        </is>
      </c>
      <c r="B5" s="39" t="inlineStr">
        <is>
          <t>365</t>
        </is>
      </c>
      <c r="C5" s="39" t="inlineStr">
        <is>
          <t>90</t>
        </is>
      </c>
      <c r="D5" s="39" t="inlineStr">
        <is>
          <t>365</t>
        </is>
      </c>
      <c r="E5" s="39" t="inlineStr">
        <is>
          <t>CloudWatch Logs retention for CloudTrail delivery to CloudWatch Logs group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1-3653</t>
        </is>
      </c>
      <c r="I5" s="40" t="inlineStr">
        <is>
          <t>Public</t>
        </is>
      </c>
      <c r="J5" s="39" t="inlineStr">
        <is>
          <t>Security Team</t>
        </is>
      </c>
      <c r="K5" s="39" t="inlineStr">
        <is>
          <t>security.cloudtrail.management_events</t>
        </is>
      </c>
      <c r="L5" s="39" t="inlineStr">
        <is>
          <t>365 days required for SOC 2 evidence window</t>
        </is>
      </c>
      <c r="M5" s="40" t="inlineStr">
        <is>
          <t>2025-06-01</t>
        </is>
      </c>
    </row>
    <row r="6" ht="26" customHeight="1">
      <c r="A6" s="43" t="inlineStr">
        <is>
          <t>monitoring.xray_sampling_rate</t>
        </is>
      </c>
      <c r="B6" s="37" t="inlineStr">
        <is>
          <t>0.05</t>
        </is>
      </c>
      <c r="C6" s="37" t="inlineStr">
        <is>
          <t>1.0</t>
        </is>
      </c>
      <c r="D6" s="37" t="inlineStr">
        <is>
          <t>0.05</t>
        </is>
      </c>
      <c r="E6" s="37" t="inlineStr">
        <is>
          <t>X-Ray trace sampling rate; 5% in production / 100% in dev for full distributed tracing</t>
        </is>
      </c>
      <c r="F6" s="38" t="inlineStr">
        <is>
          <t>Yes</t>
        </is>
      </c>
      <c r="G6" s="38" t="inlineStr">
        <is>
          <t>Number</t>
        </is>
      </c>
      <c r="H6" s="37" t="inlineStr">
        <is>
          <t>0.0-1.0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compute.lambda.xray_tracing</t>
        </is>
      </c>
      <c r="L6" s="37" t="inlineStr">
        <is>
          <t>Configurable post-launch; increase to 0.10 during Phase 3 load test investigation</t>
        </is>
      </c>
      <c r="M6" s="38" t="inlineStr">
        <is>
          <t>2025-06-01</t>
        </is>
      </c>
    </row>
    <row r="7" ht="26" customHeight="1">
      <c r="A7" s="42" t="inlineStr">
        <is>
          <t>monitoring.alert_sns_topic_arn</t>
        </is>
      </c>
      <c r="B7" s="39" t="inlineStr">
        <is>
          <t>[sns-ops-alerts-arn]</t>
        </is>
      </c>
      <c r="C7" s="39" t="inlineStr">
        <is>
          <t>[sns-ops-alerts-arn]</t>
        </is>
      </c>
      <c r="D7" s="39" t="inlineStr">
        <is>
          <t>[sns-ops-alerts-arn]</t>
        </is>
      </c>
      <c r="E7" s="39" t="inlineStr">
        <is>
          <t>SNS topic ARN for all CloudWatch Alarms; email subscriptions for Daniel Park and ops on-call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SNS ARN</t>
        </is>
      </c>
      <c r="I7" s="40" t="inlineStr">
        <is>
          <t>Confidential</t>
        </is>
      </c>
      <c r="J7" s="39" t="inlineStr">
        <is>
          <t>Operations</t>
        </is>
      </c>
      <c r="K7" s="39" t="inlineStr">
        <is>
          <t>solution.region.primary</t>
        </is>
      </c>
      <c r="L7" s="39" t="inlineStr">
        <is>
          <t>Routes Lambda error rate / Bedrock throttle / DLQ / quota threshold alarms</t>
        </is>
      </c>
      <c r="M7" s="40" t="inlineStr">
        <is>
          <t>2025-06-01</t>
        </is>
      </c>
    </row>
    <row r="8" ht="26" customHeight="1">
      <c r="A8" s="43" t="inlineStr">
        <is>
          <t>monitoring.alarm_lambda_error_rate_pct</t>
        </is>
      </c>
      <c r="B8" s="37" t="inlineStr">
        <is>
          <t>1</t>
        </is>
      </c>
      <c r="C8" s="37" t="inlineStr">
        <is>
          <t>5</t>
        </is>
      </c>
      <c r="D8" s="37" t="inlineStr">
        <is>
          <t>1</t>
        </is>
      </c>
      <c r="E8" s="37" t="inlineStr">
        <is>
          <t>Lambda error rate alarm threshold as a percentage; triggers P2 alert to ops team</t>
        </is>
      </c>
      <c r="F8" s="38" t="inlineStr">
        <is>
          <t>Yes</t>
        </is>
      </c>
      <c r="G8" s="38" t="inlineStr">
        <is>
          <t>Number</t>
        </is>
      </c>
      <c r="H8" s="37" t="inlineStr">
        <is>
          <t>0.1-100.0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monitoring.alert_sns_topic_arn</t>
        </is>
      </c>
      <c r="L8" s="37" t="inlineStr">
        <is>
          <t>Escalate to P1 if sustained &gt; 15 minutes per alert definitions in detailed design</t>
        </is>
      </c>
      <c r="M8" s="38" t="inlineStr">
        <is>
          <t>2025-06-01</t>
        </is>
      </c>
    </row>
    <row r="9" ht="26" customHeight="1">
      <c r="A9" s="42" t="inlineStr">
        <is>
          <t>monitoring.alarm_bedrock_throttle_count</t>
        </is>
      </c>
      <c r="B9" s="39" t="inlineStr">
        <is>
          <t>5</t>
        </is>
      </c>
      <c r="C9" s="39" t="inlineStr">
        <is>
          <t>20</t>
        </is>
      </c>
      <c r="D9" s="39" t="inlineStr">
        <is>
          <t>5</t>
        </is>
      </c>
      <c r="E9" s="39" t="inlineStr">
        <is>
          <t>Bedrock ThrottlingException count per 5-minute window before alarm fires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1-1000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monitoring.alert_sns_topic_arn</t>
        </is>
      </c>
      <c r="L9" s="39" t="inlineStr">
        <is>
          <t>Triggers SNS notification; investigate token throughput and request quota increase if sustained</t>
        </is>
      </c>
      <c r="M9" s="40" t="inlineStr">
        <is>
          <t>2025-06-01</t>
        </is>
      </c>
    </row>
    <row r="10" ht="26" customHeight="1">
      <c r="A10" s="43" t="inlineStr">
        <is>
          <t>monitoring.alarm_global_quota_threshold_pct</t>
        </is>
      </c>
      <c r="B10" s="37" t="inlineStr">
        <is>
          <t>90</t>
        </is>
      </c>
      <c r="C10" s="37" t="inlineStr">
        <is>
          <t>90</t>
        </is>
      </c>
      <c r="D10" s="37" t="inlineStr">
        <is>
          <t>90</t>
        </is>
      </c>
      <c r="E10" s="37" t="inlineStr">
        <is>
          <t>Percentage of global monthly quota (1000 solutions) that triggers P3 warning alarm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monitoring.alert_sns_topic_arn, database.quota_global_monthly</t>
        </is>
      </c>
      <c r="L10" s="37" t="inlineStr">
        <is>
          <t>Fires at 900/1000 solutions; notify Admin to evaluate quota increase</t>
        </is>
      </c>
      <c r="M10" s="38" t="inlineStr">
        <is>
          <t>2025-06-01</t>
        </is>
      </c>
    </row>
    <row r="11" ht="26" customHeight="1">
      <c r="A11" s="42" t="inlineStr">
        <is>
          <t>monitoring.canary_health_check_interval_minutes</t>
        </is>
      </c>
      <c r="B11" s="39" t="inlineStr">
        <is>
          <t>5</t>
        </is>
      </c>
      <c r="C11" s="39" t="inlineStr">
        <is>
          <t>5</t>
        </is>
      </c>
      <c r="D11" s="39" t="inlineStr">
        <is>
          <t>5</t>
        </is>
      </c>
      <c r="E11" s="39" t="inlineStr">
        <is>
          <t>CloudWatch Synthetics canary polling interval in minutes for /api/v1/health route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1-60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networking.apigw_endpoint</t>
        </is>
      </c>
      <c r="L11" s="39" t="inlineStr">
        <is>
          <t>P1 alarm fires on 2 consecutive canary failures; immediate escalation required</t>
        </is>
      </c>
      <c r="M11" s="40" t="inlineStr">
        <is>
          <t>2025-06-01</t>
        </is>
      </c>
    </row>
    <row r="12" ht="26" customHeight="1">
      <c r="A12" s="43" t="inlineStr">
        <is>
          <t>monitoring.api_gateway_p99_latency_ms</t>
        </is>
      </c>
      <c r="B12" s="37" t="inlineStr">
        <is>
          <t>3000</t>
        </is>
      </c>
      <c r="C12" s="37" t="inlineStr">
        <is>
          <t>3000</t>
        </is>
      </c>
      <c r="D12" s="37" t="inlineStr">
        <is>
          <t>3000</t>
        </is>
      </c>
      <c r="E12" s="37" t="inlineStr">
        <is>
          <t>API Gateway P99 latency SLA target in milliseconds for synchronous routes per SOW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100-30000</t>
        </is>
      </c>
      <c r="I12" s="38" t="inlineStr">
        <is>
          <t>Public</t>
        </is>
      </c>
      <c r="J12" s="37" t="inlineStr">
        <is>
          <t>Operations</t>
        </is>
      </c>
      <c r="K12" s="37" t="inlineStr">
        <is>
          <t>networking.apigw_endpoint</t>
        </is>
      </c>
      <c r="L12" s="37" t="inlineStr">
        <is>
          <t>CloudWatch metric alarm configured against this threshold</t>
        </is>
      </c>
      <c r="M12" s="38" t="inlineStr">
        <is>
          <t>2025-06-01</t>
        </is>
      </c>
    </row>
    <row r="13" ht="26" customHeight="1">
      <c r="A13" s="42" t="inlineStr">
        <is>
          <t>monitoring.bedrock_cost_per_solution_alert_usd</t>
        </is>
      </c>
      <c r="B13" s="39" t="inlineStr">
        <is>
          <t>5.00</t>
        </is>
      </c>
      <c r="C13" s="39" t="inlineStr">
        <is>
          <t>5.00</t>
        </is>
      </c>
      <c r="D13" s="39" t="inlineStr">
        <is>
          <t>5.00</t>
        </is>
      </c>
      <c r="E13" s="39" t="inlineStr">
        <is>
          <t>Alert threshold for estimated per-solution Bedrock cost in USD; matches SOW success metric</t>
        </is>
      </c>
      <c r="F13" s="40" t="inlineStr">
        <is>
          <t>Yes</t>
        </is>
      </c>
      <c r="G13" s="40" t="inlineStr">
        <is>
          <t>Number</t>
        </is>
      </c>
      <c r="H13" s="39" t="inlineStr">
        <is>
          <t>0.01-100.00</t>
        </is>
      </c>
      <c r="I13" s="40" t="inlineStr">
        <is>
          <t>Public</t>
        </is>
      </c>
      <c r="J13" s="39" t="inlineStr">
        <is>
          <t>Operations</t>
        </is>
      </c>
      <c r="K13" s="39" t="inlineStr">
        <is>
          <t>monitoring.alert_sns_topic_arn, bedrock.cost_per_solution_target_usd</t>
        </is>
      </c>
      <c r="L13" s="39" t="inlineStr"/>
      <c r="M13" s="40" t="inlineStr">
        <is>
          <t>2025-06-01</t>
        </is>
      </c>
    </row>
  </sheetData>
  <autoFilter ref="A2:M13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Bedrock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bedrock.primary_model_id</t>
        </is>
      </c>
      <c r="B3" s="39" t="inlineStr">
        <is>
          <t>anthropic.claude-sonnet-4-5</t>
        </is>
      </c>
      <c r="C3" s="39" t="inlineStr">
        <is>
          <t>anthropic.claude-sonnet-4-5</t>
        </is>
      </c>
      <c r="D3" s="39" t="inlineStr">
        <is>
          <t>anthropic.claude-sonnet-4-5</t>
        </is>
      </c>
      <c r="E3" s="39" t="inlineStr">
        <is>
          <t>Claude Sonnet 4.6 model ID used by Pre-Sales / Delivery / Code Generator agents for artifact generation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Bedrock model ID</t>
        </is>
      </c>
      <c r="I3" s="40" t="inlineStr">
        <is>
          <t>Confidential</t>
        </is>
      </c>
      <c r="J3" s="39" t="inlineStr">
        <is>
          <t>Development</t>
        </is>
      </c>
      <c r="K3" s="39" t="inlineStr">
        <is>
          <t>bedrock.agentcore.runtime_region</t>
        </is>
      </c>
      <c r="L3" s="39" t="inlineStr">
        <is>
          <t>Primary generation model; targets &lt; $5 per solution at 200 solutions/month</t>
        </is>
      </c>
      <c r="M3" s="40" t="inlineStr">
        <is>
          <t>2025-06-01</t>
        </is>
      </c>
    </row>
    <row r="4" ht="26" customHeight="1">
      <c r="A4" s="43" t="inlineStr">
        <is>
          <t>bedrock.validator_model_id</t>
        </is>
      </c>
      <c r="B4" s="37" t="inlineStr">
        <is>
          <t>anthropic.claude-haiku-4-5</t>
        </is>
      </c>
      <c r="C4" s="37" t="inlineStr">
        <is>
          <t>anthropic.claude-haiku-4-5</t>
        </is>
      </c>
      <c r="D4" s="37" t="inlineStr">
        <is>
          <t>anthropic.claude-haiku-4-5</t>
        </is>
      </c>
      <c r="E4" s="37" t="inlineStr">
        <is>
          <t>Claude Haiku 4.5 model ID used by EO Validator agent for cost-efficient quality scoring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Bedrock model ID</t>
        </is>
      </c>
      <c r="I4" s="38" t="inlineStr">
        <is>
          <t>Confidential</t>
        </is>
      </c>
      <c r="J4" s="37" t="inlineStr">
        <is>
          <t>Development</t>
        </is>
      </c>
      <c r="K4" s="37" t="inlineStr">
        <is>
          <t>bedrock.agentcore.runtime_region</t>
        </is>
      </c>
      <c r="L4" s="37" t="inlineStr">
        <is>
          <t>Haiku chosen to reduce validation cost vs Sonnet per infrastructure cost model</t>
        </is>
      </c>
      <c r="M4" s="38" t="inlineStr">
        <is>
          <t>2025-06-01</t>
        </is>
      </c>
    </row>
    <row r="5" ht="26" customHeight="1">
      <c r="A5" s="42" t="inlineStr">
        <is>
          <t>bedrock.agentcore.runtime_region</t>
        </is>
      </c>
      <c r="B5" s="39" t="inlineStr">
        <is>
          <t>us-west-2</t>
        </is>
      </c>
      <c r="C5" s="39" t="inlineStr">
        <is>
          <t>us-west-2</t>
        </is>
      </c>
      <c r="D5" s="39" t="inlineStr">
        <is>
          <t>us-west-2</t>
        </is>
      </c>
      <c r="E5" s="39" t="inlineStr">
        <is>
          <t>AWS region where Bedrock AgentCore Runtime hosts the five Strands agents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AWS region code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solution.region.primary</t>
        </is>
      </c>
      <c r="L5" s="39" t="inlineStr">
        <is>
          <t>Must be GA in us-west-2 before Phase 2 start per SOW assumption A8; validate in Week 1 spike</t>
        </is>
      </c>
      <c r="M5" s="40" t="inlineStr">
        <is>
          <t>2025-06-01</t>
        </is>
      </c>
    </row>
    <row r="6" ht="26" customHeight="1">
      <c r="A6" s="43" t="inlineStr">
        <is>
          <t>bedrock.input_tokens_monthly_sonnet</t>
        </is>
      </c>
      <c r="B6" s="37" t="inlineStr">
        <is>
          <t>3000000</t>
        </is>
      </c>
      <c r="C6" s="37" t="inlineStr">
        <is>
          <t>500000</t>
        </is>
      </c>
      <c r="D6" s="37" t="inlineStr">
        <is>
          <t>3000000</t>
        </is>
      </c>
      <c r="E6" s="37" t="inlineStr">
        <is>
          <t>Target Bedrock Sonnet 4.6 input token volume per month at PoC steady state (~50 solutions/month)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1-1000000000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bedrock.primary_model_id</t>
        </is>
      </c>
      <c r="L6" s="37" t="inlineStr">
        <is>
          <t>Sourced from SOW Scope Parameters; quota pre-approval via AWS Solutions Architect required</t>
        </is>
      </c>
      <c r="M6" s="38" t="inlineStr">
        <is>
          <t>2025-06-01</t>
        </is>
      </c>
    </row>
    <row r="7" ht="26" customHeight="1">
      <c r="A7" s="42" t="inlineStr">
        <is>
          <t>bedrock.output_tokens_monthly_sonnet</t>
        </is>
      </c>
      <c r="B7" s="39" t="inlineStr">
        <is>
          <t>1000000</t>
        </is>
      </c>
      <c r="C7" s="39" t="inlineStr">
        <is>
          <t>100000</t>
        </is>
      </c>
      <c r="D7" s="39" t="inlineStr">
        <is>
          <t>1000000</t>
        </is>
      </c>
      <c r="E7" s="39" t="inlineStr">
        <is>
          <t>Target Bedrock Sonnet 4.6 output token volume per month at PoC steady state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1-1000000000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bedrock.primary_model_id</t>
        </is>
      </c>
      <c r="L7" s="39" t="inlineStr">
        <is>
          <t>Monitor in CloudWatch; alert if trending above cost model projection</t>
        </is>
      </c>
      <c r="M7" s="40" t="inlineStr">
        <is>
          <t>2025-06-01</t>
        </is>
      </c>
    </row>
    <row r="8" ht="26" customHeight="1">
      <c r="A8" s="43" t="inlineStr">
        <is>
          <t>bedrock.cost_per_solution_target_usd</t>
        </is>
      </c>
      <c r="B8" s="37" t="inlineStr">
        <is>
          <t>5.00</t>
        </is>
      </c>
      <c r="C8" s="37" t="inlineStr">
        <is>
          <t>5.00</t>
        </is>
      </c>
      <c r="D8" s="37" t="inlineStr">
        <is>
          <t>5.00</t>
        </is>
      </c>
      <c r="E8" s="37" t="inlineStr">
        <is>
          <t>Maximum acceptable Bedrock model spend per 12-artifact solution bundle per SOW success metric</t>
        </is>
      </c>
      <c r="F8" s="38" t="inlineStr">
        <is>
          <t>Yes</t>
        </is>
      </c>
      <c r="G8" s="38" t="inlineStr">
        <is>
          <t>Number</t>
        </is>
      </c>
      <c r="H8" s="37" t="inlineStr">
        <is>
          <t>0.01-100.00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bedrock.primary_model_id</t>
        </is>
      </c>
      <c r="L8" s="37" t="inlineStr">
        <is>
          <t>Validated in Phase 3 load test at 200 solutions/month</t>
        </is>
      </c>
      <c r="M8" s="38" t="inlineStr">
        <is>
          <t>2025-06-01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integration.github.repository_url</t>
        </is>
      </c>
      <c r="B3" s="39" t="inlineStr">
        <is>
          <t>[github-repo-url]</t>
        </is>
      </c>
      <c r="C3" s="39" t="inlineStr">
        <is>
          <t>[github-repo-url]</t>
        </is>
      </c>
      <c r="D3" s="39" t="inlineStr">
        <is>
          <t>[github-repo-url]</t>
        </is>
      </c>
      <c r="E3" s="39" t="inlineStr">
        <is>
          <t>GitHub repository URL for automated PAT-based artifact commit pipeline per SOW deliverable D13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HTTPS GitHub URL</t>
        </is>
      </c>
      <c r="I3" s="40" t="inlineStr">
        <is>
          <t>Confidential</t>
        </is>
      </c>
      <c r="J3" s="39" t="inlineStr">
        <is>
          <t>Integration Team</t>
        </is>
      </c>
      <c r="K3" s="39" t="inlineStr">
        <is>
          <t>integration.github.secret_arn</t>
        </is>
      </c>
      <c r="L3" s="39" t="inlineStr">
        <is>
          <t>Provisioned by Marcus Patel before Week 5 per SOW dependency table</t>
        </is>
      </c>
      <c r="M3" s="40" t="inlineStr">
        <is>
          <t>2025-06-01</t>
        </is>
      </c>
    </row>
    <row r="4" ht="26" customHeight="1">
      <c r="A4" s="43" t="inlineStr">
        <is>
          <t>integration.github.secret_arn</t>
        </is>
      </c>
      <c r="B4" s="37" t="inlineStr">
        <is>
          <t>[secrets-manager-arn-github-pat]</t>
        </is>
      </c>
      <c r="C4" s="37" t="inlineStr">
        <is>
          <t>[secrets-manager-arn-github-pat]</t>
        </is>
      </c>
      <c r="D4" s="37" t="inlineStr">
        <is>
          <t>[secrets-manager-arn-github-pat]</t>
        </is>
      </c>
      <c r="E4" s="37" t="inlineStr">
        <is>
          <t>Secrets Manager ARN storing the GitHub PAT with repo-write scope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Secrets Manager ARN</t>
        </is>
      </c>
      <c r="I4" s="38" t="inlineStr">
        <is>
          <t>Secret</t>
        </is>
      </c>
      <c r="J4" s="37" t="inlineStr">
        <is>
          <t>Security Team</t>
        </is>
      </c>
      <c r="K4" s="37" t="inlineStr">
        <is>
          <t>integration.github.repository_url</t>
        </is>
      </c>
      <c r="L4" s="37" t="inlineStr">
        <is>
          <t>90-day automatic rotation; PAT retrieved at runtime; never logged or baked into image</t>
        </is>
      </c>
      <c r="M4" s="38" t="inlineStr">
        <is>
          <t>2025-06-01</t>
        </is>
      </c>
    </row>
    <row r="5" ht="26" customHeight="1">
      <c r="A5" s="42" t="inlineStr">
        <is>
          <t>integration.github.pat_rotation_days</t>
        </is>
      </c>
      <c r="B5" s="39" t="inlineStr">
        <is>
          <t>90</t>
        </is>
      </c>
      <c r="C5" s="39" t="inlineStr">
        <is>
          <t>90</t>
        </is>
      </c>
      <c r="D5" s="39" t="inlineStr">
        <is>
          <t>90</t>
        </is>
      </c>
      <c r="E5" s="39" t="inlineStr">
        <is>
          <t>GitHub PAT rotation period in days matching Secrets Manager automatic rotation schedule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1-365</t>
        </is>
      </c>
      <c r="I5" s="40" t="inlineStr">
        <is>
          <t>Public</t>
        </is>
      </c>
      <c r="J5" s="39" t="inlineStr">
        <is>
          <t>Security Team</t>
        </is>
      </c>
      <c r="K5" s="39" t="inlineStr">
        <is>
          <t>integration.github.secret_arn</t>
        </is>
      </c>
      <c r="L5" s="39" t="inlineStr">
        <is>
          <t>PAT expiry alarm configured in CloudWatch; DLQ for failed commits</t>
        </is>
      </c>
      <c r="M5" s="40" t="inlineStr">
        <is>
          <t>2025-06-01</t>
        </is>
      </c>
    </row>
    <row r="6" ht="26" customHeight="1">
      <c r="A6" s="43" t="inlineStr">
        <is>
          <t>integration.github.push_retry_count</t>
        </is>
      </c>
      <c r="B6" s="37" t="inlineStr">
        <is>
          <t>3</t>
        </is>
      </c>
      <c r="C6" s="37" t="inlineStr">
        <is>
          <t>3</t>
        </is>
      </c>
      <c r="D6" s="37" t="inlineStr">
        <is>
          <t>3</t>
        </is>
      </c>
      <c r="E6" s="37" t="inlineStr">
        <is>
          <t>Maximum GitHub API push retry attempts before writing to SQS DLQ for failed commits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</t>
        </is>
      </c>
      <c r="I6" s="38" t="inlineStr">
        <is>
          <t>Public</t>
        </is>
      </c>
      <c r="J6" s="37" t="inlineStr">
        <is>
          <t>Integration Team</t>
        </is>
      </c>
      <c r="K6" s="37" t="inlineStr">
        <is>
          <t>integration.github.secret_arn</t>
        </is>
      </c>
      <c r="L6" s="37" t="inlineStr">
        <is>
          <t>CloudWatch alarm fires on DLQ depth &gt; 0; SNS notification to Daniel Park</t>
        </is>
      </c>
      <c r="M6" s="38" t="inlineStr">
        <is>
          <t>2025-06-01</t>
        </is>
      </c>
    </row>
    <row r="7" ht="26" customHeight="1">
      <c r="A7" s="42" t="inlineStr">
        <is>
          <t>integration.github.commit_message_format</t>
        </is>
      </c>
      <c r="B7" s="39" t="inlineStr">
        <is>
          <t>{solution_id}/{artifact_type}: generated by EO Validator — {status}</t>
        </is>
      </c>
      <c r="C7" s="39" t="inlineStr">
        <is>
          <t>{solution_id}/{artifact_type}: generated by EO Validator — {status}</t>
        </is>
      </c>
      <c r="D7" s="39" t="inlineStr">
        <is>
          <t>{solution_id}/{artifact_type}: generated by EO Validator — {status}</t>
        </is>
      </c>
      <c r="E7" s="39" t="inlineStr">
        <is>
          <t>Structured commit message format creating immutable delivery audit trail in GitHub history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Must include solution_id and artifact_type tokens</t>
        </is>
      </c>
      <c r="I7" s="40" t="inlineStr">
        <is>
          <t>Public</t>
        </is>
      </c>
      <c r="J7" s="39" t="inlineStr">
        <is>
          <t>Integration Team</t>
        </is>
      </c>
      <c r="K7" s="39" t="inlineStr">
        <is>
          <t>integration.github.repository_url</t>
        </is>
      </c>
      <c r="L7" s="39" t="inlineStr"/>
      <c r="M7" s="40" t="inlineStr">
        <is>
          <t>2025-06-01</t>
        </is>
      </c>
    </row>
    <row r="8" ht="26" customHeight="1">
      <c r="A8" s="43" t="inlineStr">
        <is>
          <t>integration.github.dlq_name</t>
        </is>
      </c>
      <c r="B8" s="37" t="inlineStr">
        <is>
          <t>eofw-prd-sqs-github-dlq</t>
        </is>
      </c>
      <c r="C8" s="37" t="inlineStr">
        <is>
          <t>eofw-dev-sqs-github-dlq</t>
        </is>
      </c>
      <c r="D8" s="37" t="inlineStr">
        <is>
          <t>eofw-prd-sqs-github-dlq</t>
        </is>
      </c>
      <c r="E8" s="37" t="inlineStr">
        <is>
          <t>SQS FIFO DLQ name for failed GitHub push messages after retry exhaustion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SQS queue name ending in .fifo</t>
        </is>
      </c>
      <c r="I8" s="38" t="inlineStr">
        <is>
          <t>Confidential</t>
        </is>
      </c>
      <c r="J8" s="37" t="inlineStr">
        <is>
          <t>Integration Team</t>
        </is>
      </c>
      <c r="K8" s="37" t="inlineStr">
        <is>
          <t>integration.github.push_retry_count</t>
        </is>
      </c>
      <c r="L8" s="37" t="inlineStr"/>
      <c r="M8" s="38" t="inlineStr">
        <is>
          <t>2025-06-01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operations.backup_enabled</t>
        </is>
      </c>
      <c r="B3" s="39" t="inlineStr">
        <is>
          <t>true</t>
        </is>
      </c>
      <c r="C3" s="39" t="inlineStr">
        <is>
          <t>true</t>
        </is>
      </c>
      <c r="D3" s="39" t="inlineStr">
        <is>
          <t>true</t>
        </is>
      </c>
      <c r="E3" s="39" t="inlineStr">
        <is>
          <t>Enable automated DynamoDB PITR and S3 versioning backups across all environments</t>
        </is>
      </c>
      <c r="F3" s="40" t="inlineStr">
        <is>
          <t>Yes</t>
        </is>
      </c>
      <c r="G3" s="40" t="inlineStr">
        <is>
          <t>Boolean</t>
        </is>
      </c>
      <c r="H3" s="39" t="inlineStr">
        <is>
          <t>true | false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database.pitr_enabled</t>
        </is>
      </c>
      <c r="L3" s="39" t="inlineStr"/>
      <c r="M3" s="40" t="inlineStr">
        <is>
          <t>2025-06-01</t>
        </is>
      </c>
    </row>
    <row r="4" ht="26" customHeight="1">
      <c r="A4" s="43" t="inlineStr">
        <is>
          <t>operations.rto_hours</t>
        </is>
      </c>
      <c r="B4" s="37" t="inlineStr">
        <is>
          <t>4</t>
        </is>
      </c>
      <c r="C4" s="37" t="inlineStr">
        <is>
          <t>4</t>
        </is>
      </c>
      <c r="D4" s="37" t="inlineStr">
        <is>
          <t>4</t>
        </is>
      </c>
      <c r="E4" s="37" t="inlineStr">
        <is>
          <t>Recovery Time Objective in hours; validated by DynamoDB PITR restore test in Phase 3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1-72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database.pitr_enabled</t>
        </is>
      </c>
      <c r="L4" s="37" t="inlineStr">
        <is>
          <t>PITR restore test performed in staging during Phase 3 to validate this target</t>
        </is>
      </c>
      <c r="M4" s="38" t="inlineStr">
        <is>
          <t>2025-06-01</t>
        </is>
      </c>
    </row>
    <row r="5" ht="26" customHeight="1">
      <c r="A5" s="42" t="inlineStr">
        <is>
          <t>operations.rpo_hours</t>
        </is>
      </c>
      <c r="B5" s="39" t="inlineStr">
        <is>
          <t>1</t>
        </is>
      </c>
      <c r="C5" s="39" t="inlineStr">
        <is>
          <t>1</t>
        </is>
      </c>
      <c r="D5" s="39" t="inlineStr">
        <is>
          <t>1</t>
        </is>
      </c>
      <c r="E5" s="39" t="inlineStr">
        <is>
          <t>Recovery Point Objective in hours; met by DynamoDB PITR continuous backup per SOW DR design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1-24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database.pitr_enabled</t>
        </is>
      </c>
      <c r="L5" s="39" t="inlineStr"/>
      <c r="M5" s="40" t="inlineStr">
        <is>
          <t>2025-06-01</t>
        </is>
      </c>
    </row>
    <row r="6" ht="26" customHeight="1">
      <c r="A6" s="43" t="inlineStr">
        <is>
          <t>operations.scaling_min_solutions_monthly</t>
        </is>
      </c>
      <c r="B6" s="37" t="inlineStr">
        <is>
          <t>50</t>
        </is>
      </c>
      <c r="C6" s="37" t="inlineStr">
        <is>
          <t>10</t>
        </is>
      </c>
      <c r="D6" s="37" t="inlineStr">
        <is>
          <t>50</t>
        </is>
      </c>
      <c r="E6" s="37" t="inlineStr">
        <is>
          <t>Minimum monthly solution volume sizing baseline used for infrastructure cost model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1-10000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bedrock.cost_per_solution_target_usd</t>
        </is>
      </c>
      <c r="L6" s="37" t="inlineStr">
        <is>
          <t>PoC baseline is 50 solutions/month; load test targets 200 solutions/month in Phase 3</t>
        </is>
      </c>
      <c r="M6" s="38" t="inlineStr">
        <is>
          <t>2025-06-01</t>
        </is>
      </c>
    </row>
    <row r="7" ht="26" customHeight="1">
      <c r="A7" s="42" t="inlineStr">
        <is>
          <t>operations.scaling_max_solutions_monthly</t>
        </is>
      </c>
      <c r="B7" s="39" t="inlineStr">
        <is>
          <t>1000</t>
        </is>
      </c>
      <c r="C7" s="39" t="inlineStr">
        <is>
          <t>100</t>
        </is>
      </c>
      <c r="D7" s="39" t="inlineStr">
        <is>
          <t>1000</t>
        </is>
      </c>
      <c r="E7" s="39" t="inlineStr">
        <is>
          <t>Global quota cap defining maximum monthly platform throughput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1-100000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database.quota_global_monthly</t>
        </is>
      </c>
      <c r="L7" s="39" t="inlineStr">
        <is>
          <t>Matches database.quota_global_monthly; increase requires both config and DynamoDB change</t>
        </is>
      </c>
      <c r="M7" s="40" t="inlineStr">
        <is>
          <t>2025-06-01</t>
        </is>
      </c>
    </row>
    <row r="8" ht="26" customHeight="1">
      <c r="A8" s="43" t="inlineStr">
        <is>
          <t>operations.hypercare_duration_weeks</t>
        </is>
      </c>
      <c r="B8" s="37" t="inlineStr">
        <is>
          <t>4</t>
        </is>
      </c>
      <c r="C8" s="37" t="inlineStr">
        <is>
          <t>0</t>
        </is>
      </c>
      <c r="D8" s="37" t="inlineStr">
        <is>
          <t>4</t>
        </is>
      </c>
      <c r="E8" s="37" t="inlineStr">
        <is>
          <t>Post-go-live hypercare support period duration in weeks per SOW Handover section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1-52</t>
        </is>
      </c>
      <c r="I8" s="38" t="inlineStr">
        <is>
          <t>Public</t>
        </is>
      </c>
      <c r="J8" s="37" t="inlineStr">
        <is>
          <t>Operations</t>
        </is>
      </c>
      <c r="K8" s="37" t="inlineStr"/>
      <c r="L8" s="37" t="inlineStr">
        <is>
          <t>Weeks 13-16; P1 2-hour / P2 4-hour / P3 next-business-day response times</t>
        </is>
      </c>
      <c r="M8" s="38" t="inlineStr">
        <is>
          <t>2025-06-01</t>
        </is>
      </c>
    </row>
    <row r="9" ht="26" customHeight="1">
      <c r="A9" s="42" t="inlineStr">
        <is>
          <t>operations.cicd_pipeline_tool</t>
        </is>
      </c>
      <c r="B9" s="39" t="inlineStr">
        <is>
          <t>github-actions</t>
        </is>
      </c>
      <c r="C9" s="39" t="inlineStr">
        <is>
          <t>github-actions</t>
        </is>
      </c>
      <c r="D9" s="39" t="inlineStr">
        <is>
          <t>github-actions</t>
        </is>
      </c>
      <c r="E9" s="39" t="inlineStr">
        <is>
          <t>CI/CD pipeline tool for Docker build / ECR push / Lambda deploy / terraform validate gate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github-actions | codepipeline</t>
        </is>
      </c>
      <c r="I9" s="40" t="inlineStr">
        <is>
          <t>Public</t>
        </is>
      </c>
      <c r="J9" s="39" t="inlineStr">
        <is>
          <t>DevOps</t>
        </is>
      </c>
      <c r="K9" s="39" t="inlineStr"/>
      <c r="L9" s="39" t="inlineStr">
        <is>
          <t>AWS CodePipeline is fallback per SOW; GitHub Actions is primary</t>
        </is>
      </c>
      <c r="M9" s="40" t="inlineStr">
        <is>
          <t>2025-06-01</t>
        </is>
      </c>
    </row>
    <row r="10" ht="26" customHeight="1">
      <c r="A10" s="43" t="inlineStr">
        <is>
          <t>operations.terraform_validate_gate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Enforce terraform validate syntax gate in CI/CD pipeline before terraform apply</t>
        </is>
      </c>
      <c r="F10" s="38" t="inlineStr">
        <is>
          <t>Yes</t>
        </is>
      </c>
      <c r="G10" s="38" t="inlineStr">
        <is>
          <t>Boolean</t>
        </is>
      </c>
      <c r="H10" s="37" t="inlineStr">
        <is>
          <t>true | false</t>
        </is>
      </c>
      <c r="I10" s="38" t="inlineStr">
        <is>
          <t>Public</t>
        </is>
      </c>
      <c r="J10" s="37" t="inlineStr">
        <is>
          <t>DevOps</t>
        </is>
      </c>
      <c r="K10" s="37" t="inlineStr">
        <is>
          <t>operations.cicd_pipeline_tool</t>
        </is>
      </c>
      <c r="L10" s="37" t="inlineStr">
        <is>
          <t>IaC-only changes enforced; no manual console changes permitted in production</t>
        </is>
      </c>
      <c r="M10" s="38" t="inlineStr">
        <is>
          <t>2025-06-01</t>
        </is>
      </c>
    </row>
    <row r="11" ht="26" customHeight="1">
      <c r="A11" s="42" t="inlineStr">
        <is>
          <t>operations.peer_review_required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Require peer review of terraform plan output before terraform apply per SOW governance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 | false</t>
        </is>
      </c>
      <c r="I11" s="40" t="inlineStr">
        <is>
          <t>Public</t>
        </is>
      </c>
      <c r="J11" s="39" t="inlineStr">
        <is>
          <t>DevOps</t>
        </is>
      </c>
      <c r="K11" s="39" t="inlineStr">
        <is>
          <t>operations.terraform_validate_gate</t>
        </is>
      </c>
      <c r="L11" s="39" t="inlineStr">
        <is>
          <t>SOC 2 CC8.1 change management control</t>
        </is>
      </c>
      <c r="M11" s="40" t="inlineStr">
        <is>
          <t>2025-06-01</t>
        </is>
      </c>
    </row>
    <row r="12" ht="26" customHeight="1">
      <c r="A12" s="43" t="inlineStr">
        <is>
          <t>operations.availability_target_pct</t>
        </is>
      </c>
      <c r="B12" s="37" t="inlineStr">
        <is>
          <t>99.5</t>
        </is>
      </c>
      <c r="C12" s="37" t="inlineStr">
        <is>
          <t>99.5</t>
        </is>
      </c>
      <c r="D12" s="37" t="inlineStr">
        <is>
          <t>99.5</t>
        </is>
      </c>
      <c r="E12" s="37" t="inlineStr">
        <is>
          <t>Monthly API availability target as a percentage per SOW success metrics</t>
        </is>
      </c>
      <c r="F12" s="38" t="inlineStr">
        <is>
          <t>Yes</t>
        </is>
      </c>
      <c r="G12" s="38" t="inlineStr">
        <is>
          <t>Number</t>
        </is>
      </c>
      <c r="H12" s="37" t="inlineStr">
        <is>
          <t>90.0-100.0</t>
        </is>
      </c>
      <c r="I12" s="38" t="inlineStr">
        <is>
          <t>Public</t>
        </is>
      </c>
      <c r="J12" s="37" t="inlineStr">
        <is>
          <t>Operations</t>
        </is>
      </c>
      <c r="K12" s="37" t="inlineStr">
        <is>
          <t>monitoring.alarm_lambda_error_rate_pct</t>
        </is>
      </c>
      <c r="L12" s="37" t="inlineStr">
        <is>
          <t>Measured by CloudWatch Lambda error rate alarm across all 11 API routes</t>
        </is>
      </c>
      <c r="M12" s="38" t="inlineStr">
        <is>
          <t>2025-06-01</t>
        </is>
      </c>
    </row>
    <row r="13" ht="26" customHeight="1">
      <c r="A13" s="42" t="inlineStr">
        <is>
          <t>operations.artifact_pass_rate_target_pct</t>
        </is>
      </c>
      <c r="B13" s="39" t="inlineStr">
        <is>
          <t>95</t>
        </is>
      </c>
      <c r="C13" s="39" t="inlineStr">
        <is>
          <t>95</t>
        </is>
      </c>
      <c r="D13" s="39" t="inlineStr">
        <is>
          <t>95</t>
        </is>
      </c>
      <c r="E13" s="39" t="inlineStr">
        <is>
          <t>Minimum artifact validation first-attempt pass rate across all 12 artifact types per SOW</t>
        </is>
      </c>
      <c r="F13" s="40" t="inlineStr">
        <is>
          <t>Yes</t>
        </is>
      </c>
      <c r="G13" s="40" t="inlineStr">
        <is>
          <t>Number</t>
        </is>
      </c>
      <c r="H13" s="39" t="inlineStr">
        <is>
          <t>50.0-100.0</t>
        </is>
      </c>
      <c r="I13" s="40" t="inlineStr">
        <is>
          <t>Public</t>
        </is>
      </c>
      <c r="J13" s="39" t="inlineStr">
        <is>
          <t>Operations</t>
        </is>
      </c>
      <c r="K13" s="39" t="inlineStr">
        <is>
          <t>application.max_retries_per_artifact</t>
        </is>
      </c>
      <c r="L13" s="39" t="inlineStr">
        <is>
          <t>EO Validator DynamoDB metrics track this KPI; Phase 3 acceptance gate</t>
        </is>
      </c>
      <c r="M13" s="40" t="inlineStr">
        <is>
          <t>2025-06-01</t>
        </is>
      </c>
    </row>
    <row r="14" ht="26" customHeight="1">
      <c r="A14" s="43" t="inlineStr">
        <is>
          <t>operations.quota_bypass_incidents_target</t>
        </is>
      </c>
      <c r="B14" s="37" t="inlineStr">
        <is>
          <t>0</t>
        </is>
      </c>
      <c r="C14" s="37" t="inlineStr">
        <is>
          <t>0</t>
        </is>
      </c>
      <c r="D14" s="37" t="inlineStr">
        <is>
          <t>0</t>
        </is>
      </c>
      <c r="E14" s="37" t="inlineStr">
        <is>
          <t>Zero quota bypass incidents permitted; enforced via atomic DynamoDB conditional writes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0-0</t>
        </is>
      </c>
      <c r="I14" s="38" t="inlineStr">
        <is>
          <t>Public</t>
        </is>
      </c>
      <c r="J14" s="37" t="inlineStr">
        <is>
          <t>Security Team</t>
        </is>
      </c>
      <c r="K14" s="37" t="inlineStr">
        <is>
          <t>database.quotas_table_name</t>
        </is>
      </c>
      <c r="L14" s="37" t="inlineStr">
        <is>
          <t>Validated in Phase 3 security testing via concurrent batch request scenarios</t>
        </is>
      </c>
      <c r="M14" s="38" t="inlineStr">
        <is>
          <t>2025-06-01</t>
        </is>
      </c>
    </row>
  </sheetData>
  <autoFilter ref="A2:M1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2026-06-05T18:54:16Z</dcterms:modified>
  <cp:lastModifiedBy>Kishan Siram</cp:lastModifiedBy>
</cp:coreProperties>
</file>