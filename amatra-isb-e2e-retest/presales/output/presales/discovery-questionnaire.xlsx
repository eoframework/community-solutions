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Tmpbl4V3_Rd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66</v>
      </c>
      <c r="B2" s="35">
        <f>SUMPRODUCT(--(LEN(F5:F70)&gt;0))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IF('Technical Requirements'!A2="","",'Technical Requirements'!A2)</f>
        <v/>
      </c>
      <c r="B16" s="40">
        <f>IF('Technical Requirements'!B2="","",'Technical Requirements'!B2)</f>
        <v/>
      </c>
      <c r="C16" s="40">
        <f>IF('Technical Requirements'!C2="","",'Technical Requirements'!C2)</f>
        <v/>
      </c>
      <c r="D16" s="40">
        <f>IF('Technical Requirements'!D2="","",'Technical Requirements'!D2)</f>
        <v/>
      </c>
      <c r="E16" s="40">
        <f>IF('Technical Requirements'!E2="","",'Technical Requirements'!E2)</f>
        <v/>
      </c>
      <c r="F16" s="39">
        <f>IF('Technical Requirements'!F2="","",'Technical Requirements'!F2)</f>
        <v/>
      </c>
      <c r="G16" s="40">
        <f>IF('Technical Requirements'!G2="","",'Technical Requirements'!G2)</f>
        <v/>
      </c>
    </row>
    <row r="17">
      <c r="A17" s="38">
        <f>IF('Technical Requirements'!A3="","",'Technical Requirements'!A3)</f>
        <v/>
      </c>
      <c r="B17" s="38">
        <f>IF('Technical Requirements'!B3="","",'Technical Requirements'!B3)</f>
        <v/>
      </c>
      <c r="C17" s="38">
        <f>IF('Technical Requirements'!C3="","",'Technical Requirements'!C3)</f>
        <v/>
      </c>
      <c r="D17" s="38">
        <f>IF('Technical Requirements'!D3="","",'Technical Requirements'!D3)</f>
        <v/>
      </c>
      <c r="E17" s="38">
        <f>IF('Technical Requirements'!E3="","",'Technical Requirements'!E3)</f>
        <v/>
      </c>
      <c r="F17" s="39">
        <f>IF('Technical Requirements'!F3="","",'Technical Requirements'!F3)</f>
        <v/>
      </c>
      <c r="G17" s="38">
        <f>IF('Technical Requirements'!G3="","",'Technical Requirements'!G3)</f>
        <v/>
      </c>
    </row>
    <row r="18">
      <c r="A18" s="40">
        <f>IF('Technical Requirements'!A4="","",'Technical Requirements'!A4)</f>
        <v/>
      </c>
      <c r="B18" s="40">
        <f>IF('Technical Requirements'!B4="","",'Technical Requirements'!B4)</f>
        <v/>
      </c>
      <c r="C18" s="40">
        <f>IF('Technical Requirements'!C4="","",'Technical Requirements'!C4)</f>
        <v/>
      </c>
      <c r="D18" s="40">
        <f>IF('Technical Requirements'!D4="","",'Technical Requirements'!D4)</f>
        <v/>
      </c>
      <c r="E18" s="40">
        <f>IF('Technical Requirements'!E4="","",'Technical Requirements'!E4)</f>
        <v/>
      </c>
      <c r="F18" s="39">
        <f>IF('Technical Requirements'!F4="","",'Technical Requirements'!F4)</f>
        <v/>
      </c>
      <c r="G18" s="40">
        <f>IF('Technical Requirements'!G4="","",'Technical Requirements'!G4)</f>
        <v/>
      </c>
    </row>
    <row r="19">
      <c r="A19" s="38">
        <f>IF('Technical Requirements'!A5="","",'Technical Requirements'!A5)</f>
        <v/>
      </c>
      <c r="B19" s="38">
        <f>IF('Technical Requirements'!B5="","",'Technical Requirements'!B5)</f>
        <v/>
      </c>
      <c r="C19" s="38">
        <f>IF('Technical Requirements'!C5="","",'Technical Requirements'!C5)</f>
        <v/>
      </c>
      <c r="D19" s="38">
        <f>IF('Technical Requirements'!D5="","",'Technical Requirements'!D5)</f>
        <v/>
      </c>
      <c r="E19" s="38">
        <f>IF('Technical Requirements'!E5="","",'Technical Requirements'!E5)</f>
        <v/>
      </c>
      <c r="F19" s="39">
        <f>IF('Technical Requirements'!F5="","",'Technical Requirements'!F5)</f>
        <v/>
      </c>
      <c r="G19" s="38">
        <f>IF('Technical Requirements'!G5="","",'Technical Requirements'!G5)</f>
        <v/>
      </c>
    </row>
    <row r="20">
      <c r="A20" s="40">
        <f>IF('Technical Requirements'!A6="","",'Technical Requirements'!A6)</f>
        <v/>
      </c>
      <c r="B20" s="40">
        <f>IF('Technical Requirements'!B6="","",'Technical Requirements'!B6)</f>
        <v/>
      </c>
      <c r="C20" s="40">
        <f>IF('Technical Requirements'!C6="","",'Technical Requirements'!C6)</f>
        <v/>
      </c>
      <c r="D20" s="40">
        <f>IF('Technical Requirements'!D6="","",'Technical Requirements'!D6)</f>
        <v/>
      </c>
      <c r="E20" s="40">
        <f>IF('Technical Requirements'!E6="","",'Technical Requirements'!E6)</f>
        <v/>
      </c>
      <c r="F20" s="39">
        <f>IF('Technical Requirements'!F6="","",'Technical Requirements'!F6)</f>
        <v/>
      </c>
      <c r="G20" s="40">
        <f>IF('Technical Requirements'!G6="","",'Technical Requirements'!G6)</f>
        <v/>
      </c>
    </row>
    <row r="21">
      <c r="A21" s="38">
        <f>IF('Technical Requirements'!A7="","",'Technical Requirements'!A7)</f>
        <v/>
      </c>
      <c r="B21" s="38">
        <f>IF('Technical Requirements'!B7="","",'Technical Requirements'!B7)</f>
        <v/>
      </c>
      <c r="C21" s="38">
        <f>IF('Technical Requirements'!C7="","",'Technical Requirements'!C7)</f>
        <v/>
      </c>
      <c r="D21" s="38">
        <f>IF('Technical Requirements'!D7="","",'Technical Requirements'!D7)</f>
        <v/>
      </c>
      <c r="E21" s="38">
        <f>IF('Technical Requirements'!E7="","",'Technical Requirements'!E7)</f>
        <v/>
      </c>
      <c r="F21" s="39">
        <f>IF('Technical Requirements'!F7="","",'Technical Requirements'!F7)</f>
        <v/>
      </c>
      <c r="G21" s="38">
        <f>IF('Technical Requirements'!G7="","",'Technical Requirements'!G7)</f>
        <v/>
      </c>
    </row>
    <row r="22">
      <c r="A22" s="40">
        <f>IF('Technical Requirements'!A8="","",'Technical Requirements'!A8)</f>
        <v/>
      </c>
      <c r="B22" s="40">
        <f>IF('Technical Requirements'!B8="","",'Technical Requirements'!B8)</f>
        <v/>
      </c>
      <c r="C22" s="40">
        <f>IF('Technical Requirements'!C8="","",'Technical Requirements'!C8)</f>
        <v/>
      </c>
      <c r="D22" s="40">
        <f>IF('Technical Requirements'!D8="","",'Technical Requirements'!D8)</f>
        <v/>
      </c>
      <c r="E22" s="40">
        <f>IF('Technical Requirements'!E8="","",'Technical Requirements'!E8)</f>
        <v/>
      </c>
      <c r="F22" s="39">
        <f>IF('Technical Requirements'!F8="","",'Technical Requirements'!F8)</f>
        <v/>
      </c>
      <c r="G22" s="40">
        <f>IF('Technical Requirements'!G8="","",'Technical Requirements'!G8)</f>
        <v/>
      </c>
    </row>
    <row r="23">
      <c r="A23" s="38">
        <f>IF('Technical Requirements'!A9="","",'Technical Requirements'!A9)</f>
        <v/>
      </c>
      <c r="B23" s="38">
        <f>IF('Technical Requirements'!B9="","",'Technical Requirements'!B9)</f>
        <v/>
      </c>
      <c r="C23" s="38">
        <f>IF('Technical Requirements'!C9="","",'Technical Requirements'!C9)</f>
        <v/>
      </c>
      <c r="D23" s="38">
        <f>IF('Technical Requirements'!D9="","",'Technical Requirements'!D9)</f>
        <v/>
      </c>
      <c r="E23" s="38">
        <f>IF('Technical Requirements'!E9="","",'Technical Requirements'!E9)</f>
        <v/>
      </c>
      <c r="F23" s="39">
        <f>IF('Technical Requirements'!F9="","",'Technical Requirements'!F9)</f>
        <v/>
      </c>
      <c r="G23" s="38">
        <f>IF('Technical Requirements'!G9="","",'Technical Requirements'!G9)</f>
        <v/>
      </c>
    </row>
    <row r="24">
      <c r="A24" s="40">
        <f>IF('Technical Requirements'!A10="","",'Technical Requirements'!A10)</f>
        <v/>
      </c>
      <c r="B24" s="40">
        <f>IF('Technical Requirements'!B10="","",'Technical Requirements'!B10)</f>
        <v/>
      </c>
      <c r="C24" s="40">
        <f>IF('Technical Requirements'!C10="","",'Technical Requirements'!C10)</f>
        <v/>
      </c>
      <c r="D24" s="40">
        <f>IF('Technical Requirements'!D10="","",'Technical Requirements'!D10)</f>
        <v/>
      </c>
      <c r="E24" s="40">
        <f>IF('Technical Requirements'!E10="","",'Technical Requirements'!E10)</f>
        <v/>
      </c>
      <c r="F24" s="39">
        <f>IF('Technical Requirements'!F10="","",'Technical Requirements'!F10)</f>
        <v/>
      </c>
      <c r="G24" s="40">
        <f>IF('Technical Requirements'!G10="","",'Technical Requirements'!G10)</f>
        <v/>
      </c>
    </row>
    <row r="25">
      <c r="A25" s="38">
        <f>IF('Technical Requirements'!A11="","",'Technical Requirements'!A11)</f>
        <v/>
      </c>
      <c r="B25" s="38">
        <f>IF('Technical Requirements'!B11="","",'Technical Requirements'!B11)</f>
        <v/>
      </c>
      <c r="C25" s="38">
        <f>IF('Technical Requirements'!C11="","",'Technical Requirements'!C11)</f>
        <v/>
      </c>
      <c r="D25" s="38">
        <f>IF('Technical Requirements'!D11="","",'Technical Requirements'!D11)</f>
        <v/>
      </c>
      <c r="E25" s="38">
        <f>IF('Technical Requirements'!E11="","",'Technical Requirements'!E11)</f>
        <v/>
      </c>
      <c r="F25" s="39">
        <f>IF('Technical Requirements'!F11="","",'Technical Requirements'!F11)</f>
        <v/>
      </c>
      <c r="G25" s="38">
        <f>IF('Technical Requirements'!G11="","",'Technical Requirements'!G11)</f>
        <v/>
      </c>
    </row>
    <row r="26">
      <c r="A26" s="40">
        <f>IF('Technical Requirements'!A12="","",'Technical Requirements'!A12)</f>
        <v/>
      </c>
      <c r="B26" s="40">
        <f>IF('Technical Requirements'!B12="","",'Technical Requirements'!B12)</f>
        <v/>
      </c>
      <c r="C26" s="40">
        <f>IF('Technical Requirements'!C12="","",'Technical Requirements'!C12)</f>
        <v/>
      </c>
      <c r="D26" s="40">
        <f>IF('Technical Requirements'!D12="","",'Technical Requirements'!D12)</f>
        <v/>
      </c>
      <c r="E26" s="40">
        <f>IF('Technical Requirements'!E12="","",'Technical Requirements'!E12)</f>
        <v/>
      </c>
      <c r="F26" s="39">
        <f>IF('Technical Requirements'!F12="","",'Technical Requirements'!F12)</f>
        <v/>
      </c>
      <c r="G26" s="40">
        <f>IF('Technical Requirements'!G12="","",'Technical Requirements'!G12)</f>
        <v/>
      </c>
    </row>
    <row r="27">
      <c r="A27" s="38">
        <f>IF('Technical Requirements'!A13="","",'Technical Requirements'!A13)</f>
        <v/>
      </c>
      <c r="B27" s="38">
        <f>IF('Technical Requirements'!B13="","",'Technical Requirements'!B13)</f>
        <v/>
      </c>
      <c r="C27" s="38">
        <f>IF('Technical Requirements'!C13="","",'Technical Requirements'!C13)</f>
        <v/>
      </c>
      <c r="D27" s="38">
        <f>IF('Technical Requirements'!D13="","",'Technical Requirements'!D13)</f>
        <v/>
      </c>
      <c r="E27" s="38">
        <f>IF('Technical Requirements'!E13="","",'Technical Requirements'!E13)</f>
        <v/>
      </c>
      <c r="F27" s="39">
        <f>IF('Technical Requirements'!F13="","",'Technical Requirements'!F13)</f>
        <v/>
      </c>
      <c r="G27" s="38">
        <f>IF('Technical Requirements'!G13="","",'Technical Requirements'!G13)</f>
        <v/>
      </c>
    </row>
    <row r="28">
      <c r="A28" s="40">
        <f>IF('Technical Requirements'!A14="","",'Technical Requirements'!A14)</f>
        <v/>
      </c>
      <c r="B28" s="40">
        <f>IF('Technical Requirements'!B14="","",'Technical Requirements'!B14)</f>
        <v/>
      </c>
      <c r="C28" s="40">
        <f>IF('Technical Requirements'!C14="","",'Technical Requirements'!C14)</f>
        <v/>
      </c>
      <c r="D28" s="40">
        <f>IF('Technical Requirements'!D14="","",'Technical Requirements'!D14)</f>
        <v/>
      </c>
      <c r="E28" s="40">
        <f>IF('Technical Requirements'!E14="","",'Technical Requirements'!E14)</f>
        <v/>
      </c>
      <c r="F28" s="39">
        <f>IF('Technical Requirements'!F14="","",'Technical Requirements'!F14)</f>
        <v/>
      </c>
      <c r="G28" s="40">
        <f>IF('Technical Requirements'!G14="","",'Technical Requirements'!G14)</f>
        <v/>
      </c>
    </row>
    <row r="29">
      <c r="A29" s="38">
        <f>IF('Technical Requirements'!A15="","",'Technical Requirements'!A15)</f>
        <v/>
      </c>
      <c r="B29" s="38">
        <f>IF('Technical Requirements'!B15="","",'Technical Requirements'!B15)</f>
        <v/>
      </c>
      <c r="C29" s="38">
        <f>IF('Technical Requirements'!C15="","",'Technical Requirements'!C15)</f>
        <v/>
      </c>
      <c r="D29" s="38">
        <f>IF('Technical Requirements'!D15="","",'Technical Requirements'!D15)</f>
        <v/>
      </c>
      <c r="E29" s="38">
        <f>IF('Technical Requirements'!E15="","",'Technical Requirements'!E15)</f>
        <v/>
      </c>
      <c r="F29" s="39">
        <f>IF('Technical Requirements'!F15="","",'Technical Requirements'!F15)</f>
        <v/>
      </c>
      <c r="G29" s="38">
        <f>IF('Technical Requirements'!G15="","",'Technical Requirements'!G15)</f>
        <v/>
      </c>
    </row>
    <row r="30">
      <c r="A30" s="40">
        <f>IF('Technical Requirements'!A16="","",'Technical Requirements'!A16)</f>
        <v/>
      </c>
      <c r="B30" s="40">
        <f>IF('Technical Requirements'!B16="","",'Technical Requirements'!B16)</f>
        <v/>
      </c>
      <c r="C30" s="40">
        <f>IF('Technical Requirements'!C16="","",'Technical Requirements'!C16)</f>
        <v/>
      </c>
      <c r="D30" s="40">
        <f>IF('Technical Requirements'!D16="","",'Technical Requirements'!D16)</f>
        <v/>
      </c>
      <c r="E30" s="40">
        <f>IF('Technical Requirements'!E16="","",'Technical Requirements'!E16)</f>
        <v/>
      </c>
      <c r="F30" s="39">
        <f>IF('Technical Requirements'!F16="","",'Technical Requirements'!F16)</f>
        <v/>
      </c>
      <c r="G30" s="40">
        <f>IF('Technical Requirements'!G16="","",'Technical Requirements'!G16)</f>
        <v/>
      </c>
    </row>
    <row r="31">
      <c r="A31" s="38">
        <f>IF('Technical Requirements'!A17="","",'Technical Requirements'!A17)</f>
        <v/>
      </c>
      <c r="B31" s="38">
        <f>IF('Technical Requirements'!B17="","",'Technical Requirements'!B17)</f>
        <v/>
      </c>
      <c r="C31" s="38">
        <f>IF('Technical Requirements'!C17="","",'Technical Requirements'!C17)</f>
        <v/>
      </c>
      <c r="D31" s="38">
        <f>IF('Technical Requirements'!D17="","",'Technical Requirements'!D17)</f>
        <v/>
      </c>
      <c r="E31" s="38">
        <f>IF('Technical Requirements'!E17="","",'Technical Requirements'!E17)</f>
        <v/>
      </c>
      <c r="F31" s="39">
        <f>IF('Technical Requirements'!F17="","",'Technical Requirements'!F17)</f>
        <v/>
      </c>
      <c r="G31" s="38">
        <f>IF('Technical Requirements'!G17="","",'Technical Requirements'!G17)</f>
        <v/>
      </c>
    </row>
    <row r="32">
      <c r="A32" s="40">
        <f>IF('Technical Requirements'!A18="","",'Technical Requirements'!A18)</f>
        <v/>
      </c>
      <c r="B32" s="40">
        <f>IF('Technical Requirements'!B18="","",'Technical Requirements'!B18)</f>
        <v/>
      </c>
      <c r="C32" s="40">
        <f>IF('Technical Requirements'!C18="","",'Technical Requirements'!C18)</f>
        <v/>
      </c>
      <c r="D32" s="40">
        <f>IF('Technical Requirements'!D18="","",'Technical Requirements'!D18)</f>
        <v/>
      </c>
      <c r="E32" s="40">
        <f>IF('Technical Requirements'!E18="","",'Technical Requirements'!E18)</f>
        <v/>
      </c>
      <c r="F32" s="39">
        <f>IF('Technical Requirements'!F18="","",'Technical Requirements'!F18)</f>
        <v/>
      </c>
      <c r="G32" s="40">
        <f>IF('Technical Requirements'!G18="","",'Technical Requirements'!G18)</f>
        <v/>
      </c>
    </row>
    <row r="33">
      <c r="A33" s="38">
        <f>IF('Technical Requirements'!A19="","",'Technical Requirements'!A19)</f>
        <v/>
      </c>
      <c r="B33" s="38">
        <f>IF('Technical Requirements'!B19="","",'Technical Requirements'!B19)</f>
        <v/>
      </c>
      <c r="C33" s="38">
        <f>IF('Technical Requirements'!C19="","",'Technical Requirements'!C19)</f>
        <v/>
      </c>
      <c r="D33" s="38">
        <f>IF('Technical Requirements'!D19="","",'Technical Requirements'!D19)</f>
        <v/>
      </c>
      <c r="E33" s="38">
        <f>IF('Technical Requirements'!E19="","",'Technical Requirements'!E19)</f>
        <v/>
      </c>
      <c r="F33" s="39">
        <f>IF('Technical Requirements'!F19="","",'Technical Requirements'!F19)</f>
        <v/>
      </c>
      <c r="G33" s="38">
        <f>IF('Technical Requirements'!G19="","",'Technical Requirements'!G19)</f>
        <v/>
      </c>
    </row>
    <row r="34">
      <c r="A34" s="40">
        <f>IF('Technical Requirements'!A20="","",'Technical Requirements'!A20)</f>
        <v/>
      </c>
      <c r="B34" s="40">
        <f>IF('Technical Requirements'!B20="","",'Technical Requirements'!B20)</f>
        <v/>
      </c>
      <c r="C34" s="40">
        <f>IF('Technical Requirements'!C20="","",'Technical Requirements'!C20)</f>
        <v/>
      </c>
      <c r="D34" s="40">
        <f>IF('Technical Requirements'!D20="","",'Technical Requirements'!D20)</f>
        <v/>
      </c>
      <c r="E34" s="40">
        <f>IF('Technical Requirements'!E20="","",'Technical Requirements'!E20)</f>
        <v/>
      </c>
      <c r="F34" s="39">
        <f>IF('Technical Requirements'!F20="","",'Technical Requirements'!F20)</f>
        <v/>
      </c>
      <c r="G34" s="40">
        <f>IF('Technical Requirements'!G20="","",'Technical Requirements'!G20)</f>
        <v/>
      </c>
    </row>
    <row r="35">
      <c r="A35" s="38">
        <f>IF('Technical Requirements'!A21="","",'Technical Requirements'!A21)</f>
        <v/>
      </c>
      <c r="B35" s="38">
        <f>IF('Technical Requirements'!B21="","",'Technical Requirements'!B21)</f>
        <v/>
      </c>
      <c r="C35" s="38">
        <f>IF('Technical Requirements'!C21="","",'Technical Requirements'!C21)</f>
        <v/>
      </c>
      <c r="D35" s="38">
        <f>IF('Technical Requirements'!D21="","",'Technical Requirements'!D21)</f>
        <v/>
      </c>
      <c r="E35" s="38">
        <f>IF('Technical Requirements'!E21="","",'Technical Requirements'!E21)</f>
        <v/>
      </c>
      <c r="F35" s="39">
        <f>IF('Technical Requirements'!F21="","",'Technical Requirements'!F21)</f>
        <v/>
      </c>
      <c r="G35" s="38">
        <f>IF('Technical Requirements'!G21="","",'Technical Requirements'!G21)</f>
        <v/>
      </c>
    </row>
    <row r="36">
      <c r="A36" s="40">
        <f>IF('Security &amp; Compliance'!A2="","",'Security &amp; Compliance'!A2)</f>
        <v/>
      </c>
      <c r="B36" s="40">
        <f>IF('Security &amp; Compliance'!B2="","",'Security &amp; Compliance'!B2)</f>
        <v/>
      </c>
      <c r="C36" s="40">
        <f>IF('Security &amp; Compliance'!C2="","",'Security &amp; Compliance'!C2)</f>
        <v/>
      </c>
      <c r="D36" s="40">
        <f>IF('Security &amp; Compliance'!D2="","",'Security &amp; Compliance'!D2)</f>
        <v/>
      </c>
      <c r="E36" s="40">
        <f>IF('Security &amp; Compliance'!E2="","",'Security &amp; Compliance'!E2)</f>
        <v/>
      </c>
      <c r="F36" s="39">
        <f>IF('Security &amp; Compliance'!F2="","",'Security &amp; Compliance'!F2)</f>
        <v/>
      </c>
      <c r="G36" s="40">
        <f>IF('Security &amp; Compliance'!G2="","",'Security &amp; Compliance'!G2)</f>
        <v/>
      </c>
    </row>
    <row r="37">
      <c r="A37" s="38">
        <f>IF('Security &amp; Compliance'!A3="","",'Security &amp; Compliance'!A3)</f>
        <v/>
      </c>
      <c r="B37" s="38">
        <f>IF('Security &amp; Compliance'!B3="","",'Security &amp; Compliance'!B3)</f>
        <v/>
      </c>
      <c r="C37" s="38">
        <f>IF('Security &amp; Compliance'!C3="","",'Security &amp; Compliance'!C3)</f>
        <v/>
      </c>
      <c r="D37" s="38">
        <f>IF('Security &amp; Compliance'!D3="","",'Security &amp; Compliance'!D3)</f>
        <v/>
      </c>
      <c r="E37" s="38">
        <f>IF('Security &amp; Compliance'!E3="","",'Security &amp; Compliance'!E3)</f>
        <v/>
      </c>
      <c r="F37" s="39">
        <f>IF('Security &amp; Compliance'!F3="","",'Security &amp; Compliance'!F3)</f>
        <v/>
      </c>
      <c r="G37" s="38">
        <f>IF('Security &amp; Compliance'!G3="","",'Security &amp; Compliance'!G3)</f>
        <v/>
      </c>
    </row>
    <row r="38">
      <c r="A38" s="40">
        <f>IF('Security &amp; Compliance'!A4="","",'Security &amp; Compliance'!A4)</f>
        <v/>
      </c>
      <c r="B38" s="40">
        <f>IF('Security &amp; Compliance'!B4="","",'Security &amp; Compliance'!B4)</f>
        <v/>
      </c>
      <c r="C38" s="40">
        <f>IF('Security &amp; Compliance'!C4="","",'Security &amp; Compliance'!C4)</f>
        <v/>
      </c>
      <c r="D38" s="40">
        <f>IF('Security &amp; Compliance'!D4="","",'Security &amp; Compliance'!D4)</f>
        <v/>
      </c>
      <c r="E38" s="40">
        <f>IF('Security &amp; Compliance'!E4="","",'Security &amp; Compliance'!E4)</f>
        <v/>
      </c>
      <c r="F38" s="39">
        <f>IF('Security &amp; Compliance'!F4="","",'Security &amp; Compliance'!F4)</f>
        <v/>
      </c>
      <c r="G38" s="40">
        <f>IF('Security &amp; Compliance'!G4="","",'Security &amp; Compliance'!G4)</f>
        <v/>
      </c>
    </row>
    <row r="39">
      <c r="A39" s="38">
        <f>IF('Security &amp; Compliance'!A5="","",'Security &amp; Compliance'!A5)</f>
        <v/>
      </c>
      <c r="B39" s="38">
        <f>IF('Security &amp; Compliance'!B5="","",'Security &amp; Compliance'!B5)</f>
        <v/>
      </c>
      <c r="C39" s="38">
        <f>IF('Security &amp; Compliance'!C5="","",'Security &amp; Compliance'!C5)</f>
        <v/>
      </c>
      <c r="D39" s="38">
        <f>IF('Security &amp; Compliance'!D5="","",'Security &amp; Compliance'!D5)</f>
        <v/>
      </c>
      <c r="E39" s="38">
        <f>IF('Security &amp; Compliance'!E5="","",'Security &amp; Compliance'!E5)</f>
        <v/>
      </c>
      <c r="F39" s="39">
        <f>IF('Security &amp; Compliance'!F5="","",'Security &amp; Compliance'!F5)</f>
        <v/>
      </c>
      <c r="G39" s="38">
        <f>IF('Security &amp; Compliance'!G5="","",'Security &amp; Compliance'!G5)</f>
        <v/>
      </c>
    </row>
    <row r="40">
      <c r="A40" s="40">
        <f>IF('Security &amp; Compliance'!A6="","",'Security &amp; Compliance'!A6)</f>
        <v/>
      </c>
      <c r="B40" s="40">
        <f>IF('Security &amp; Compliance'!B6="","",'Security &amp; Compliance'!B6)</f>
        <v/>
      </c>
      <c r="C40" s="40">
        <f>IF('Security &amp; Compliance'!C6="","",'Security &amp; Compliance'!C6)</f>
        <v/>
      </c>
      <c r="D40" s="40">
        <f>IF('Security &amp; Compliance'!D6="","",'Security &amp; Compliance'!D6)</f>
        <v/>
      </c>
      <c r="E40" s="40">
        <f>IF('Security &amp; Compliance'!E6="","",'Security &amp; Compliance'!E6)</f>
        <v/>
      </c>
      <c r="F40" s="39">
        <f>IF('Security &amp; Compliance'!F6="","",'Security &amp; Compliance'!F6)</f>
        <v/>
      </c>
      <c r="G40" s="40">
        <f>IF('Security &amp; Compliance'!G6="","",'Security &amp; Compliance'!G6)</f>
        <v/>
      </c>
    </row>
    <row r="41">
      <c r="A41" s="38">
        <f>IF('Security &amp; Compliance'!A7="","",'Security &amp; Compliance'!A7)</f>
        <v/>
      </c>
      <c r="B41" s="38">
        <f>IF('Security &amp; Compliance'!B7="","",'Security &amp; Compliance'!B7)</f>
        <v/>
      </c>
      <c r="C41" s="38">
        <f>IF('Security &amp; Compliance'!C7="","",'Security &amp; Compliance'!C7)</f>
        <v/>
      </c>
      <c r="D41" s="38">
        <f>IF('Security &amp; Compliance'!D7="","",'Security &amp; Compliance'!D7)</f>
        <v/>
      </c>
      <c r="E41" s="38">
        <f>IF('Security &amp; Compliance'!E7="","",'Security &amp; Compliance'!E7)</f>
        <v/>
      </c>
      <c r="F41" s="39">
        <f>IF('Security &amp; Compliance'!F7="","",'Security &amp; Compliance'!F7)</f>
        <v/>
      </c>
      <c r="G41" s="38">
        <f>IF('Security &amp; Compliance'!G7="","",'Security &amp; Compliance'!G7)</f>
        <v/>
      </c>
    </row>
    <row r="42">
      <c r="A42" s="40">
        <f>IF('Security &amp; Compliance'!A8="","",'Security &amp; Compliance'!A8)</f>
        <v/>
      </c>
      <c r="B42" s="40">
        <f>IF('Security &amp; Compliance'!B8="","",'Security &amp; Compliance'!B8)</f>
        <v/>
      </c>
      <c r="C42" s="40">
        <f>IF('Security &amp; Compliance'!C8="","",'Security &amp; Compliance'!C8)</f>
        <v/>
      </c>
      <c r="D42" s="40">
        <f>IF('Security &amp; Compliance'!D8="","",'Security &amp; Compliance'!D8)</f>
        <v/>
      </c>
      <c r="E42" s="40">
        <f>IF('Security &amp; Compliance'!E8="","",'Security &amp; Compliance'!E8)</f>
        <v/>
      </c>
      <c r="F42" s="39">
        <f>IF('Security &amp; Compliance'!F8="","",'Security &amp; Compliance'!F8)</f>
        <v/>
      </c>
      <c r="G42" s="40">
        <f>IF('Security &amp; Compliance'!G8="","",'Security &amp; Compliance'!G8)</f>
        <v/>
      </c>
    </row>
    <row r="43">
      <c r="A43" s="38">
        <f>IF('Security &amp; Compliance'!A9="","",'Security &amp; Compliance'!A9)</f>
        <v/>
      </c>
      <c r="B43" s="38">
        <f>IF('Security &amp; Compliance'!B9="","",'Security &amp; Compliance'!B9)</f>
        <v/>
      </c>
      <c r="C43" s="38">
        <f>IF('Security &amp; Compliance'!C9="","",'Security &amp; Compliance'!C9)</f>
        <v/>
      </c>
      <c r="D43" s="38">
        <f>IF('Security &amp; Compliance'!D9="","",'Security &amp; Compliance'!D9)</f>
        <v/>
      </c>
      <c r="E43" s="38">
        <f>IF('Security &amp; Compliance'!E9="","",'Security &amp; Compliance'!E9)</f>
        <v/>
      </c>
      <c r="F43" s="39">
        <f>IF('Security &amp; Compliance'!F9="","",'Security &amp; Compliance'!F9)</f>
        <v/>
      </c>
      <c r="G43" s="38">
        <f>IF('Security &amp; Compliance'!G9="","",'Security &amp; Compliance'!G9)</f>
        <v/>
      </c>
    </row>
    <row r="44">
      <c r="A44" s="40">
        <f>IF('Security &amp; Compliance'!A10="","",'Security &amp; Compliance'!A10)</f>
        <v/>
      </c>
      <c r="B44" s="40">
        <f>IF('Security &amp; Compliance'!B10="","",'Security &amp; Compliance'!B10)</f>
        <v/>
      </c>
      <c r="C44" s="40">
        <f>IF('Security &amp; Compliance'!C10="","",'Security &amp; Compliance'!C10)</f>
        <v/>
      </c>
      <c r="D44" s="40">
        <f>IF('Security &amp; Compliance'!D10="","",'Security &amp; Compliance'!D10)</f>
        <v/>
      </c>
      <c r="E44" s="40">
        <f>IF('Security &amp; Compliance'!E10="","",'Security &amp; Compliance'!E10)</f>
        <v/>
      </c>
      <c r="F44" s="39">
        <f>IF('Security &amp; Compliance'!F10="","",'Security &amp; Compliance'!F10)</f>
        <v/>
      </c>
      <c r="G44" s="40">
        <f>IF('Security &amp; Compliance'!G10="","",'Security &amp; Compliance'!G10)</f>
        <v/>
      </c>
    </row>
    <row r="45">
      <c r="A45" s="38">
        <f>IF('Security &amp; Compliance'!A11="","",'Security &amp; Compliance'!A11)</f>
        <v/>
      </c>
      <c r="B45" s="38">
        <f>IF('Security &amp; Compliance'!B11="","",'Security &amp; Compliance'!B11)</f>
        <v/>
      </c>
      <c r="C45" s="38">
        <f>IF('Security &amp; Compliance'!C11="","",'Security &amp; Compliance'!C11)</f>
        <v/>
      </c>
      <c r="D45" s="38">
        <f>IF('Security &amp; Compliance'!D11="","",'Security &amp; Compliance'!D11)</f>
        <v/>
      </c>
      <c r="E45" s="38">
        <f>IF('Security &amp; Compliance'!E11="","",'Security &amp; Compliance'!E11)</f>
        <v/>
      </c>
      <c r="F45" s="39">
        <f>IF('Security &amp; Compliance'!F11="","",'Security &amp; Compliance'!F11)</f>
        <v/>
      </c>
      <c r="G45" s="38">
        <f>IF('Security &amp; Compliance'!G11="","",'Security &amp; Compliance'!G11)</f>
        <v/>
      </c>
    </row>
    <row r="46">
      <c r="A46" s="40">
        <f>IF('Security &amp; Compliance'!A12="","",'Security &amp; Compliance'!A12)</f>
        <v/>
      </c>
      <c r="B46" s="40">
        <f>IF('Security &amp; Compliance'!B12="","",'Security &amp; Compliance'!B12)</f>
        <v/>
      </c>
      <c r="C46" s="40">
        <f>IF('Security &amp; Compliance'!C12="","",'Security &amp; Compliance'!C12)</f>
        <v/>
      </c>
      <c r="D46" s="40">
        <f>IF('Security &amp; Compliance'!D12="","",'Security &amp; Compliance'!D12)</f>
        <v/>
      </c>
      <c r="E46" s="40">
        <f>IF('Security &amp; Compliance'!E12="","",'Security &amp; Compliance'!E12)</f>
        <v/>
      </c>
      <c r="F46" s="39">
        <f>IF('Security &amp; Compliance'!F12="","",'Security &amp; Compliance'!F12)</f>
        <v/>
      </c>
      <c r="G46" s="40">
        <f>IF('Security &amp; Compliance'!G12="","",'Security &amp; Compliance'!G12)</f>
        <v/>
      </c>
    </row>
    <row r="47">
      <c r="A47" s="38">
        <f>IF('Operations &amp; Support'!A2="","",'Operations &amp; Support'!A2)</f>
        <v/>
      </c>
      <c r="B47" s="38">
        <f>IF('Operations &amp; Support'!B2="","",'Operations &amp; Support'!B2)</f>
        <v/>
      </c>
      <c r="C47" s="38">
        <f>IF('Operations &amp; Support'!C2="","",'Operations &amp; Support'!C2)</f>
        <v/>
      </c>
      <c r="D47" s="38">
        <f>IF('Operations &amp; Support'!D2="","",'Operations &amp; Support'!D2)</f>
        <v/>
      </c>
      <c r="E47" s="38">
        <f>IF('Operations &amp; Support'!E2="","",'Operations &amp; Support'!E2)</f>
        <v/>
      </c>
      <c r="F47" s="39">
        <f>IF('Operations &amp; Support'!F2="","",'Operations &amp; Support'!F2)</f>
        <v/>
      </c>
      <c r="G47" s="38">
        <f>IF('Operations &amp; Support'!G2="","",'Operations &amp; Support'!G2)</f>
        <v/>
      </c>
    </row>
    <row r="48">
      <c r="A48" s="40">
        <f>IF('Operations &amp; Support'!A3="","",'Operations &amp; Support'!A3)</f>
        <v/>
      </c>
      <c r="B48" s="40">
        <f>IF('Operations &amp; Support'!B3="","",'Operations &amp; Support'!B3)</f>
        <v/>
      </c>
      <c r="C48" s="40">
        <f>IF('Operations &amp; Support'!C3="","",'Operations &amp; Support'!C3)</f>
        <v/>
      </c>
      <c r="D48" s="40">
        <f>IF('Operations &amp; Support'!D3="","",'Operations &amp; Support'!D3)</f>
        <v/>
      </c>
      <c r="E48" s="40">
        <f>IF('Operations &amp; Support'!E3="","",'Operations &amp; Support'!E3)</f>
        <v/>
      </c>
      <c r="F48" s="39">
        <f>IF('Operations &amp; Support'!F3="","",'Operations &amp; Support'!F3)</f>
        <v/>
      </c>
      <c r="G48" s="40">
        <f>IF('Operations &amp; Support'!G3="","",'Operations &amp; Support'!G3)</f>
        <v/>
      </c>
    </row>
    <row r="49">
      <c r="A49" s="38">
        <f>IF('Operations &amp; Support'!A4="","",'Operations &amp; Support'!A4)</f>
        <v/>
      </c>
      <c r="B49" s="38">
        <f>IF('Operations &amp; Support'!B4="","",'Operations &amp; Support'!B4)</f>
        <v/>
      </c>
      <c r="C49" s="38">
        <f>IF('Operations &amp; Support'!C4="","",'Operations &amp; Support'!C4)</f>
        <v/>
      </c>
      <c r="D49" s="38">
        <f>IF('Operations &amp; Support'!D4="","",'Operations &amp; Support'!D4)</f>
        <v/>
      </c>
      <c r="E49" s="38">
        <f>IF('Operations &amp; Support'!E4="","",'Operations &amp; Support'!E4)</f>
        <v/>
      </c>
      <c r="F49" s="39">
        <f>IF('Operations &amp; Support'!F4="","",'Operations &amp; Support'!F4)</f>
        <v/>
      </c>
      <c r="G49" s="38">
        <f>IF('Operations &amp; Support'!G4="","",'Operations &amp; Support'!G4)</f>
        <v/>
      </c>
    </row>
    <row r="50">
      <c r="A50" s="40">
        <f>IF('Operations &amp; Support'!A5="","",'Operations &amp; Support'!A5)</f>
        <v/>
      </c>
      <c r="B50" s="40">
        <f>IF('Operations &amp; Support'!B5="","",'Operations &amp; Support'!B5)</f>
        <v/>
      </c>
      <c r="C50" s="40">
        <f>IF('Operations &amp; Support'!C5="","",'Operations &amp; Support'!C5)</f>
        <v/>
      </c>
      <c r="D50" s="40">
        <f>IF('Operations &amp; Support'!D5="","",'Operations &amp; Support'!D5)</f>
        <v/>
      </c>
      <c r="E50" s="40">
        <f>IF('Operations &amp; Support'!E5="","",'Operations &amp; Support'!E5)</f>
        <v/>
      </c>
      <c r="F50" s="39">
        <f>IF('Operations &amp; Support'!F5="","",'Operations &amp; Support'!F5)</f>
        <v/>
      </c>
      <c r="G50" s="40">
        <f>IF('Operations &amp; Support'!G5="","",'Operations &amp; Support'!G5)</f>
        <v/>
      </c>
    </row>
    <row r="51">
      <c r="A51" s="38">
        <f>IF('Operations &amp; Support'!A6="","",'Operations &amp; Support'!A6)</f>
        <v/>
      </c>
      <c r="B51" s="38">
        <f>IF('Operations &amp; Support'!B6="","",'Operations &amp; Support'!B6)</f>
        <v/>
      </c>
      <c r="C51" s="38">
        <f>IF('Operations &amp; Support'!C6="","",'Operations &amp; Support'!C6)</f>
        <v/>
      </c>
      <c r="D51" s="38">
        <f>IF('Operations &amp; Support'!D6="","",'Operations &amp; Support'!D6)</f>
        <v/>
      </c>
      <c r="E51" s="38">
        <f>IF('Operations &amp; Support'!E6="","",'Operations &amp; Support'!E6)</f>
        <v/>
      </c>
      <c r="F51" s="39">
        <f>IF('Operations &amp; Support'!F6="","",'Operations &amp; Support'!F6)</f>
        <v/>
      </c>
      <c r="G51" s="38">
        <f>IF('Operations &amp; Support'!G6="","",'Operations &amp; Support'!G6)</f>
        <v/>
      </c>
    </row>
    <row r="52">
      <c r="A52" s="40">
        <f>IF('Operations &amp; Support'!A7="","",'Operations &amp; Support'!A7)</f>
        <v/>
      </c>
      <c r="B52" s="40">
        <f>IF('Operations &amp; Support'!B7="","",'Operations &amp; Support'!B7)</f>
        <v/>
      </c>
      <c r="C52" s="40">
        <f>IF('Operations &amp; Support'!C7="","",'Operations &amp; Support'!C7)</f>
        <v/>
      </c>
      <c r="D52" s="40">
        <f>IF('Operations &amp; Support'!D7="","",'Operations &amp; Support'!D7)</f>
        <v/>
      </c>
      <c r="E52" s="40">
        <f>IF('Operations &amp; Support'!E7="","",'Operations &amp; Support'!E7)</f>
        <v/>
      </c>
      <c r="F52" s="39">
        <f>IF('Operations &amp; Support'!F7="","",'Operations &amp; Support'!F7)</f>
        <v/>
      </c>
      <c r="G52" s="40">
        <f>IF('Operations &amp; Support'!G7="","",'Operations &amp; Support'!G7)</f>
        <v/>
      </c>
    </row>
    <row r="53">
      <c r="A53" s="38">
        <f>IF('Operations &amp; Support'!A8="","",'Operations &amp; Support'!A8)</f>
        <v/>
      </c>
      <c r="B53" s="38">
        <f>IF('Operations &amp; Support'!B8="","",'Operations &amp; Support'!B8)</f>
        <v/>
      </c>
      <c r="C53" s="38">
        <f>IF('Operations &amp; Support'!C8="","",'Operations &amp; Support'!C8)</f>
        <v/>
      </c>
      <c r="D53" s="38">
        <f>IF('Operations &amp; Support'!D8="","",'Operations &amp; Support'!D8)</f>
        <v/>
      </c>
      <c r="E53" s="38">
        <f>IF('Operations &amp; Support'!E8="","",'Operations &amp; Support'!E8)</f>
        <v/>
      </c>
      <c r="F53" s="39">
        <f>IF('Operations &amp; Support'!F8="","",'Operations &amp; Support'!F8)</f>
        <v/>
      </c>
      <c r="G53" s="38">
        <f>IF('Operations &amp; Support'!G8="","",'Operations &amp; Support'!G8)</f>
        <v/>
      </c>
    </row>
    <row r="54">
      <c r="A54" s="40">
        <f>IF('Operations &amp; Support'!A9="","",'Operations &amp; Support'!A9)</f>
        <v/>
      </c>
      <c r="B54" s="40">
        <f>IF('Operations &amp; Support'!B9="","",'Operations &amp; Support'!B9)</f>
        <v/>
      </c>
      <c r="C54" s="40">
        <f>IF('Operations &amp; Support'!C9="","",'Operations &amp; Support'!C9)</f>
        <v/>
      </c>
      <c r="D54" s="40">
        <f>IF('Operations &amp; Support'!D9="","",'Operations &amp; Support'!D9)</f>
        <v/>
      </c>
      <c r="E54" s="40">
        <f>IF('Operations &amp; Support'!E9="","",'Operations &amp; Support'!E9)</f>
        <v/>
      </c>
      <c r="F54" s="39">
        <f>IF('Operations &amp; Support'!F9="","",'Operations &amp; Support'!F9)</f>
        <v/>
      </c>
      <c r="G54" s="40">
        <f>IF('Operations &amp; Support'!G9="","",'Operations &amp; Support'!G9)</f>
        <v/>
      </c>
    </row>
    <row r="55">
      <c r="A55" s="38">
        <f>IF('Operations &amp; Support'!A10="","",'Operations &amp; Support'!A10)</f>
        <v/>
      </c>
      <c r="B55" s="38">
        <f>IF('Operations &amp; Support'!B10="","",'Operations &amp; Support'!B10)</f>
        <v/>
      </c>
      <c r="C55" s="38">
        <f>IF('Operations &amp; Support'!C10="","",'Operations &amp; Support'!C10)</f>
        <v/>
      </c>
      <c r="D55" s="38">
        <f>IF('Operations &amp; Support'!D10="","",'Operations &amp; Support'!D10)</f>
        <v/>
      </c>
      <c r="E55" s="38">
        <f>IF('Operations &amp; Support'!E10="","",'Operations &amp; Support'!E10)</f>
        <v/>
      </c>
      <c r="F55" s="39">
        <f>IF('Operations &amp; Support'!F10="","",'Operations &amp; Support'!F10)</f>
        <v/>
      </c>
      <c r="G55" s="38">
        <f>IF('Operations &amp; Support'!G10="","",'Operations &amp; Support'!G10)</f>
        <v/>
      </c>
    </row>
    <row r="56">
      <c r="A56" s="40">
        <f>IF('Implementation Planning'!A2="","",'Implementation Planning'!A2)</f>
        <v/>
      </c>
      <c r="B56" s="40">
        <f>IF('Implementation Planning'!B2="","",'Implementation Planning'!B2)</f>
        <v/>
      </c>
      <c r="C56" s="40">
        <f>IF('Implementation Planning'!C2="","",'Implementation Planning'!C2)</f>
        <v/>
      </c>
      <c r="D56" s="40">
        <f>IF('Implementation Planning'!D2="","",'Implementation Planning'!D2)</f>
        <v/>
      </c>
      <c r="E56" s="40">
        <f>IF('Implementation Planning'!E2="","",'Implementation Planning'!E2)</f>
        <v/>
      </c>
      <c r="F56" s="39">
        <f>IF('Implementation Planning'!F2="","",'Implementation Planning'!F2)</f>
        <v/>
      </c>
      <c r="G56" s="40">
        <f>IF('Implementation Planning'!G2="","",'Implementation Planning'!G2)</f>
        <v/>
      </c>
    </row>
    <row r="57">
      <c r="A57" s="38">
        <f>IF('Implementation Planning'!A3="","",'Implementation Planning'!A3)</f>
        <v/>
      </c>
      <c r="B57" s="38">
        <f>IF('Implementation Planning'!B3="","",'Implementation Planning'!B3)</f>
        <v/>
      </c>
      <c r="C57" s="38">
        <f>IF('Implementation Planning'!C3="","",'Implementation Planning'!C3)</f>
        <v/>
      </c>
      <c r="D57" s="38">
        <f>IF('Implementation Planning'!D3="","",'Implementation Planning'!D3)</f>
        <v/>
      </c>
      <c r="E57" s="38">
        <f>IF('Implementation Planning'!E3="","",'Implementation Planning'!E3)</f>
        <v/>
      </c>
      <c r="F57" s="39">
        <f>IF('Implementation Planning'!F3="","",'Implementation Planning'!F3)</f>
        <v/>
      </c>
      <c r="G57" s="38">
        <f>IF('Implementation Planning'!G3="","",'Implementation Planning'!G3)</f>
        <v/>
      </c>
    </row>
    <row r="58">
      <c r="A58" s="40">
        <f>IF('Implementation Planning'!A4="","",'Implementation Planning'!A4)</f>
        <v/>
      </c>
      <c r="B58" s="40">
        <f>IF('Implementation Planning'!B4="","",'Implementation Planning'!B4)</f>
        <v/>
      </c>
      <c r="C58" s="40">
        <f>IF('Implementation Planning'!C4="","",'Implementation Planning'!C4)</f>
        <v/>
      </c>
      <c r="D58" s="40">
        <f>IF('Implementation Planning'!D4="","",'Implementation Planning'!D4)</f>
        <v/>
      </c>
      <c r="E58" s="40">
        <f>IF('Implementation Planning'!E4="","",'Implementation Planning'!E4)</f>
        <v/>
      </c>
      <c r="F58" s="39">
        <f>IF('Implementation Planning'!F4="","",'Implementation Planning'!F4)</f>
        <v/>
      </c>
      <c r="G58" s="40">
        <f>IF('Implementation Planning'!G4="","",'Implementation Planning'!G4)</f>
        <v/>
      </c>
    </row>
    <row r="59">
      <c r="A59" s="38">
        <f>IF('Implementation Planning'!A5="","",'Implementation Planning'!A5)</f>
        <v/>
      </c>
      <c r="B59" s="38">
        <f>IF('Implementation Planning'!B5="","",'Implementation Planning'!B5)</f>
        <v/>
      </c>
      <c r="C59" s="38">
        <f>IF('Implementation Planning'!C5="","",'Implementation Planning'!C5)</f>
        <v/>
      </c>
      <c r="D59" s="38">
        <f>IF('Implementation Planning'!D5="","",'Implementation Planning'!D5)</f>
        <v/>
      </c>
      <c r="E59" s="38">
        <f>IF('Implementation Planning'!E5="","",'Implementation Planning'!E5)</f>
        <v/>
      </c>
      <c r="F59" s="39">
        <f>IF('Implementation Planning'!F5="","",'Implementation Planning'!F5)</f>
        <v/>
      </c>
      <c r="G59" s="38">
        <f>IF('Implementation Planning'!G5="","",'Implementation Planning'!G5)</f>
        <v/>
      </c>
    </row>
    <row r="60">
      <c r="A60" s="40">
        <f>IF('Implementation Planning'!A6="","",'Implementation Planning'!A6)</f>
        <v/>
      </c>
      <c r="B60" s="40">
        <f>IF('Implementation Planning'!B6="","",'Implementation Planning'!B6)</f>
        <v/>
      </c>
      <c r="C60" s="40">
        <f>IF('Implementation Planning'!C6="","",'Implementation Planning'!C6)</f>
        <v/>
      </c>
      <c r="D60" s="40">
        <f>IF('Implementation Planning'!D6="","",'Implementation Planning'!D6)</f>
        <v/>
      </c>
      <c r="E60" s="40">
        <f>IF('Implementation Planning'!E6="","",'Implementation Planning'!E6)</f>
        <v/>
      </c>
      <c r="F60" s="39">
        <f>IF('Implementation Planning'!F6="","",'Implementation Planning'!F6)</f>
        <v/>
      </c>
      <c r="G60" s="40">
        <f>IF('Implementation Planning'!G6="","",'Implementation Planning'!G6)</f>
        <v/>
      </c>
    </row>
    <row r="61">
      <c r="A61" s="38">
        <f>IF('Implementation Planning'!A7="","",'Implementation Planning'!A7)</f>
        <v/>
      </c>
      <c r="B61" s="38">
        <f>IF('Implementation Planning'!B7="","",'Implementation Planning'!B7)</f>
        <v/>
      </c>
      <c r="C61" s="38">
        <f>IF('Implementation Planning'!C7="","",'Implementation Planning'!C7)</f>
        <v/>
      </c>
      <c r="D61" s="38">
        <f>IF('Implementation Planning'!D7="","",'Implementation Planning'!D7)</f>
        <v/>
      </c>
      <c r="E61" s="38">
        <f>IF('Implementation Planning'!E7="","",'Implementation Planning'!E7)</f>
        <v/>
      </c>
      <c r="F61" s="39">
        <f>IF('Implementation Planning'!F7="","",'Implementation Planning'!F7)</f>
        <v/>
      </c>
      <c r="G61" s="38">
        <f>IF('Implementation Planning'!G7="","",'Implementation Planning'!G7)</f>
        <v/>
      </c>
    </row>
    <row r="62">
      <c r="A62" s="40">
        <f>IF('Implementation Planning'!A8="","",'Implementation Planning'!A8)</f>
        <v/>
      </c>
      <c r="B62" s="40">
        <f>IF('Implementation Planning'!B8="","",'Implementation Planning'!B8)</f>
        <v/>
      </c>
      <c r="C62" s="40">
        <f>IF('Implementation Planning'!C8="","",'Implementation Planning'!C8)</f>
        <v/>
      </c>
      <c r="D62" s="40">
        <f>IF('Implementation Planning'!D8="","",'Implementation Planning'!D8)</f>
        <v/>
      </c>
      <c r="E62" s="40">
        <f>IF('Implementation Planning'!E8="","",'Implementation Planning'!E8)</f>
        <v/>
      </c>
      <c r="F62" s="39">
        <f>IF('Implementation Planning'!F8="","",'Implementation Planning'!F8)</f>
        <v/>
      </c>
      <c r="G62" s="40">
        <f>IF('Implementation Planning'!G8="","",'Implementation Planning'!G8)</f>
        <v/>
      </c>
    </row>
    <row r="63">
      <c r="A63" s="38">
        <f>IF('Implementation Planning'!A9="","",'Implementation Planning'!A9)</f>
        <v/>
      </c>
      <c r="B63" s="38">
        <f>IF('Implementation Planning'!B9="","",'Implementation Planning'!B9)</f>
        <v/>
      </c>
      <c r="C63" s="38">
        <f>IF('Implementation Planning'!C9="","",'Implementation Planning'!C9)</f>
        <v/>
      </c>
      <c r="D63" s="38">
        <f>IF('Implementation Planning'!D9="","",'Implementation Planning'!D9)</f>
        <v/>
      </c>
      <c r="E63" s="38">
        <f>IF('Implementation Planning'!E9="","",'Implementation Planning'!E9)</f>
        <v/>
      </c>
      <c r="F63" s="39">
        <f>IF('Implementation Planning'!F9="","",'Implementation Planning'!F9)</f>
        <v/>
      </c>
      <c r="G63" s="38">
        <f>IF('Implementation Planning'!G9="","",'Implementation Planning'!G9)</f>
        <v/>
      </c>
    </row>
    <row r="64">
      <c r="A64" s="40">
        <f>IF('Implementation Planning'!A10="","",'Implementation Planning'!A10)</f>
        <v/>
      </c>
      <c r="B64" s="40">
        <f>IF('Implementation Planning'!B10="","",'Implementation Planning'!B10)</f>
        <v/>
      </c>
      <c r="C64" s="40">
        <f>IF('Implementation Planning'!C10="","",'Implementation Planning'!C10)</f>
        <v/>
      </c>
      <c r="D64" s="40">
        <f>IF('Implementation Planning'!D10="","",'Implementation Planning'!D10)</f>
        <v/>
      </c>
      <c r="E64" s="40">
        <f>IF('Implementation Planning'!E10="","",'Implementation Planning'!E10)</f>
        <v/>
      </c>
      <c r="F64" s="39">
        <f>IF('Implementation Planning'!F10="","",'Implementation Planning'!F10)</f>
        <v/>
      </c>
      <c r="G64" s="40">
        <f>IF('Implementation Planning'!G10="","",'Implementation Planning'!G10)</f>
        <v/>
      </c>
    </row>
    <row r="65">
      <c r="A65" s="38">
        <f>IF('Implementation Planning'!A11="","",'Implementation Planning'!A11)</f>
        <v/>
      </c>
      <c r="B65" s="38">
        <f>IF('Implementation Planning'!B11="","",'Implementation Planning'!B11)</f>
        <v/>
      </c>
      <c r="C65" s="38">
        <f>IF('Implementation Planning'!C11="","",'Implementation Planning'!C11)</f>
        <v/>
      </c>
      <c r="D65" s="38">
        <f>IF('Implementation Planning'!D11="","",'Implementation Planning'!D11)</f>
        <v/>
      </c>
      <c r="E65" s="38">
        <f>IF('Implementation Planning'!E11="","",'Implementation Planning'!E11)</f>
        <v/>
      </c>
      <c r="F65" s="39">
        <f>IF('Implementation Planning'!F11="","",'Implementation Planning'!F11)</f>
        <v/>
      </c>
      <c r="G65" s="38">
        <f>IF('Implementation Planning'!G11="","",'Implementation Planning'!G11)</f>
        <v/>
      </c>
    </row>
    <row r="66">
      <c r="A66" s="40">
        <f>IF('Risk &amp; Constraints'!A2="","",'Risk &amp; Constraints'!A2)</f>
        <v/>
      </c>
      <c r="B66" s="40">
        <f>IF('Risk &amp; Constraints'!B2="","",'Risk &amp; Constraints'!B2)</f>
        <v/>
      </c>
      <c r="C66" s="40">
        <f>IF('Risk &amp; Constraints'!C2="","",'Risk &amp; Constraints'!C2)</f>
        <v/>
      </c>
      <c r="D66" s="40">
        <f>IF('Risk &amp; Constraints'!D2="","",'Risk &amp; Constraints'!D2)</f>
        <v/>
      </c>
      <c r="E66" s="40">
        <f>IF('Risk &amp; Constraints'!E2="","",'Risk &amp; Constraints'!E2)</f>
        <v/>
      </c>
      <c r="F66" s="39">
        <f>IF('Risk &amp; Constraints'!F2="","",'Risk &amp; Constraints'!F2)</f>
        <v/>
      </c>
      <c r="G66" s="40">
        <f>IF('Risk &amp; Constraints'!G2="","",'Risk &amp; Constraints'!G2)</f>
        <v/>
      </c>
    </row>
    <row r="67">
      <c r="A67" s="38">
        <f>IF('Risk &amp; Constraints'!A3="","",'Risk &amp; Constraints'!A3)</f>
        <v/>
      </c>
      <c r="B67" s="38">
        <f>IF('Risk &amp; Constraints'!B3="","",'Risk &amp; Constraints'!B3)</f>
        <v/>
      </c>
      <c r="C67" s="38">
        <f>IF('Risk &amp; Constraints'!C3="","",'Risk &amp; Constraints'!C3)</f>
        <v/>
      </c>
      <c r="D67" s="38">
        <f>IF('Risk &amp; Constraints'!D3="","",'Risk &amp; Constraints'!D3)</f>
        <v/>
      </c>
      <c r="E67" s="38">
        <f>IF('Risk &amp; Constraints'!E3="","",'Risk &amp; Constraints'!E3)</f>
        <v/>
      </c>
      <c r="F67" s="39">
        <f>IF('Risk &amp; Constraints'!F3="","",'Risk &amp; Constraints'!F3)</f>
        <v/>
      </c>
      <c r="G67" s="38">
        <f>IF('Risk &amp; Constraints'!G3="","",'Risk &amp; Constraints'!G3)</f>
        <v/>
      </c>
    </row>
    <row r="68">
      <c r="A68" s="40">
        <f>IF('Risk &amp; Constraints'!A4="","",'Risk &amp; Constraints'!A4)</f>
        <v/>
      </c>
      <c r="B68" s="40">
        <f>IF('Risk &amp; Constraints'!B4="","",'Risk &amp; Constraints'!B4)</f>
        <v/>
      </c>
      <c r="C68" s="40">
        <f>IF('Risk &amp; Constraints'!C4="","",'Risk &amp; Constraints'!C4)</f>
        <v/>
      </c>
      <c r="D68" s="40">
        <f>IF('Risk &amp; Constraints'!D4="","",'Risk &amp; Constraints'!D4)</f>
        <v/>
      </c>
      <c r="E68" s="40">
        <f>IF('Risk &amp; Constraints'!E4="","",'Risk &amp; Constraints'!E4)</f>
        <v/>
      </c>
      <c r="F68" s="39">
        <f>IF('Risk &amp; Constraints'!F4="","",'Risk &amp; Constraints'!F4)</f>
        <v/>
      </c>
      <c r="G68" s="40">
        <f>IF('Risk &amp; Constraints'!G4="","",'Risk &amp; Constraints'!G4)</f>
        <v/>
      </c>
    </row>
    <row r="69">
      <c r="A69" s="38">
        <f>IF('Risk &amp; Constraints'!A5="","",'Risk &amp; Constraints'!A5)</f>
        <v/>
      </c>
      <c r="B69" s="38">
        <f>IF('Risk &amp; Constraints'!B5="","",'Risk &amp; Constraints'!B5)</f>
        <v/>
      </c>
      <c r="C69" s="38">
        <f>IF('Risk &amp; Constraints'!C5="","",'Risk &amp; Constraints'!C5)</f>
        <v/>
      </c>
      <c r="D69" s="38">
        <f>IF('Risk &amp; Constraints'!D5="","",'Risk &amp; Constraints'!D5)</f>
        <v/>
      </c>
      <c r="E69" s="38">
        <f>IF('Risk &amp; Constraints'!E5="","",'Risk &amp; Constraints'!E5)</f>
        <v/>
      </c>
      <c r="F69" s="39">
        <f>IF('Risk &amp; Constraints'!F5="","",'Risk &amp; Constraints'!F5)</f>
        <v/>
      </c>
      <c r="G69" s="38">
        <f>IF('Risk &amp; Constraints'!G5="","",'Risk &amp; Constraints'!G5)</f>
        <v/>
      </c>
    </row>
    <row r="70">
      <c r="A70" s="40">
        <f>IF('Risk &amp; Constraints'!A6="","",'Risk &amp; Constraints'!A6)</f>
        <v/>
      </c>
      <c r="B70" s="40">
        <f>IF('Risk &amp; Constraints'!B6="","",'Risk &amp; Constraints'!B6)</f>
        <v/>
      </c>
      <c r="C70" s="40">
        <f>IF('Risk &amp; Constraints'!C6="","",'Risk &amp; Constraints'!C6)</f>
        <v/>
      </c>
      <c r="D70" s="40">
        <f>IF('Risk &amp; Constraints'!D6="","",'Risk &amp; Constraints'!D6)</f>
        <v/>
      </c>
      <c r="E70" s="40">
        <f>IF('Risk &amp; Constraints'!E6="","",'Risk &amp; Constraints'!E6)</f>
        <v/>
      </c>
      <c r="F70" s="39">
        <f>IF('Risk &amp; Constraints'!F6="","",'Risk &amp; Constraints'!F6)</f>
        <v/>
      </c>
      <c r="G70" s="40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primary business challenges driving the Amatra agentic engine initiative?</t>
        </is>
      </c>
      <c r="E2" s="40" t="inlineStr">
        <is>
          <t>Describe the top pain points with the current manual EO Framework process — e.g. time per engagement, error rates, consultant bottlenecks</t>
        </is>
      </c>
      <c r="F2" s="39" t="n"/>
      <c r="G2" s="40" t="inlineStr">
        <is>
          <t>Core justification for the platform; aligns solution scope with measurable business value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many pre-sales engagements does Amatra currently run per month, and what is the target throughput after automation?</t>
        </is>
      </c>
      <c r="E3" s="38" t="inlineStr">
        <is>
          <t>Provide current monthly volume and desired steady-state (e.g. 200 solutions/month)</t>
        </is>
      </c>
      <c r="F3" s="39" t="n"/>
      <c r="G3" s="38" t="inlineStr">
        <is>
          <t>Drives quota design, concurrency limits, and infrastructure sizing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are the measurable success criteria for the proof-of-concept demonstration in Q2 2026?</t>
        </is>
      </c>
      <c r="E4" s="40" t="inlineStr">
        <is>
          <t>Examples: end-to-end generation under 60 minutes, 90% reduction in senior consultant hours, zero human-in-the-loop for standard artifacts</t>
        </is>
      </c>
      <c r="F4" s="39" t="n"/>
      <c r="G4" s="40" t="inlineStr">
        <is>
          <t>Defines done for Phase 3 and governs scope decisions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What does a successful executive sponsor demonstration look like for Sarah Lin in April 2026?</t>
        </is>
      </c>
      <c r="E5" s="38" t="inlineStr">
        <is>
          <t>Identify the must-have capabilities vs. nice-to-have polish items for the demo</t>
        </is>
      </c>
      <c r="F5" s="39" t="n"/>
      <c r="G5" s="38" t="inlineStr">
        <is>
          <t>Prevents scope creep and focuses delivery on demo-critical path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ROI &amp; Business Metrics</t>
        </is>
      </c>
      <c r="D6" s="40" t="inlineStr">
        <is>
          <t>What is the current per-engagement senior consultant cost, and what is the target cost after automation?</t>
        </is>
      </c>
      <c r="E6" s="40" t="inlineStr">
        <is>
          <t>Current estimate is 6-10 hours at senior rates; quantify the dollar saving per engagement</t>
        </is>
      </c>
      <c r="F6" s="39" t="n"/>
      <c r="G6" s="40" t="inlineStr">
        <is>
          <t>Validates the business case and guides prioritisation of automation depth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Budget</t>
        </is>
      </c>
      <c r="D7" s="38" t="inlineStr">
        <is>
          <t>Please confirm the total budget envelope: ~$250k professional services and $100k-$200k first-year run cost. Are these figures approved?</t>
        </is>
      </c>
      <c r="E7" s="38" t="inlineStr">
        <is>
          <t>Confirm CapEx vs. OpEx split and any budget approval thresholds requiring CTO or Procurement sign-off</t>
        </is>
      </c>
      <c r="F7" s="39" t="n"/>
      <c r="G7" s="38" t="inlineStr">
        <is>
          <t>Scope and staffing decisions depend on confirmed budget; Procurement involvement if AWS spend exceeds existing envelope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What is the per-solution model spend target, and how was the sub-$5 Bedrock token cost estimate derived?</t>
        </is>
      </c>
      <c r="E8" s="40" t="inlineStr">
        <is>
          <t>Confirm assumptions: artifact count, token counts per agent, Claude Sonnet 4.6 vs. Haiku 4.5 split</t>
        </is>
      </c>
      <c r="F8" s="39" t="n"/>
      <c r="G8" s="40" t="inlineStr">
        <is>
          <t>Cost model accuracy impacts pricing to end customers and platform viability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Stakeholders</t>
        </is>
      </c>
      <c r="D9" s="38" t="inlineStr">
        <is>
          <t>Who are the decision-makers for CTO sign-off on the Cognito user pool and production deployment?</t>
        </is>
      </c>
      <c r="E9" s="38" t="inlineStr">
        <is>
          <t>Identify name, title, and approval timeline; confirm whether CTO is a blocker for Phase 1 or Phase 3</t>
        </is>
      </c>
      <c r="F9" s="39" t="n"/>
      <c r="G9" s="38" t="inlineStr">
        <is>
          <t>Stakeholder alignment critical for Cognito provisioning and production go-live gate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Stakeholders</t>
        </is>
      </c>
      <c r="D10" s="40" t="inlineStr">
        <is>
          <t>Who from PREDICTif will be embedded in the delivery team, and what is their availability?</t>
        </is>
      </c>
      <c r="E10" s="40" t="inlineStr">
        <is>
          <t>Identify internal SMEs (pre-sales engineering, DevOps, security) and time commitment (full-time, part-time)</t>
        </is>
      </c>
      <c r="F10" s="39" t="n"/>
      <c r="G10" s="40" t="inlineStr">
        <is>
          <t>Resource planning for the 12-week engagement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Timeline</t>
        </is>
      </c>
      <c r="D11" s="38" t="inlineStr">
        <is>
          <t>Are the Phase 1 (weeks 1-4), Phase 2 (weeks 5-9), and Phase 3 (weeks 10-12) milestone dates fixed or can they flex?</t>
        </is>
      </c>
      <c r="E11" s="38" t="inlineStr">
        <is>
          <t>Confirm hard vs. soft deadlines and any blackout periods (holidays, all-hands, existing commitments)</t>
        </is>
      </c>
      <c r="F11" s="39" t="n"/>
      <c r="G11" s="38" t="inlineStr">
        <is>
          <t>Milestone rigidity drives staffing plan and risk buffer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Timeline</t>
        </is>
      </c>
      <c r="D12" s="40" t="inlineStr">
        <is>
          <t>Is the four-month PoC schedule tied to a contractual commitment with an end customer, or is it an internal delivery target?</t>
        </is>
      </c>
      <c r="E12" s="40" t="inlineStr">
        <is>
          <t>Clarify consequences of a delay — missed customer demo, contract penalty, or internal re-prioritisation</t>
        </is>
      </c>
      <c r="F12" s="39" t="n"/>
      <c r="G12" s="40" t="inlineStr">
        <is>
          <t>Determines contingency planning approach and scope-deferral 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Cloud Platform</t>
        </is>
      </c>
      <c r="D2" s="40" t="inlineStr">
        <is>
          <t>Confirm the target AWS region is us-west-2. Are there any disaster-recovery or data-residency requirements that would require a secondary region?</t>
        </is>
      </c>
      <c r="E2" s="40" t="inlineStr">
        <is>
          <t>Note any cross-region replication needs for DynamoDB, S3, or Cognito</t>
        </is>
      </c>
      <c r="F2" s="39" t="n"/>
      <c r="G2" s="40" t="inlineStr">
        <is>
          <t>Region selection impacts latency, service availability, and compliance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Describe the existing AWS account structure. Will the platform be deployed into a new standalone account or an existing AWS Organisation?</t>
        </is>
      </c>
      <c r="E3" s="38" t="inlineStr">
        <is>
          <t>Identify Organisation units, SCPs, and any guardrails that could restrict service usage (Bedrock, AgentCore, Lambda)</t>
        </is>
      </c>
      <c r="F3" s="39" t="n"/>
      <c r="G3" s="38" t="inlineStr">
        <is>
          <t>Account and OU design affects IAM, networking, and billing isolation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AWS Services &amp; Quotas</t>
        </is>
      </c>
      <c r="D4" s="40" t="inlineStr">
        <is>
          <t>Have AWS service quota increases been requested for Bedrock AgentCore Runtime, Lambda concurrency, and API Gateway?</t>
        </is>
      </c>
      <c r="E4" s="40" t="inlineStr">
        <is>
          <t>Check default concurrency limits; at 200 solutions/month with 5 agents each, burst capacity may exceed defaults</t>
        </is>
      </c>
      <c r="F4" s="39" t="n"/>
      <c r="G4" s="40" t="inlineStr">
        <is>
          <t>Quota increases can take days; must be requested early in Phase 1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Bedrock &amp; AI Models</t>
        </is>
      </c>
      <c r="D5" s="38" t="inlineStr">
        <is>
          <t>Confirm that Claude Sonnet 4.6 (generation) and Claude Haiku 4.5 (validation) are available in us-west-2 and that model access has been enabled in the AWS account.</t>
        </is>
      </c>
      <c r="E5" s="38" t="inlineStr">
        <is>
          <t>Bedrock model access requires explicit enablement per region; some models have waitlists</t>
        </is>
      </c>
      <c r="F5" s="39" t="n"/>
      <c r="G5" s="38" t="inlineStr">
        <is>
          <t>Model availability is a hard dependency for Phase 2 agent development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Bedrock &amp; AI Models</t>
        </is>
      </c>
      <c r="D6" s="40" t="inlineStr">
        <is>
          <t>What is the expected token volume per solution (input + output) across all five agents?</t>
        </is>
      </c>
      <c r="E6" s="40" t="inlineStr">
        <is>
          <t>Estimate tokens per artifact per agent; multiply by 12 artifacts and expected retry rate to size Bedrock quota</t>
        </is>
      </c>
      <c r="F6" s="39" t="n"/>
      <c r="G6" s="40" t="inlineStr">
        <is>
          <t>Token volume drives cost modelling and quota requests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Agent Architecture</t>
        </is>
      </c>
      <c r="D7" s="38" t="inlineStr">
        <is>
          <t>Confirm the five-agent topology: Input Validator, Pre-Sales Generator, Delivery Generator, Code Generator, EO Validator. Are these sequential or can any run in parallel?</t>
        </is>
      </c>
      <c r="E7" s="38" t="inlineStr">
        <is>
          <t>Identify agent dependency graph — which agents can be parallelised to meet the sub-60-minute SLA</t>
        </is>
      </c>
      <c r="F7" s="39" t="n"/>
      <c r="G7" s="38" t="inlineStr">
        <is>
          <t>Parallelisation design impacts AgentCore Runtime configuration and cost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Agent Architecture</t>
        </is>
      </c>
      <c r="D8" s="40" t="inlineStr">
        <is>
          <t>How are agent-to-agent messages passed? Via S3, DynamoDB, or an in-memory Strands context object?</t>
        </is>
      </c>
      <c r="E8" s="40" t="inlineStr">
        <is>
          <t>Clarify the state store design for intermediate artifacts and validation results</t>
        </is>
      </c>
      <c r="F8" s="39" t="n"/>
      <c r="G8" s="40" t="inlineStr">
        <is>
          <t>State management affects durability, retry logic, and debugging capability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API &amp; CLI</t>
        </is>
      </c>
      <c r="D9" s="38" t="inlineStr">
        <is>
          <t>Provide the full list of 14 CLI subcommands and 11 Lambda routes. Which are in scope for the PoC vs. a future phase?</t>
        </is>
      </c>
      <c r="E9" s="38" t="inlineStr">
        <is>
          <t>Confirm the minimum viable API surface for the April demo</t>
        </is>
      </c>
      <c r="F9" s="39" t="n"/>
      <c r="G9" s="38" t="inlineStr">
        <is>
          <t>API surface scope directly drives Lambda development effort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API &amp; CLI</t>
        </is>
      </c>
      <c r="D10" s="40" t="inlineStr">
        <is>
          <t>What is the expected API request volume at steady state and at peak (e.g. end-of-quarter sales pushes)?</t>
        </is>
      </c>
      <c r="E10" s="40" t="inlineStr">
        <is>
          <t>Estimate requests per day/hour and burst patterns</t>
        </is>
      </c>
      <c r="F10" s="39" t="n"/>
      <c r="G10" s="40" t="inlineStr">
        <is>
          <t>Sizing API Gateway throttle limits and Lambda reserved concurrency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Authentication</t>
        </is>
      </c>
      <c r="D11" s="38" t="inlineStr">
        <is>
          <t>Confirm the Cognito User Pool configuration: 30-day refresh tokens, post-confirmation trigger Lambda writing to DynamoDB. Are social identity providers (Google, Microsoft SSO) required?</t>
        </is>
      </c>
      <c r="E11" s="38" t="inlineStr">
        <is>
          <t>Identify whether PREDICTif consultants will authenticate with corporate SSO (SAML/OIDC) or Cognito-native credentials</t>
        </is>
      </c>
      <c r="F11" s="39" t="n"/>
      <c r="G11" s="38" t="inlineStr">
        <is>
          <t>SSO integration adds scope; must be confirmed before Cognito design is finalised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Authentication</t>
        </is>
      </c>
      <c r="D12" s="40" t="inlineStr">
        <is>
          <t>How many Cognito Monthly Active Users (MAUs) are anticipated at launch and at 12-month scale?</t>
        </is>
      </c>
      <c r="E12" s="40" t="inlineStr">
        <is>
          <t>Current team is ~120 consultants; will external partners or customers ever access the platform?</t>
        </is>
      </c>
      <c r="F12" s="39" t="n"/>
      <c r="G12" s="40" t="inlineStr">
        <is>
          <t>MAU count affects Cognito pricing tier and is a first-year run cost input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Data &amp; Storage</t>
        </is>
      </c>
      <c r="D13" s="38" t="inlineStr">
        <is>
          <t>What is the expected S3 storage volume for raw and converted artifacts at steady state (200 solutions/month)?</t>
        </is>
      </c>
      <c r="E13" s="38" t="inlineStr">
        <is>
          <t>Estimate: 12 artifacts × average artifact size × retention period</t>
        </is>
      </c>
      <c r="F13" s="39" t="n"/>
      <c r="G13" s="38" t="inlineStr">
        <is>
          <t>S3 cost and lifecycle policy design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Data &amp; Storage</t>
        </is>
      </c>
      <c r="D14" s="40" t="inlineStr">
        <is>
          <t>What is the DynamoDB access pattern for user profiles, quotas, and solution metadata? Confirm on-demand vs. provisioned capacity preference.</t>
        </is>
      </c>
      <c r="E14" s="40" t="inlineStr">
        <is>
          <t>At 200 solutions/month the write rate is low; confirm whether bursty sales activity could cause hot partitions</t>
        </is>
      </c>
      <c r="F14" s="39" t="n"/>
      <c r="G14" s="40" t="inlineStr">
        <is>
          <t>DynamoDB capacity mode selection and cost model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Containers &amp; Docker</t>
        </is>
      </c>
      <c r="D15" s="38" t="inlineStr">
        <is>
          <t>Describe the eof-tools converter library: number of modules (~30), language versions, and any OS-level dependencies (e.g. LibreOffice, Pandoc).</t>
        </is>
      </c>
      <c r="E15" s="38" t="inlineStr">
        <is>
          <t>Confirm the base Docker image, image size, and ECR repository strategy (single image vs. per-agent images)</t>
        </is>
      </c>
      <c r="F15" s="39" t="n"/>
      <c r="G15" s="38" t="inlineStr">
        <is>
          <t>Container build pipeline design and ECR storage cost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Containers &amp; Docker</t>
        </is>
      </c>
      <c r="D16" s="40" t="inlineStr">
        <is>
          <t>What is the CI/CD pipeline for building and pushing the agent container image to ECR?</t>
        </is>
      </c>
      <c r="E16" s="40" t="inlineStr">
        <is>
          <t>Identify tooling: GitHub Actions, AWS CodePipeline, or manual push; confirm image signing requirements</t>
        </is>
      </c>
      <c r="F16" s="39" t="n"/>
      <c r="G16" s="40" t="inlineStr">
        <is>
          <t>Automation of container builds is a Phase 2 deliverable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GitHub Integration</t>
        </is>
      </c>
      <c r="D17" s="38" t="inlineStr">
        <is>
          <t>Confirm the GitHub repository structure and the PAT (Personal Access Token) storage strategy. Will the PAT be stored in AWS Secrets Manager?</t>
        </is>
      </c>
      <c r="E17" s="38" t="inlineStr">
        <is>
          <t>Identify whether the target repo is org-level or user-level and the branch/PR strategy for committed artifacts</t>
        </is>
      </c>
      <c r="F17" s="39" t="n"/>
      <c r="G17" s="38" t="inlineStr">
        <is>
          <t>Security review required for PAT scope; Secrets Manager rotation policy needed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Performance</t>
        </is>
      </c>
      <c r="D18" s="40" t="inlineStr">
        <is>
          <t>What is the end-to-end generation SLA per solution (target: under 60 minutes)? Are there sub-SLAs per phase or per agent?</t>
        </is>
      </c>
      <c r="E18" s="40" t="inlineStr">
        <is>
          <t>Identify which agents are on the critical path and acceptable tail latency</t>
        </is>
      </c>
      <c r="F18" s="39" t="n"/>
      <c r="G18" s="40" t="inlineStr">
        <is>
          <t>Performance budgeting across agents; impacts retry timeout configuration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Quotas &amp; Throttling</t>
        </is>
      </c>
      <c r="D19" s="38" t="inlineStr">
        <is>
          <t>Describe the per-user monthly quota (10 solutions) and global pool (1,000 solutions/month) enforcement mechanism. How are atomic DynamoDB increments implemented?</t>
        </is>
      </c>
      <c r="E19" s="38" t="inlineStr">
        <is>
          <t>Confirm whether optimistic locking or conditional writes are used; identify quota reset cadence (calendar month vs. rolling 30 days)</t>
        </is>
      </c>
      <c r="F19" s="39" t="n"/>
      <c r="G19" s="38" t="inlineStr">
        <is>
          <t>Quota logic is a core platform feature; must be bulletproof before production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Terraform &amp; IaC</t>
        </is>
      </c>
      <c r="D20" s="40" t="inlineStr">
        <is>
          <t>What Terraform version and provider versions are required? Is Terraform Cloud or AWS CodeBuild used for plan/apply?</t>
        </is>
      </c>
      <c r="E20" s="40" t="inlineStr">
        <is>
          <t>Confirm `terraform validate` as the PoC gate; identify whether `terraform plan` and `apply` are in scope for Phase 3</t>
        </is>
      </c>
      <c r="F20" s="39" t="n"/>
      <c r="G20" s="40" t="inlineStr">
        <is>
          <t>IaC scope and pipeline design for the automation bundle artifact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Integration</t>
        </is>
      </c>
      <c r="D21" s="38" t="inlineStr">
        <is>
          <t>Are there any integrations beyond GitHub and AWS services (e.g. Jira for ticket creation, Slack for notifications, CRM for opportunity tracking)?</t>
        </is>
      </c>
      <c r="E21" s="38" t="inlineStr">
        <is>
          <t>Identify any webhooks or event-driven integrations required for Phase 1 or Phase 3</t>
        </is>
      </c>
      <c r="F21" s="39" t="n"/>
      <c r="G21" s="38" t="inlineStr">
        <is>
          <t>Additional integrations add scope; must be scoped explicitly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What compliance frameworks apply to the Amatra platform? (e.g. SOC 2 Type II, ISO 27001, CMMC, FedRAMP)</t>
        </is>
      </c>
      <c r="E2" s="40" t="inlineStr">
        <is>
          <t>PREDICTif operates as an AWS partner serving enterprise customers; identify any inherited compliance obligations</t>
        </is>
      </c>
      <c r="F2" s="39" t="n"/>
      <c r="G2" s="40" t="inlineStr">
        <is>
          <t>Compliance posture drives security control selection and audit logging requirements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is the highest data classification of content processed by the platform?</t>
        </is>
      </c>
      <c r="E3" s="38" t="inlineStr">
        <is>
          <t>Consider client briefings, solution artifacts, and any PII in user profiles; classify as Public / Internal / Confidential / Restricted</t>
        </is>
      </c>
      <c r="F3" s="39" t="n"/>
      <c r="G3" s="38" t="inlineStr">
        <is>
          <t>Data classification determines encryption, access control, and retention requirements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Authentication &amp; IAM</t>
        </is>
      </c>
      <c r="D4" s="40" t="inlineStr">
        <is>
          <t>What IAM permission boundaries and Service Control Policies (SCPs) apply in the target AWS account?</t>
        </is>
      </c>
      <c r="E4" s="40" t="inlineStr">
        <is>
          <t>Identify any deny-list SCPs that could block Bedrock, AgentCore, Cognito, or Lambda cross-account access</t>
        </is>
      </c>
      <c r="F4" s="39" t="n"/>
      <c r="G4" s="40" t="inlineStr">
        <is>
          <t>SCP conflicts can block deployment; must be reviewed in Phase 1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Authentication &amp; IAM</t>
        </is>
      </c>
      <c r="D5" s="38" t="inlineStr">
        <is>
          <t>What is the IAM role strategy for agents? Will each agent (Input Validator, Pre-Sales Generator, etc.) have a dedicated least-privilege role?</t>
        </is>
      </c>
      <c r="E5" s="38" t="inlineStr">
        <is>
          <t>Identify whether roles are per-agent or shared; confirm cross-service permissions (Bedrock, S3, DynamoDB, Secrets Manager)</t>
        </is>
      </c>
      <c r="F5" s="39" t="n"/>
      <c r="G5" s="38" t="inlineStr">
        <is>
          <t>Least-privilege IAM design is a security best practice and audit requirement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Encryption</t>
        </is>
      </c>
      <c r="D6" s="40" t="inlineStr">
        <is>
          <t>What encryption requirements apply to data at rest and in transit?</t>
        </is>
      </c>
      <c r="E6" s="40" t="inlineStr">
        <is>
          <t>Confirm: S3 SSE-KMS vs. SSE-S3, DynamoDB encryption, Secrets Manager KMS key, TLS 1.2+ for API Gateway</t>
        </is>
      </c>
      <c r="F6" s="39" t="n"/>
      <c r="G6" s="40" t="inlineStr">
        <is>
          <t>Encryption key management strategy affects cost and operational complexity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Encryption</t>
        </is>
      </c>
      <c r="D7" s="38" t="inlineStr">
        <is>
          <t>Will a customer-managed KMS key (CMK) be required, or is AWS-managed encryption sufficient?</t>
        </is>
      </c>
      <c r="E7" s="38" t="inlineStr">
        <is>
          <t>CMK provides audit trail and key rotation control but adds operational overhead</t>
        </is>
      </c>
      <c r="F7" s="39" t="n"/>
      <c r="G7" s="38" t="inlineStr">
        <is>
          <t>CMK requirement driven by compliance framework and data sensitivity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Secrets Management</t>
        </is>
      </c>
      <c r="D8" s="40" t="inlineStr">
        <is>
          <t>How will the GitHub PAT, Bedrock API keys, and any third-party credentials be managed?</t>
        </is>
      </c>
      <c r="E8" s="40" t="inlineStr">
        <is>
          <t>Confirm AWS Secrets Manager with automatic rotation where supported; identify rotation frequency</t>
        </is>
      </c>
      <c r="F8" s="39" t="n"/>
      <c r="G8" s="40" t="inlineStr">
        <is>
          <t>Hardcoded credentials are a critical risk; Secrets Manager is mandatory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Network Security</t>
        </is>
      </c>
      <c r="D9" s="38" t="inlineStr">
        <is>
          <t>What VPC and network segmentation requirements apply?</t>
        </is>
      </c>
      <c r="E9" s="38" t="inlineStr">
        <is>
          <t>Confirm whether Lambda functions and AgentCore Runtime must run inside a VPC; identify VPC endpoint requirements for S3, DynamoDB, Bedrock</t>
        </is>
      </c>
      <c r="F9" s="39" t="n"/>
      <c r="G9" s="38" t="inlineStr">
        <is>
          <t>VPC configuration affects latency and egress costs; some Bedrock features require VPC endpoints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Audit &amp; Logging</t>
        </is>
      </c>
      <c r="D10" s="40" t="inlineStr">
        <is>
          <t>What audit logging and trail requirements exist?</t>
        </is>
      </c>
      <c r="E10" s="40" t="inlineStr">
        <is>
          <t>Confirm: CloudTrail for API calls, CloudWatch Logs for Lambda/agent execution, S3 access logging, Cognito sign-in events</t>
        </is>
      </c>
      <c r="F10" s="39" t="n"/>
      <c r="G10" s="40" t="inlineStr">
        <is>
          <t>Audit trail is required for SOC 2 and incident response; retention period must be specified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Vulnerability Management</t>
        </is>
      </c>
      <c r="D11" s="38" t="inlineStr">
        <is>
          <t>What is the process for patching the agent container image (base OS, Python packages, eof-tools)?</t>
        </is>
      </c>
      <c r="E11" s="38" t="inlineStr">
        <is>
          <t>Identify ECR image scanning (Basic vs. Inspector), patch cadence, and responsible team</t>
        </is>
      </c>
      <c r="F11" s="39" t="n"/>
      <c r="G11" s="38" t="inlineStr">
        <is>
          <t>Container vulnerabilities are the primary attack surface; scanning policy needed</t>
        </is>
      </c>
    </row>
    <row r="12">
      <c r="A12" s="40" t="inlineStr">
        <is>
          <t>SEC-011</t>
        </is>
      </c>
      <c r="B12" s="40" t="inlineStr">
        <is>
          <t>Security &amp; Compliance</t>
        </is>
      </c>
      <c r="C12" s="40" t="inlineStr">
        <is>
          <t>Data Residency</t>
        </is>
      </c>
      <c r="D12" s="40" t="inlineStr">
        <is>
          <t>Must all data (S3 artifacts, DynamoDB records, CloudWatch logs) remain within us-west-2?</t>
        </is>
      </c>
      <c r="E12" s="40" t="inlineStr">
        <is>
          <t>Confirm no cross-region replication unless explicitly approved; check CloudWatch Logs Insights cross-region queries</t>
        </is>
      </c>
      <c r="F12" s="39" t="n"/>
      <c r="G12" s="40" t="inlineStr">
        <is>
          <t>Data residency confirmation needed before architecture is finalised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 &amp; RPO</t>
        </is>
      </c>
      <c r="D2" s="40" t="inlineStr">
        <is>
          <t>What are the Recovery Time Objective (RTO) and Recovery Point Objective (RPO) requirements for the Amatra platform?</t>
        </is>
      </c>
      <c r="E2" s="40" t="inlineStr">
        <is>
          <t>Example: RTO &lt; 4 hours, RPO &lt; 1 hour. Consider DynamoDB point-in-time recovery and S3 versioning</t>
        </is>
      </c>
      <c r="F2" s="39" t="n"/>
      <c r="G2" s="40" t="inlineStr">
        <is>
          <t>DR architecture depends on RTO/RPO targets; influences multi-AZ vs. multi-region design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Monitoring &amp; Alerting</t>
        </is>
      </c>
      <c r="D3" s="38" t="inlineStr">
        <is>
          <t>What monitoring and alerting capabilities are required for the platform?</t>
        </is>
      </c>
      <c r="E3" s="38" t="inlineStr">
        <is>
          <t>Identify key metrics: agent execution duration, retry rates, quota utilisation, API error rates, Bedrock throttling</t>
        </is>
      </c>
      <c r="F3" s="39" t="n"/>
      <c r="G3" s="38" t="inlineStr">
        <is>
          <t>CloudWatch dashboard and alarm configuration scope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 &amp; Alerting</t>
        </is>
      </c>
      <c r="D4" s="40" t="inlineStr">
        <is>
          <t>Who receives operational alerts (PagerDuty, SNS email, Slack) and what are the escalation paths?</t>
        </is>
      </c>
      <c r="E4" s="40" t="inlineStr">
        <is>
          <t>Identify on-call ownership — Amatra internal team or PREDICTif managed services</t>
        </is>
      </c>
      <c r="F4" s="39" t="n"/>
      <c r="G4" s="40" t="inlineStr">
        <is>
          <t>Alert routing design and on-call runbook scope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Support Coverage</t>
        </is>
      </c>
      <c r="D5" s="38" t="inlineStr">
        <is>
          <t>What support coverage is required for the platform: business hours (8x5) or 24x7?</t>
        </is>
      </c>
      <c r="E5" s="38" t="inlineStr">
        <is>
          <t>Consider the sales cycle — do engagements run outside business hours, e.g. overnight batch generation?</t>
        </is>
      </c>
      <c r="F5" s="39" t="n"/>
      <c r="G5" s="38" t="inlineStr">
        <is>
          <t>Support model drives staffing and AWS Support plan tier selection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Backup &amp; Recovery</t>
        </is>
      </c>
      <c r="D6" s="40" t="inlineStr">
        <is>
          <t>What backup strategy is required for DynamoDB (user profiles, quotas) and S3 (solution artifacts)?</t>
        </is>
      </c>
      <c r="E6" s="40" t="inlineStr">
        <is>
          <t>Confirm DynamoDB PITR (35-day retention), S3 versioning, and any cross-region backup requirements</t>
        </is>
      </c>
      <c r="F6" s="39" t="n"/>
      <c r="G6" s="40" t="inlineStr">
        <is>
          <t>Backup scope and retention period drive storage costs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Capacity Planning</t>
        </is>
      </c>
      <c r="D7" s="38" t="inlineStr">
        <is>
          <t>How will the platform scale beyond 200 solutions/month if demand grows?</t>
        </is>
      </c>
      <c r="E7" s="38" t="inlineStr">
        <is>
          <t>Identify scaling triggers: Lambda auto-scaling, DynamoDB auto-scaling, Bedrock quota increase SLA</t>
        </is>
      </c>
      <c r="F7" s="39" t="n"/>
      <c r="G7" s="38" t="inlineStr">
        <is>
          <t>Growth planning ensures the architecture is not a ceiling; important for investor/customer demos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Cost Observability</t>
        </is>
      </c>
      <c r="D8" s="40" t="inlineStr">
        <is>
          <t>How will per-solution cost be tracked and reported (Bedrock tokens, Lambda invocations, S3 operations)?</t>
        </is>
      </c>
      <c r="E8" s="40" t="inlineStr">
        <is>
          <t>Identify whether AWS Cost Explorer tags per solution ID, or whether a custom cost-attribution mechanism is needed</t>
        </is>
      </c>
      <c r="F8" s="39" t="n"/>
      <c r="G8" s="40" t="inlineStr">
        <is>
          <t>Per-solution cost tracking validates the sub-$5 model spend target and enables customer billing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Maintenance</t>
        </is>
      </c>
      <c r="D9" s="38" t="inlineStr">
        <is>
          <t>What maintenance windows are available for patching, schema migrations, and container image updates?</t>
        </is>
      </c>
      <c r="E9" s="38" t="inlineStr">
        <is>
          <t>Identify blackout periods (e.g. end-of-quarter sales pushes) and acceptable downtime</t>
        </is>
      </c>
      <c r="F9" s="39" t="n"/>
      <c r="G9" s="38" t="inlineStr">
        <is>
          <t>Maintenance window planning affects deployment pipeline design</t>
        </is>
      </c>
    </row>
    <row r="10">
      <c r="A10" s="40" t="inlineStr">
        <is>
          <t>OPS-009</t>
        </is>
      </c>
      <c r="B10" s="40" t="inlineStr">
        <is>
          <t>Operations &amp; Support</t>
        </is>
      </c>
      <c r="C10" s="40" t="inlineStr">
        <is>
          <t>Training</t>
        </is>
      </c>
      <c r="D10" s="40" t="inlineStr">
        <is>
          <t>What operational training is required for the Amatra team to manage the platform post-delivery?</t>
        </is>
      </c>
      <c r="E10" s="40" t="inlineStr">
        <is>
          <t>Identify runbook requirements, CloudWatch dashboard training, and incident response procedures</t>
        </is>
      </c>
      <c r="F10" s="39" t="n"/>
      <c r="G10" s="40" t="inlineStr">
        <is>
          <t>Knowledge transfer scope and timeline for Phase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What is the cutover strategy from the current manual Claude Code CLI process to the automated platform?</t>
        </is>
      </c>
      <c r="E2" s="40" t="inlineStr">
        <is>
          <t>Options: hard cutover on go-live date, parallel run (both old and new), or phased by artifact type</t>
        </is>
      </c>
      <c r="F2" s="39" t="n"/>
      <c r="G2" s="40" t="inlineStr">
        <is>
          <t>Migration approach affects timeline and consultant re-training scope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Migration Approach</t>
        </is>
      </c>
      <c r="D3" s="38" t="inlineStr">
        <is>
          <t>Will existing manually-generated solution artifacts be migrated into the new S3/DynamoDB store, or will the platform start fresh?</t>
        </is>
      </c>
      <c r="E3" s="38" t="inlineStr">
        <is>
          <t>Estimate volume of historical artifacts and metadata to migrate</t>
        </is>
      </c>
      <c r="F3" s="39" t="n"/>
      <c r="G3" s="38" t="inlineStr">
        <is>
          <t>Data migration scope impacts Phase 3 effort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Downtime Tolerance</t>
        </is>
      </c>
      <c r="D4" s="40" t="inlineStr">
        <is>
          <t>What is the maximum acceptable downtime for the platform during go-live cutover?</t>
        </is>
      </c>
      <c r="E4" s="40" t="inlineStr">
        <is>
          <t>Given no current SLA, is any downtime acceptable, or does the sales team require zero-downtime deployment?</t>
        </is>
      </c>
      <c r="F4" s="39" t="n"/>
      <c r="G4" s="40" t="inlineStr">
        <is>
          <t>Determines blue/green vs. rolling deployment strategy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Parallel Run</t>
        </is>
      </c>
      <c r="D5" s="38" t="inlineStr">
        <is>
          <t>Is a parallel run required where both the manual process and the automated platform run simultaneously?</t>
        </is>
      </c>
      <c r="E5" s="38" t="inlineStr">
        <is>
          <t>Specify duration (e.g. 2 weeks) and acceptance criteria for cutting off the manual process</t>
        </is>
      </c>
      <c r="F5" s="39" t="n"/>
      <c r="G5" s="38" t="inlineStr">
        <is>
          <t>Parallel run adds effort but reduces risk; drives Phase 3 timeline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 Availability</t>
        </is>
      </c>
      <c r="D6" s="40" t="inlineStr">
        <is>
          <t>Which PREDICTif team members will be available for the 12-week engagement, and what are their roles and weekly time commitments?</t>
        </is>
      </c>
      <c r="E6" s="40" t="inlineStr">
        <is>
          <t>Identify: AWS architect, DevOps engineer, pre-sales SME, QA/testing resource</t>
        </is>
      </c>
      <c r="F6" s="39" t="n"/>
      <c r="G6" s="40" t="inlineStr">
        <is>
          <t>Resource gaps drive subcontracting decisions and timeline risk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Environment Strategy</t>
        </is>
      </c>
      <c r="D7" s="38" t="inlineStr">
        <is>
          <t>How many environments are required: development, staging, production? Will each have its own AWS account?</t>
        </is>
      </c>
      <c r="E7" s="38" t="inlineStr">
        <is>
          <t>Confirm environment isolation strategy and whether staging mirrors production (same Bedrock models, same Cognito pool)</t>
        </is>
      </c>
      <c r="F7" s="39" t="n"/>
      <c r="G7" s="38" t="inlineStr">
        <is>
          <t>Environment design affects IAM, cost, and CI/CD pipeline complexity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Testing &amp; UAT</t>
        </is>
      </c>
      <c r="D8" s="40" t="inlineStr">
        <is>
          <t>What user acceptance testing (UAT) approach is planned? Who signs off on each phase milestone?</t>
        </is>
      </c>
      <c r="E8" s="40" t="inlineStr">
        <is>
          <t>Identify UAT participants (Marcus Patel, Daniel Park), test scenarios, and acceptance criteria per artifact type</t>
        </is>
      </c>
      <c r="F8" s="39" t="n"/>
      <c r="G8" s="40" t="inlineStr">
        <is>
          <t>UAT gate is required before Phase 3 sign-off and executive demo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Go-Live Readiness</t>
        </is>
      </c>
      <c r="D9" s="38" t="inlineStr">
        <is>
          <t>What go-live readiness checklist items must be completed before the April 2026 executive demo?</t>
        </is>
      </c>
      <c r="E9" s="38" t="inlineStr">
        <is>
          <t>Examples: all 5 presales artifacts passing validation, CLI auth working, quota enforcement tested, CloudWatch baseline green</t>
        </is>
      </c>
      <c r="F9" s="39" t="n"/>
      <c r="G9" s="38" t="inlineStr">
        <is>
          <t>Go-live criteria define the finish line and prevent scope creep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Change Management</t>
        </is>
      </c>
      <c r="D10" s="40" t="inlineStr">
        <is>
          <t>How will the 120 Amatra consultants be onboarded to the new CLI and API?</t>
        </is>
      </c>
      <c r="E10" s="40" t="inlineStr">
        <is>
          <t>Identify training format (self-service docs, live session, video walkthrough) and rollout plan</t>
        </is>
      </c>
      <c r="F10" s="39" t="n"/>
      <c r="G10" s="40" t="inlineStr">
        <is>
          <t>Change management is a delivery risk; early planning reduces adoption friction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Vendor &amp; Licensing</t>
        </is>
      </c>
      <c r="D11" s="38" t="inlineStr">
        <is>
          <t>Are there any AWS program credits (MAP, APN, EDP) or Bedrock committed-use agreements available to offset first-year run costs?</t>
        </is>
      </c>
      <c r="E11" s="38" t="inlineStr">
        <is>
          <t>Confirm existing AWS EDP agreement status and eligibility for MAP credits for migration workloads</t>
        </is>
      </c>
      <c r="F11" s="39" t="n"/>
      <c r="G11" s="38" t="inlineStr">
        <is>
          <t>Credits can materially reduce the $100k-$200k first-year run cost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Technical Risks</t>
        </is>
      </c>
      <c r="D2" s="40" t="inlineStr">
        <is>
          <t>What is the risk if AWS Bedrock AgentCore Runtime is not generally available or has breaking changes before the April 2026 deadline?</t>
        </is>
      </c>
      <c r="E2" s="40" t="inlineStr">
        <is>
          <t>Identify fallback options: self-hosted Strands on ECS, Step Functions orchestration, or Lambda-native orchestration</t>
        </is>
      </c>
      <c r="F2" s="39" t="n"/>
      <c r="G2" s="40" t="inlineStr">
        <is>
          <t>AgentCore Runtime is a new service; GA timeline and API stability must be validated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Technical Risks</t>
        </is>
      </c>
      <c r="D3" s="38" t="inlineStr">
        <is>
          <t>What is the contingency if Claude Sonnet 4.6 or Haiku 4.5 are not available in us-west-2 by the PoC deadline?</t>
        </is>
      </c>
      <c r="E3" s="38" t="inlineStr">
        <is>
          <t>Confirm model availability schedule with AWS account team; identify acceptable substitute models</t>
        </is>
      </c>
      <c r="F3" s="39" t="n"/>
      <c r="G3" s="38" t="inlineStr">
        <is>
          <t>Model availability is a hard dependency; early confirmation reduces go/no-go risk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Dependencies</t>
        </is>
      </c>
      <c r="D4" s="40" t="inlineStr">
        <is>
          <t>What external dependencies could delay Phase 1 (weeks 1-4)? Examples: AWS account provisioning, CTO approval for Cognito, Procurement for spend envelope.</t>
        </is>
      </c>
      <c r="E4" s="40" t="inlineStr">
        <is>
          <t>Identify owner and expected lead time for each dependency</t>
        </is>
      </c>
      <c r="F4" s="39" t="n"/>
      <c r="G4" s="40" t="inlineStr">
        <is>
          <t>Phase 1 dependencies on the critical path must be tracked from day one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Constraints</t>
        </is>
      </c>
      <c r="D5" s="38" t="inlineStr">
        <is>
          <t>Are there any organisational or policy constraints on storing client briefing data (containing engagement IP) in S3?</t>
        </is>
      </c>
      <c r="E5" s="38" t="inlineStr">
        <is>
          <t>Confirm data classification of input briefs and whether any customers have contractual restrictions on cloud storage</t>
        </is>
      </c>
      <c r="F5" s="39" t="n"/>
      <c r="G5" s="38" t="inlineStr">
        <is>
          <t>Data handling constraints may require additional encryption or access controls</t>
        </is>
      </c>
    </row>
    <row r="6">
      <c r="A6" s="40" t="inlineStr">
        <is>
          <t>RISK-005</t>
        </is>
      </c>
      <c r="B6" s="40" t="inlineStr">
        <is>
          <t>Risk &amp; Constraints</t>
        </is>
      </c>
      <c r="C6" s="40" t="inlineStr">
        <is>
          <t>Assumptions</t>
        </is>
      </c>
      <c r="D6" s="40" t="inlineStr">
        <is>
          <t>Confirm the assumption that the eof-tools converter library (~30 modules) is stable and will not require significant re-engineering during the engagement.</t>
        </is>
      </c>
      <c r="E6" s="40" t="inlineStr">
        <is>
          <t>Identify known technical debt, unsupported artifact types, or planned refactoring</t>
        </is>
      </c>
      <c r="F6" s="39" t="n"/>
      <c r="G6" s="40" t="inlineStr">
        <is>
          <t>Unstable eof-tools would increase Phase 2 effort significantly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2026-06-05T18:10:29Z</dcterms:modified>
  <cp:lastModifiedBy>Kishan Siram</cp:lastModifiedBy>
</cp:coreProperties>
</file>