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Assumptions'!$A$2:$G$10</definedName>
    <definedName name="_xlnm._FilterDatabase" localSheetId="2" hidden="1">'Estimate Settings'!$A$2:$D$8</definedName>
    <definedName name="_xlnm._FilterDatabase" localSheetId="3" hidden="1">'LOE'!$A$2:$K$59</definedName>
    <definedName name="_xlnm._FilterDatabase" localSheetId="4" hidden="1">'Credits'!$A$2:$C$6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4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left" vertical="center" wrapText="1" indent="1"/>
    </xf>
    <xf numFmtId="0" fontId="17" fillId="11" borderId="5" applyAlignment="1" pivotButton="0" quotePrefix="0" xfId="0">
      <alignment horizontal="left" vertical="center" wrapText="1" indent="1"/>
    </xf>
    <xf numFmtId="3" fontId="17" fillId="11" borderId="5" applyAlignment="1" pivotButton="0" quotePrefix="0" xfId="0">
      <alignment horizontal="right" vertical="center" wrapText="1"/>
    </xf>
    <xf numFmtId="165" fontId="17" fillId="11" borderId="5" applyAlignment="1" pivotButton="0" quotePrefix="0" xfId="0">
      <alignment horizontal="center" vertical="center" wrapText="1"/>
    </xf>
    <xf numFmtId="166" fontId="17" fillId="11" borderId="5" applyAlignment="1" pivotButton="0" quotePrefix="0" xfId="0">
      <alignment horizontal="right" vertical="center" wrapText="1"/>
    </xf>
    <xf numFmtId="0" fontId="17" fillId="4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left" vertical="center" wrapText="1"/>
    </xf>
    <xf numFmtId="166" fontId="4" fillId="5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Level of Effort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05, 2026</t>
        </is>
      </c>
    </row>
    <row r="6" ht="18" customHeight="1">
      <c r="B6" s="2" t="inlineStr">
        <is>
          <t>Solution:</t>
        </is>
      </c>
      <c r="C6" s="3" t="inlineStr">
        <is>
          <t>Tmpbl4V3_Rd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34" t="inlineStr">
        <is>
          <t>SCOPE ASSUMPTIONS</t>
        </is>
      </c>
    </row>
    <row r="2" ht="32" customHeight="1">
      <c r="A2" s="35" t="inlineStr">
        <is>
          <t>Category</t>
        </is>
      </c>
      <c r="B2" s="35" t="inlineStr">
        <is>
          <t>Baseline Assumption</t>
        </is>
      </c>
      <c r="C2" s="35" t="inlineStr">
        <is>
          <t>Current Scope</t>
        </is>
      </c>
      <c r="D2" s="35" t="inlineStr">
        <is>
          <t>Small (1x)</t>
        </is>
      </c>
      <c r="E2" s="35" t="inlineStr">
        <is>
          <t>Medium (2x)</t>
        </is>
      </c>
      <c r="F2" s="35" t="inlineStr">
        <is>
          <t>Large (3x)</t>
        </is>
      </c>
      <c r="G2" s="35" t="inlineStr">
        <is>
          <t>Notes</t>
        </is>
      </c>
    </row>
    <row r="3" ht="26" customHeight="1">
      <c r="A3" s="36" t="inlineStr">
        <is>
          <t>Users / Consultants</t>
        </is>
      </c>
      <c r="B3" s="37" t="inlineStr">
        <is>
          <t>Single business unit</t>
        </is>
      </c>
      <c r="C3" s="38" t="inlineStr">
        <is>
          <t>~120 consultants across US and Canada</t>
        </is>
      </c>
      <c r="D3" s="37" t="inlineStr">
        <is>
          <t>Up to 50 users</t>
        </is>
      </c>
      <c r="E3" s="37" t="inlineStr">
        <is>
          <t>51–200 users</t>
        </is>
      </c>
      <c r="F3" s="37" t="inlineStr">
        <is>
          <t>200+ users</t>
        </is>
      </c>
      <c r="G3" s="37" t="inlineStr">
        <is>
          <t>Amatra team is ~120 consultants; all will use the CLI and API</t>
        </is>
      </c>
    </row>
    <row r="4" ht="26" customHeight="1">
      <c r="A4" s="39" t="inlineStr">
        <is>
          <t>Regions / Geographies</t>
        </is>
      </c>
      <c r="B4" s="40" t="inlineStr">
        <is>
          <t>Single AWS region</t>
        </is>
      </c>
      <c r="C4" s="38" t="inlineStr">
        <is>
          <t>us-west-2 (primary)</t>
        </is>
      </c>
      <c r="D4" s="40" t="inlineStr">
        <is>
          <t>1 region</t>
        </is>
      </c>
      <c r="E4" s="40" t="inlineStr">
        <is>
          <t>2 regions</t>
        </is>
      </c>
      <c r="F4" s="40" t="inlineStr">
        <is>
          <t>3+ regions</t>
        </is>
      </c>
      <c r="G4" s="40" t="inlineStr">
        <is>
          <t>New footprint isolated in us-west-2; existing workloads remain in us-east-1</t>
        </is>
      </c>
    </row>
    <row r="5" ht="26" customHeight="1">
      <c r="A5" s="36" t="inlineStr">
        <is>
          <t>Agents / Microservices</t>
        </is>
      </c>
      <c r="B5" s="37" t="inlineStr">
        <is>
          <t>3–4 Lambda functions</t>
        </is>
      </c>
      <c r="C5" s="38" t="inlineStr">
        <is>
          <t>5 agents + 14 CLI subcommands + 11 API Lambda routes</t>
        </is>
      </c>
      <c r="D5" s="37" t="inlineStr">
        <is>
          <t>3–5 functions</t>
        </is>
      </c>
      <c r="E5" s="37" t="inlineStr">
        <is>
          <t>6–15 functions</t>
        </is>
      </c>
      <c r="F5" s="37" t="inlineStr">
        <is>
          <t>16+ functions</t>
        </is>
      </c>
      <c r="G5" s="37" t="inlineStr">
        <is>
          <t>Five Strands agents: Input Validator, Pre-Sales Generator, Delivery Generator, Code Generator, EO Validator</t>
        </is>
      </c>
    </row>
    <row r="6" ht="26" customHeight="1">
      <c r="A6" s="39" t="inlineStr">
        <is>
          <t>Artifact Types</t>
        </is>
      </c>
      <c r="B6" s="40" t="inlineStr">
        <is>
          <t>4–6 artifact types</t>
        </is>
      </c>
      <c r="C6" s="38" t="inlineStr">
        <is>
          <t>12 artifacts per solution (5 presales + 6 delivery + 1 automation)</t>
        </is>
      </c>
      <c r="D6" s="40" t="inlineStr">
        <is>
          <t>Up to 6 artifacts</t>
        </is>
      </c>
      <c r="E6" s="40" t="inlineStr">
        <is>
          <t>7–12 artifacts</t>
        </is>
      </c>
      <c r="F6" s="40" t="inlineStr">
        <is>
          <t>13+ artifacts</t>
        </is>
      </c>
      <c r="G6" s="40" t="inlineStr">
        <is>
          <t>EO Framework defines 12 artifacts; each has format-check + LLM quality validation with up to 3 retries</t>
        </is>
      </c>
    </row>
    <row r="7" ht="26" customHeight="1">
      <c r="A7" s="36" t="inlineStr">
        <is>
          <t>Integrations / External Systems</t>
        </is>
      </c>
      <c r="B7" s="37" t="inlineStr">
        <is>
          <t>1–2 integrations</t>
        </is>
      </c>
      <c r="C7" s="38" t="inlineStr">
        <is>
          <t>4 integrations (Bedrock AgentCore + Cognito + GitHub + DynamoDB quota)</t>
        </is>
      </c>
      <c r="D7" s="37" t="inlineStr">
        <is>
          <t>1–2 integrations</t>
        </is>
      </c>
      <c r="E7" s="37" t="inlineStr">
        <is>
          <t>3–5 integrations</t>
        </is>
      </c>
      <c r="F7" s="37" t="inlineStr">
        <is>
          <t>6+ integrations</t>
        </is>
      </c>
      <c r="G7" s="37" t="inlineStr">
        <is>
          <t>GitHub PAT push, Cognito JWT auth, DynamoDB atomic quotas, Bedrock model calls</t>
        </is>
      </c>
    </row>
    <row r="8" ht="26" customHeight="1">
      <c r="A8" s="39" t="inlineStr">
        <is>
          <t>Environments</t>
        </is>
      </c>
      <c r="B8" s="40" t="inlineStr">
        <is>
          <t>Dev + Prod</t>
        </is>
      </c>
      <c r="C8" s="38" t="inlineStr">
        <is>
          <t>Dev / Staging / Prod (3 environments)</t>
        </is>
      </c>
      <c r="D8" s="40" t="inlineStr">
        <is>
          <t>Dev + Prod</t>
        </is>
      </c>
      <c r="E8" s="40" t="inlineStr">
        <is>
          <t>Dev + Staging + Prod</t>
        </is>
      </c>
      <c r="F8" s="40" t="inlineStr">
        <is>
          <t>Dev + Staging + Prod + DR</t>
        </is>
      </c>
      <c r="G8" s="40" t="inlineStr">
        <is>
          <t>Blast-radius isolation between POC (us-west-2) and existing managed-services (us-east-1)</t>
        </is>
      </c>
    </row>
    <row r="9" ht="26" customHeight="1">
      <c r="A9" s="36" t="inlineStr">
        <is>
          <t>Compliance / Security</t>
        </is>
      </c>
      <c r="B9" s="37" t="inlineStr">
        <is>
          <t>Standard AWS security baseline</t>
        </is>
      </c>
      <c r="C9" s="38" t="inlineStr">
        <is>
          <t>CTO sign-off required; JWT auth; per-user + global quotas; audit trail</t>
        </is>
      </c>
      <c r="D9" s="37" t="inlineStr">
        <is>
          <t>Basic IAM</t>
        </is>
      </c>
      <c r="E9" s="37" t="inlineStr">
        <is>
          <t>IAM + Cognito + audit logging</t>
        </is>
      </c>
      <c r="F9" s="37" t="inlineStr">
        <is>
          <t>IAM + Cognito + SIEM + compliance reporting</t>
        </is>
      </c>
      <c r="G9" s="37" t="inlineStr">
        <is>
          <t>CTO approval gate for Cognito user pool and production deployment</t>
        </is>
      </c>
    </row>
    <row r="10" ht="26" customHeight="1">
      <c r="A10" s="39" t="inlineStr">
        <is>
          <t>SLA / Availability Target</t>
        </is>
      </c>
      <c r="B10" s="40" t="inlineStr">
        <is>
          <t>Business-hours availability</t>
        </is>
      </c>
      <c r="C10" s="38" t="inlineStr">
        <is>
          <t>POC target; production path to 99.9% uptime</t>
        </is>
      </c>
      <c r="D10" s="40" t="inlineStr">
        <is>
          <t>Best effort</t>
        </is>
      </c>
      <c r="E10" s="40" t="inlineStr">
        <is>
          <t>99.5% uptime</t>
        </is>
      </c>
      <c r="F10" s="40" t="inlineStr">
        <is>
          <t>99.9%+ with DR</t>
        </is>
      </c>
      <c r="G10" s="40" t="inlineStr">
        <is>
          <t>12-week POC hard deadline (end of April 2026); Bedrock + AgentCore SLAs inherited</t>
        </is>
      </c>
    </row>
  </sheetData>
  <autoFilter ref="A2:G1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80" customWidth="1" min="4" max="4"/>
  </cols>
  <sheetData>
    <row r="1" ht="32" customHeight="1">
      <c r="A1" s="34" t="inlineStr">
        <is>
          <t>ESTIMATE SETTINGS</t>
        </is>
      </c>
    </row>
    <row r="2" ht="32" customHeight="1">
      <c r="A2" s="35" t="inlineStr">
        <is>
          <t>Phase</t>
        </is>
      </c>
      <c r="B2" s="35" t="inlineStr">
        <is>
          <t>Variable Name</t>
        </is>
      </c>
      <c r="C2" s="35" t="inlineStr">
        <is>
          <t>Multiplier</t>
        </is>
      </c>
      <c r="D2" s="35" t="inlineStr">
        <is>
          <t>Description / Applies To Tasks</t>
        </is>
      </c>
    </row>
    <row r="3" ht="26" customHeight="1">
      <c r="A3" s="36" t="inlineStr">
        <is>
          <t>Discovery</t>
        </is>
      </c>
      <c r="B3" s="37" t="inlineStr">
        <is>
          <t>discovery_factor</t>
        </is>
      </c>
      <c r="C3" s="41" t="n">
        <v>1</v>
      </c>
      <c r="D3" s="37" t="inlineStr">
        <is>
          <t>Baseline stakeholder interviews; current-state review of legacy CLI workflow and eof-tools library</t>
        </is>
      </c>
    </row>
    <row r="4" ht="26" customHeight="1">
      <c r="A4" s="39" t="inlineStr">
        <is>
          <t>Planning</t>
        </is>
      </c>
      <c r="B4" s="40" t="inlineStr">
        <is>
          <t>planning_factor</t>
        </is>
      </c>
      <c r="C4" s="42" t="n">
        <v>1.2</v>
      </c>
      <c r="D4" s="40" t="inlineStr">
        <is>
          <t>Elevated for multi-agent graph design; AWS Landing Zone and IAM architecture complexity</t>
        </is>
      </c>
    </row>
    <row r="5" ht="26" customHeight="1">
      <c r="A5" s="36" t="inlineStr">
        <is>
          <t>Development</t>
        </is>
      </c>
      <c r="B5" s="37" t="inlineStr">
        <is>
          <t>development_factor</t>
        </is>
      </c>
      <c r="C5" s="41" t="n">
        <v>1.3</v>
      </c>
      <c r="D5" s="37" t="inlineStr">
        <is>
          <t>Core build phase; AgentCore Runtime + Strands framework integration, Docker image pipeline, 12-artifact converters</t>
        </is>
      </c>
    </row>
    <row r="6" ht="26" customHeight="1">
      <c r="A6" s="39" t="inlineStr">
        <is>
          <t>Testing</t>
        </is>
      </c>
      <c r="B6" s="40" t="inlineStr">
        <is>
          <t>testing_factor</t>
        </is>
      </c>
      <c r="C6" s="42" t="n">
        <v>1.1</v>
      </c>
      <c r="D6" s="40" t="inlineStr">
        <is>
          <t>End-to-end artifact validation across all 12 artifact types; CloudWatch metrics baseline; multi-agent retry logic</t>
        </is>
      </c>
    </row>
    <row r="7" ht="26" customHeight="1">
      <c r="A7" s="36" t="inlineStr">
        <is>
          <t>Deployment</t>
        </is>
      </c>
      <c r="B7" s="37" t="inlineStr">
        <is>
          <t>deployment_factor</t>
        </is>
      </c>
      <c r="C7" s="41" t="n">
        <v>1</v>
      </c>
      <c r="D7" s="37" t="inlineStr">
        <is>
          <t>Production deployment; knowledge transfer to Amatra team; runbook delivery</t>
        </is>
      </c>
    </row>
    <row r="8" ht="26" customHeight="1">
      <c r="A8" s="39" t="inlineStr">
        <is>
          <t>Management</t>
        </is>
      </c>
      <c r="B8" s="40" t="inlineStr">
        <is>
          <t>management_factor</t>
        </is>
      </c>
      <c r="C8" s="42" t="n">
        <v>1</v>
      </c>
      <c r="D8" s="40" t="inlineStr">
        <is>
          <t>Project management and technical leadership overhead (10% of engineering tasks)</t>
        </is>
      </c>
    </row>
    <row r="10" ht="20" customHeight="1">
      <c r="A10" s="43" t="inlineStr">
        <is>
          <t>EO Sales Engineer Updates Multipliers Based on Customer Scope</t>
        </is>
      </c>
    </row>
  </sheetData>
  <autoFilter ref="A2:D8"/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4" t="inlineStr">
        <is>
          <t>LEVEL OF EFFORT</t>
        </is>
      </c>
    </row>
    <row r="2" ht="32" customHeight="1">
      <c r="A2" s="35" t="inlineStr">
        <is>
          <t>Phase</t>
        </is>
      </c>
      <c r="B2" s="35" t="inlineStr">
        <is>
          <t>Work Package</t>
        </is>
      </c>
      <c r="C2" s="35" t="inlineStr">
        <is>
          <t>Task Description</t>
        </is>
      </c>
      <c r="D2" s="35" t="inlineStr">
        <is>
          <t>Resource Type</t>
        </is>
      </c>
      <c r="E2" s="35" t="inlineStr">
        <is>
          <t>Base Hours</t>
        </is>
      </c>
      <c r="F2" s="35" t="inlineStr">
        <is>
          <t>Effort Multiplier</t>
        </is>
      </c>
      <c r="G2" s="35" t="inlineStr">
        <is>
          <t>Actual Hours</t>
        </is>
      </c>
      <c r="H2" s="35" t="inlineStr">
        <is>
          <t>Rate</t>
        </is>
      </c>
      <c r="I2" s="35" t="inlineStr">
        <is>
          <t>Cost Estimate</t>
        </is>
      </c>
      <c r="J2" s="35" t="inlineStr">
        <is>
          <t>Dependencies</t>
        </is>
      </c>
      <c r="K2" s="35" t="inlineStr">
        <is>
          <t>Notes</t>
        </is>
      </c>
    </row>
    <row r="3" ht="26" customHeight="1">
      <c r="A3" s="44" t="inlineStr">
        <is>
          <t>Discovery</t>
        </is>
      </c>
      <c r="B3" s="45" t="inlineStr">
        <is>
          <t>Project Kickoff</t>
        </is>
      </c>
      <c r="C3" s="45" t="inlineStr">
        <is>
          <t>Kickoff meeting with Sarah Lin / Marcus Patel / Daniel Park; align on scope and success criteria</t>
        </is>
      </c>
      <c r="D3" s="45" t="inlineStr">
        <is>
          <t>Project Manager</t>
        </is>
      </c>
      <c r="E3" s="46" t="n">
        <v>8</v>
      </c>
      <c r="F3" s="47" t="n">
        <v>1</v>
      </c>
      <c r="G3" s="46" t="n">
        <v>8</v>
      </c>
      <c r="H3" s="48" t="n">
        <v>175</v>
      </c>
      <c r="I3" s="48" t="n">
        <v>1400</v>
      </c>
      <c r="J3" s="45" t="inlineStr"/>
      <c r="K3" s="45" t="inlineStr">
        <is>
          <t>Week 1</t>
        </is>
      </c>
    </row>
    <row r="4" ht="26" customHeight="1">
      <c r="A4" s="49" t="inlineStr">
        <is>
          <t>Discovery</t>
        </is>
      </c>
      <c r="B4" s="50" t="inlineStr">
        <is>
          <t>Current-State Assessment</t>
        </is>
      </c>
      <c r="C4" s="50" t="inlineStr">
        <is>
          <t>Document legacy CLI workflow; map eof-tools converter library (~30 modules) and 12 artifact types</t>
        </is>
      </c>
      <c r="D4" s="50" t="inlineStr">
        <is>
          <t>Solution Architect</t>
        </is>
      </c>
      <c r="E4" s="51" t="n">
        <v>24</v>
      </c>
      <c r="F4" s="52" t="n">
        <v>1</v>
      </c>
      <c r="G4" s="51" t="n">
        <v>24</v>
      </c>
      <c r="H4" s="53" t="n">
        <v>225</v>
      </c>
      <c r="I4" s="53" t="n">
        <v>5400</v>
      </c>
      <c r="J4" s="50" t="inlineStr">
        <is>
          <t>Project Kickoff</t>
        </is>
      </c>
      <c r="K4" s="50" t="inlineStr">
        <is>
          <t>Produces as-is architecture baseline</t>
        </is>
      </c>
    </row>
    <row r="5" ht="26" customHeight="1">
      <c r="A5" s="44" t="inlineStr">
        <is>
          <t>Discovery</t>
        </is>
      </c>
      <c r="B5" s="45" t="inlineStr">
        <is>
          <t>Requirements Gathering</t>
        </is>
      </c>
      <c r="C5" s="45" t="inlineStr">
        <is>
          <t>Gather requirements for 14 CLI subcommands, 11 API routes, 5-agent graph, quota model, and GitHub push</t>
        </is>
      </c>
      <c r="D5" s="45" t="inlineStr">
        <is>
          <t>Solution Architect</t>
        </is>
      </c>
      <c r="E5" s="46" t="n">
        <v>32</v>
      </c>
      <c r="F5" s="47" t="n">
        <v>1</v>
      </c>
      <c r="G5" s="46" t="n">
        <v>32</v>
      </c>
      <c r="H5" s="48" t="n">
        <v>225</v>
      </c>
      <c r="I5" s="48" t="n">
        <v>7200</v>
      </c>
      <c r="J5" s="45" t="inlineStr">
        <is>
          <t>Current-State Assessment</t>
        </is>
      </c>
      <c r="K5" s="45" t="inlineStr">
        <is>
          <t>Interviews with Marcus Patel and Daniel Park</t>
        </is>
      </c>
    </row>
    <row r="6" ht="26" customHeight="1">
      <c r="A6" s="49" t="inlineStr">
        <is>
          <t>Discovery</t>
        </is>
      </c>
      <c r="B6" s="50" t="inlineStr">
        <is>
          <t>AWS Cloud Readiness Assessment</t>
        </is>
      </c>
      <c r="C6" s="50" t="inlineStr">
        <is>
          <t>Review existing AWS account; define us-west-2 landing zone, blast-radius controls, and account strategy</t>
        </is>
      </c>
      <c r="D6" s="50" t="inlineStr">
        <is>
          <t>Cloud Engineer</t>
        </is>
      </c>
      <c r="E6" s="51" t="n">
        <v>16</v>
      </c>
      <c r="F6" s="52" t="n">
        <v>1</v>
      </c>
      <c r="G6" s="51" t="n">
        <v>16</v>
      </c>
      <c r="H6" s="53" t="n">
        <v>200</v>
      </c>
      <c r="I6" s="53" t="n">
        <v>3200</v>
      </c>
      <c r="J6" s="50" t="inlineStr">
        <is>
          <t>Requirements Gathering</t>
        </is>
      </c>
      <c r="K6" s="50" t="inlineStr">
        <is>
          <t>Ensures new footprint isolation</t>
        </is>
      </c>
    </row>
    <row r="7" ht="26" customHeight="1">
      <c r="A7" s="44" t="inlineStr">
        <is>
          <t>Discovery</t>
        </is>
      </c>
      <c r="B7" s="45" t="inlineStr">
        <is>
          <t>Data &amp; Quota Model Design</t>
        </is>
      </c>
      <c r="C7" s="45" t="inlineStr">
        <is>
          <t>Design DynamoDB schema for per-user (10/month) and global (1000/month) atomic quota enforcement</t>
        </is>
      </c>
      <c r="D7" s="45" t="inlineStr">
        <is>
          <t>Solution Architect</t>
        </is>
      </c>
      <c r="E7" s="46" t="n">
        <v>16</v>
      </c>
      <c r="F7" s="47" t="n">
        <v>1</v>
      </c>
      <c r="G7" s="46" t="n">
        <v>16</v>
      </c>
      <c r="H7" s="48" t="n">
        <v>225</v>
      </c>
      <c r="I7" s="48" t="n">
        <v>3600</v>
      </c>
      <c r="J7" s="45" t="inlineStr">
        <is>
          <t>Requirements Gathering</t>
        </is>
      </c>
      <c r="K7" s="45" t="inlineStr">
        <is>
          <t>Drives DynamoDB partition key strategy</t>
        </is>
      </c>
    </row>
    <row r="8" ht="26" customHeight="1">
      <c r="A8" s="49" t="inlineStr">
        <is>
          <t>Discovery</t>
        </is>
      </c>
      <c r="B8" s="50" t="inlineStr">
        <is>
          <t>Gap Analysis</t>
        </is>
      </c>
      <c r="C8" s="50" t="inlineStr">
        <is>
          <t>Identify gaps between current manual process and target agentic engine; document risk register</t>
        </is>
      </c>
      <c r="D8" s="50" t="inlineStr">
        <is>
          <t>Solution Architect</t>
        </is>
      </c>
      <c r="E8" s="51" t="n">
        <v>16</v>
      </c>
      <c r="F8" s="52" t="n">
        <v>1</v>
      </c>
      <c r="G8" s="51" t="n">
        <v>16</v>
      </c>
      <c r="H8" s="53" t="n">
        <v>225</v>
      </c>
      <c r="I8" s="53" t="n">
        <v>3600</v>
      </c>
      <c r="J8" s="50" t="inlineStr">
        <is>
          <t>Current-State Assessment</t>
        </is>
      </c>
      <c r="K8" s="50" t="inlineStr"/>
    </row>
    <row r="9" ht="26" customHeight="1">
      <c r="A9" s="44" t="inlineStr">
        <is>
          <t>Discovery</t>
        </is>
      </c>
      <c r="B9" s="45" t="inlineStr">
        <is>
          <t>Assessment Report</t>
        </is>
      </c>
      <c r="C9" s="45" t="inlineStr">
        <is>
          <t>Document findings; produce architecture decision record (ADR) and phase-1 scope baseline</t>
        </is>
      </c>
      <c r="D9" s="45" t="inlineStr">
        <is>
          <t>Technical Writer</t>
        </is>
      </c>
      <c r="E9" s="46" t="n">
        <v>16</v>
      </c>
      <c r="F9" s="47" t="n">
        <v>1</v>
      </c>
      <c r="G9" s="46" t="n">
        <v>16</v>
      </c>
      <c r="H9" s="48" t="n">
        <v>125</v>
      </c>
      <c r="I9" s="48" t="n">
        <v>2000</v>
      </c>
      <c r="J9" s="45" t="inlineStr">
        <is>
          <t>Gap Analysis</t>
        </is>
      </c>
      <c r="K9" s="45" t="inlineStr">
        <is>
          <t>Delivered to Marcus Patel for CTO review</t>
        </is>
      </c>
    </row>
    <row r="10" ht="26" customHeight="1">
      <c r="A10" s="49" t="inlineStr">
        <is>
          <t>Planning</t>
        </is>
      </c>
      <c r="B10" s="50" t="inlineStr">
        <is>
          <t>AWS Landing Zone Setup</t>
        </is>
      </c>
      <c r="C10" s="50" t="inlineStr">
        <is>
          <t>Design VPC, IAM roles, S3 bucket policies, and CloudTrail in us-west-2 for POC footprint</t>
        </is>
      </c>
      <c r="D10" s="50" t="inlineStr">
        <is>
          <t>Cloud Engineer</t>
        </is>
      </c>
      <c r="E10" s="51" t="n">
        <v>40</v>
      </c>
      <c r="F10" s="52" t="n">
        <v>1.2</v>
      </c>
      <c r="G10" s="51" t="n">
        <v>48</v>
      </c>
      <c r="H10" s="53" t="n">
        <v>200</v>
      </c>
      <c r="I10" s="53" t="n">
        <v>9600</v>
      </c>
      <c r="J10" s="50" t="inlineStr">
        <is>
          <t>Assessment Report</t>
        </is>
      </c>
      <c r="K10" s="50" t="inlineStr">
        <is>
          <t>Phase 1 (Weeks 1–4) foundation</t>
        </is>
      </c>
    </row>
    <row r="11" ht="26" customHeight="1">
      <c r="A11" s="44" t="inlineStr">
        <is>
          <t>Planning</t>
        </is>
      </c>
      <c r="B11" s="45" t="inlineStr">
        <is>
          <t>API Gateway &amp; Lambda Architecture</t>
        </is>
      </c>
      <c r="C11" s="45" t="inlineStr">
        <is>
          <t>Design HTTP API v2 structure: 11 routes, JWT authoriser, Lambda integration patterns, throttling</t>
        </is>
      </c>
      <c r="D11" s="45" t="inlineStr">
        <is>
          <t>Solution Architect</t>
        </is>
      </c>
      <c r="E11" s="46" t="n">
        <v>32</v>
      </c>
      <c r="F11" s="47" t="n">
        <v>1.2</v>
      </c>
      <c r="G11" s="46" t="n">
        <v>38</v>
      </c>
      <c r="H11" s="48" t="n">
        <v>225</v>
      </c>
      <c r="I11" s="48" t="n">
        <v>8550</v>
      </c>
      <c r="J11" s="45" t="inlineStr">
        <is>
          <t>AWS Landing Zone Setup</t>
        </is>
      </c>
      <c r="K11" s="45" t="inlineStr"/>
    </row>
    <row r="12" ht="26" customHeight="1">
      <c r="A12" s="49" t="inlineStr">
        <is>
          <t>Planning</t>
        </is>
      </c>
      <c r="B12" s="50" t="inlineStr">
        <is>
          <t>Cognito User Pool Design</t>
        </is>
      </c>
      <c r="C12" s="50" t="inlineStr">
        <is>
          <t>Design user pool, app client, post-confirmation trigger Lambda, 30-day refresh token policy</t>
        </is>
      </c>
      <c r="D12" s="50" t="inlineStr">
        <is>
          <t>Solution Architect</t>
        </is>
      </c>
      <c r="E12" s="51" t="n">
        <v>24</v>
      </c>
      <c r="F12" s="52" t="n">
        <v>1.2</v>
      </c>
      <c r="G12" s="51" t="n">
        <v>29</v>
      </c>
      <c r="H12" s="53" t="n">
        <v>225</v>
      </c>
      <c r="I12" s="53" t="n">
        <v>6525</v>
      </c>
      <c r="J12" s="50" t="inlineStr">
        <is>
          <t>API Gateway &amp; Lambda Architecture</t>
        </is>
      </c>
      <c r="K12" s="50" t="inlineStr">
        <is>
          <t>CTO sign-off required before provisioning</t>
        </is>
      </c>
    </row>
    <row r="13" ht="26" customHeight="1">
      <c r="A13" s="44" t="inlineStr">
        <is>
          <t>Planning</t>
        </is>
      </c>
      <c r="B13" s="45" t="inlineStr">
        <is>
          <t>DynamoDB Schema Design</t>
        </is>
      </c>
      <c r="C13" s="45" t="inlineStr">
        <is>
          <t>Design tables for user profiles, solution records, quota counters, and audit events</t>
        </is>
      </c>
      <c r="D13" s="45" t="inlineStr">
        <is>
          <t>Solution Architect</t>
        </is>
      </c>
      <c r="E13" s="46" t="n">
        <v>24</v>
      </c>
      <c r="F13" s="47" t="n">
        <v>1.2</v>
      </c>
      <c r="G13" s="46" t="n">
        <v>29</v>
      </c>
      <c r="H13" s="48" t="n">
        <v>225</v>
      </c>
      <c r="I13" s="48" t="n">
        <v>6525</v>
      </c>
      <c r="J13" s="45" t="inlineStr">
        <is>
          <t>Data &amp; Quota Model Design</t>
        </is>
      </c>
      <c r="K13" s="45" t="inlineStr"/>
    </row>
    <row r="14" ht="26" customHeight="1">
      <c r="A14" s="49" t="inlineStr">
        <is>
          <t>Planning</t>
        </is>
      </c>
      <c r="B14" s="50" t="inlineStr">
        <is>
          <t>Strands Multi-Agent Graph Design</t>
        </is>
      </c>
      <c r="C14" s="50" t="inlineStr">
        <is>
          <t>Design 5-agent orchestration graph: Input Validator, Pre-Sales Generator, Delivery Generator, Code Generator, EO Validator</t>
        </is>
      </c>
      <c r="D14" s="50" t="inlineStr">
        <is>
          <t>Solution Architect</t>
        </is>
      </c>
      <c r="E14" s="51" t="n">
        <v>48</v>
      </c>
      <c r="F14" s="52" t="n">
        <v>1.2</v>
      </c>
      <c r="G14" s="51" t="n">
        <v>58</v>
      </c>
      <c r="H14" s="53" t="n">
        <v>225</v>
      </c>
      <c r="I14" s="53" t="n">
        <v>13050</v>
      </c>
      <c r="J14" s="50" t="inlineStr">
        <is>
          <t>Requirements Gathering</t>
        </is>
      </c>
      <c r="K14" s="50" t="inlineStr">
        <is>
          <t>Phase 2 (Weeks 5–9) core design</t>
        </is>
      </c>
    </row>
    <row r="15" ht="26" customHeight="1">
      <c r="A15" s="44" t="inlineStr">
        <is>
          <t>Planning</t>
        </is>
      </c>
      <c r="B15" s="45" t="inlineStr">
        <is>
          <t>Bedrock AgentCore Runtime Design</t>
        </is>
      </c>
      <c r="C15" s="45" t="inlineStr">
        <is>
          <t>Design AgentCore Runtime hosting config for serverless agents; Claude Sonnet 4.6 primary + Haiku 4.5 validator</t>
        </is>
      </c>
      <c r="D15" s="45" t="inlineStr">
        <is>
          <t>ML/AI Engineer</t>
        </is>
      </c>
      <c r="E15" s="46" t="n">
        <v>32</v>
      </c>
      <c r="F15" s="47" t="n">
        <v>1.2</v>
      </c>
      <c r="G15" s="46" t="n">
        <v>38</v>
      </c>
      <c r="H15" s="48" t="n">
        <v>275</v>
      </c>
      <c r="I15" s="48" t="n">
        <v>10450</v>
      </c>
      <c r="J15" s="45" t="inlineStr">
        <is>
          <t>Strands Multi-Agent Graph Design</t>
        </is>
      </c>
      <c r="K15" s="45" t="inlineStr">
        <is>
          <t>ML/AI rate adjusted for specialised Bedrock expertise</t>
        </is>
      </c>
    </row>
    <row r="16" ht="26" customHeight="1">
      <c r="A16" s="49" t="inlineStr">
        <is>
          <t>Planning</t>
        </is>
      </c>
      <c r="B16" s="50" t="inlineStr">
        <is>
          <t>Container Image Pipeline Design</t>
        </is>
      </c>
      <c r="C16" s="50" t="inlineStr">
        <is>
          <t>Design Docker image build pipeline: bake eof-tools converters, Python deps, agent code; ECR repo strategy</t>
        </is>
      </c>
      <c r="D16" s="50" t="inlineStr">
        <is>
          <t>DevOps Engineer</t>
        </is>
      </c>
      <c r="E16" s="51" t="n">
        <v>24</v>
      </c>
      <c r="F16" s="52" t="n">
        <v>1.2</v>
      </c>
      <c r="G16" s="51" t="n">
        <v>29</v>
      </c>
      <c r="H16" s="53" t="n">
        <v>200</v>
      </c>
      <c r="I16" s="53" t="n">
        <v>5800</v>
      </c>
      <c r="J16" s="50" t="inlineStr">
        <is>
          <t>Strands Multi-Agent Graph Design</t>
        </is>
      </c>
      <c r="K16" s="50" t="inlineStr"/>
    </row>
    <row r="17" ht="26" customHeight="1">
      <c r="A17" s="44" t="inlineStr">
        <is>
          <t>Planning</t>
        </is>
      </c>
      <c r="B17" s="45" t="inlineStr">
        <is>
          <t>Security Baseline Design</t>
        </is>
      </c>
      <c r="C17" s="45" t="inlineStr">
        <is>
          <t>IAM least-privilege roles, KMS key design, Cognito JWT validation, GitHub PAT secret storage in Secrets Manager</t>
        </is>
      </c>
      <c r="D17" s="45" t="inlineStr">
        <is>
          <t>Security Engineer</t>
        </is>
      </c>
      <c r="E17" s="46" t="n">
        <v>32</v>
      </c>
      <c r="F17" s="47" t="n">
        <v>1.2</v>
      </c>
      <c r="G17" s="46" t="n">
        <v>38</v>
      </c>
      <c r="H17" s="48" t="n">
        <v>200</v>
      </c>
      <c r="I17" s="48" t="n">
        <v>7600</v>
      </c>
      <c r="J17" s="45" t="inlineStr">
        <is>
          <t>Cognito User Pool Design</t>
        </is>
      </c>
      <c r="K17" s="45" t="inlineStr"/>
    </row>
    <row r="18" ht="26" customHeight="1">
      <c r="A18" s="49" t="inlineStr">
        <is>
          <t>Planning</t>
        </is>
      </c>
      <c r="B18" s="50" t="inlineStr">
        <is>
          <t>CLI Architecture Design</t>
        </is>
      </c>
      <c r="C18" s="50" t="inlineStr">
        <is>
          <t>Design pip-installable CLI: 14 subcommands, auth flow, status command with per-phase token usage display</t>
        </is>
      </c>
      <c r="D18" s="50" t="inlineStr">
        <is>
          <t>Solutions Engineer</t>
        </is>
      </c>
      <c r="E18" s="51" t="n">
        <v>24</v>
      </c>
      <c r="F18" s="52" t="n">
        <v>1.2</v>
      </c>
      <c r="G18" s="51" t="n">
        <v>29</v>
      </c>
      <c r="H18" s="53" t="n">
        <v>200</v>
      </c>
      <c r="I18" s="53" t="n">
        <v>5800</v>
      </c>
      <c r="J18" s="50" t="inlineStr">
        <is>
          <t>API Gateway &amp; Lambda Architecture</t>
        </is>
      </c>
      <c r="K18" s="50" t="inlineStr"/>
    </row>
    <row r="19" ht="26" customHeight="1">
      <c r="A19" s="44" t="inlineStr">
        <is>
          <t>Planning</t>
        </is>
      </c>
      <c r="B19" s="45" t="inlineStr">
        <is>
          <t>Design Documentation</t>
        </is>
      </c>
      <c r="C19" s="45" t="inlineStr">
        <is>
          <t>Produce detailed architecture diagrams, ADRs, and design specification for all components</t>
        </is>
      </c>
      <c r="D19" s="45" t="inlineStr">
        <is>
          <t>Technical Writer</t>
        </is>
      </c>
      <c r="E19" s="46" t="n">
        <v>24</v>
      </c>
      <c r="F19" s="47" t="n">
        <v>1.2</v>
      </c>
      <c r="G19" s="46" t="n">
        <v>29</v>
      </c>
      <c r="H19" s="48" t="n">
        <v>125</v>
      </c>
      <c r="I19" s="48" t="n">
        <v>3625</v>
      </c>
      <c r="J19" s="45" t="inlineStr">
        <is>
          <t>All design tasks</t>
        </is>
      </c>
      <c r="K19" s="45" t="inlineStr"/>
    </row>
    <row r="20" ht="26" customHeight="1">
      <c r="A20" s="49" t="inlineStr">
        <is>
          <t>Development</t>
        </is>
      </c>
      <c r="B20" s="50" t="inlineStr">
        <is>
          <t>AWS Foundation Build</t>
        </is>
      </c>
      <c r="C20" s="50" t="inlineStr">
        <is>
          <t>Provision VPC, subnets, S3 buckets, IAM roles, CloudTrail, and KMS keys in us-west-2</t>
        </is>
      </c>
      <c r="D20" s="50" t="inlineStr">
        <is>
          <t>Cloud Engineer</t>
        </is>
      </c>
      <c r="E20" s="51" t="n">
        <v>40</v>
      </c>
      <c r="F20" s="52" t="n">
        <v>1.3</v>
      </c>
      <c r="G20" s="51" t="n">
        <v>52</v>
      </c>
      <c r="H20" s="53" t="n">
        <v>200</v>
      </c>
      <c r="I20" s="53" t="n">
        <v>10400</v>
      </c>
      <c r="J20" s="50" t="inlineStr">
        <is>
          <t>Design Documentation</t>
        </is>
      </c>
      <c r="K20" s="50" t="inlineStr">
        <is>
          <t>Phase 1 delivery (Weeks 1–4)</t>
        </is>
      </c>
    </row>
    <row r="21" ht="26" customHeight="1">
      <c r="A21" s="44" t="inlineStr">
        <is>
          <t>Development</t>
        </is>
      </c>
      <c r="B21" s="45" t="inlineStr">
        <is>
          <t>API Gateway HTTP API v2</t>
        </is>
      </c>
      <c r="C21" s="45" t="inlineStr">
        <is>
          <t>Implement all 11 Lambda routes, JWT Cognito authoriser, CORS config, and throttling rules</t>
        </is>
      </c>
      <c r="D21" s="45" t="inlineStr">
        <is>
          <t>Solutions Engineer</t>
        </is>
      </c>
      <c r="E21" s="46" t="n">
        <v>48</v>
      </c>
      <c r="F21" s="47" t="n">
        <v>1.3</v>
      </c>
      <c r="G21" s="46" t="n">
        <v>62</v>
      </c>
      <c r="H21" s="48" t="n">
        <v>200</v>
      </c>
      <c r="I21" s="48" t="n">
        <v>12400</v>
      </c>
      <c r="J21" s="45" t="inlineStr">
        <is>
          <t>AWS Foundation Build</t>
        </is>
      </c>
      <c r="K21" s="45" t="inlineStr"/>
    </row>
    <row r="22" ht="26" customHeight="1">
      <c r="A22" s="49" t="inlineStr">
        <is>
          <t>Development</t>
        </is>
      </c>
      <c r="B22" s="50" t="inlineStr">
        <is>
          <t>Cognito User Pool Implementation</t>
        </is>
      </c>
      <c r="C22" s="50" t="inlineStr">
        <is>
          <t>Implement user pool, app client, post-confirmation Lambda writing profiles to DynamoDB</t>
        </is>
      </c>
      <c r="D22" s="50" t="inlineStr">
        <is>
          <t>Solutions Engineer</t>
        </is>
      </c>
      <c r="E22" s="51" t="n">
        <v>32</v>
      </c>
      <c r="F22" s="52" t="n">
        <v>1.3</v>
      </c>
      <c r="G22" s="51" t="n">
        <v>42</v>
      </c>
      <c r="H22" s="53" t="n">
        <v>200</v>
      </c>
      <c r="I22" s="53" t="n">
        <v>8400</v>
      </c>
      <c r="J22" s="50" t="inlineStr">
        <is>
          <t>API Gateway HTTP API v2</t>
        </is>
      </c>
      <c r="K22" s="50" t="inlineStr">
        <is>
          <t>Requires CTO approval gate before production</t>
        </is>
      </c>
    </row>
    <row r="23" ht="26" customHeight="1">
      <c r="A23" s="44" t="inlineStr">
        <is>
          <t>Development</t>
        </is>
      </c>
      <c r="B23" s="45" t="inlineStr">
        <is>
          <t>DynamoDB Implementation</t>
        </is>
      </c>
      <c r="C23" s="45" t="inlineStr">
        <is>
          <t>Implement user, solution, quota, and audit tables; atomic counter logic for quota enforcement</t>
        </is>
      </c>
      <c r="D23" s="45" t="inlineStr">
        <is>
          <t>Solutions Engineer</t>
        </is>
      </c>
      <c r="E23" s="46" t="n">
        <v>32</v>
      </c>
      <c r="F23" s="47" t="n">
        <v>1.3</v>
      </c>
      <c r="G23" s="46" t="n">
        <v>42</v>
      </c>
      <c r="H23" s="48" t="n">
        <v>200</v>
      </c>
      <c r="I23" s="48" t="n">
        <v>8400</v>
      </c>
      <c r="J23" s="45" t="inlineStr">
        <is>
          <t>DynamoDB Schema Design</t>
        </is>
      </c>
      <c r="K23" s="45" t="inlineStr"/>
    </row>
    <row r="24" ht="26" customHeight="1">
      <c r="A24" s="49" t="inlineStr">
        <is>
          <t>Development</t>
        </is>
      </c>
      <c r="B24" s="50" t="inlineStr">
        <is>
          <t>Strands Agent Framework Integration</t>
        </is>
      </c>
      <c r="C24" s="50" t="inlineStr">
        <is>
          <t>Implement 5-agent Strands graph; wire agent-to-agent message passing and retry orchestration</t>
        </is>
      </c>
      <c r="D24" s="50" t="inlineStr">
        <is>
          <t>ML/AI Engineer</t>
        </is>
      </c>
      <c r="E24" s="51" t="n">
        <v>80</v>
      </c>
      <c r="F24" s="52" t="n">
        <v>1.3</v>
      </c>
      <c r="G24" s="51" t="n">
        <v>104</v>
      </c>
      <c r="H24" s="53" t="n">
        <v>275</v>
      </c>
      <c r="I24" s="53" t="n">
        <v>28600</v>
      </c>
      <c r="J24" s="50" t="inlineStr">
        <is>
          <t>Strands Multi-Agent Graph Design</t>
        </is>
      </c>
      <c r="K24" s="50" t="inlineStr">
        <is>
          <t>Largest single work package — core platform capability</t>
        </is>
      </c>
    </row>
    <row r="25" ht="26" customHeight="1">
      <c r="A25" s="44" t="inlineStr">
        <is>
          <t>Development</t>
        </is>
      </c>
      <c r="B25" s="45" t="inlineStr">
        <is>
          <t>Bedrock AgentCore Runtime Integration</t>
        </is>
      </c>
      <c r="C25" s="45" t="inlineStr">
        <is>
          <t>Register agents in AgentCore Runtime; configure Claude Sonnet 4.6 and Haiku 4.5 model bindings</t>
        </is>
      </c>
      <c r="D25" s="45" t="inlineStr">
        <is>
          <t>ML/AI Engineer</t>
        </is>
      </c>
      <c r="E25" s="46" t="n">
        <v>48</v>
      </c>
      <c r="F25" s="47" t="n">
        <v>1.3</v>
      </c>
      <c r="G25" s="46" t="n">
        <v>62</v>
      </c>
      <c r="H25" s="48" t="n">
        <v>275</v>
      </c>
      <c r="I25" s="48" t="n">
        <v>17050</v>
      </c>
      <c r="J25" s="45" t="inlineStr">
        <is>
          <t>Strands Agent Framework Integration</t>
        </is>
      </c>
      <c r="K25" s="45" t="inlineStr"/>
    </row>
    <row r="26" ht="26" customHeight="1">
      <c r="A26" s="49" t="inlineStr">
        <is>
          <t>Development</t>
        </is>
      </c>
      <c r="B26" s="50" t="inlineStr">
        <is>
          <t>eof-tools Converter Integration</t>
        </is>
      </c>
      <c r="C26" s="50" t="inlineStr">
        <is>
          <t>Integrate ~30 Python eof-tools modules for DOCX, PPTX, XLSX conversion; bake into container image</t>
        </is>
      </c>
      <c r="D26" s="50" t="inlineStr">
        <is>
          <t>Solutions Engineer</t>
        </is>
      </c>
      <c r="E26" s="51" t="n">
        <v>64</v>
      </c>
      <c r="F26" s="52" t="n">
        <v>1.3</v>
      </c>
      <c r="G26" s="51" t="n">
        <v>83</v>
      </c>
      <c r="H26" s="53" t="n">
        <v>200</v>
      </c>
      <c r="I26" s="53" t="n">
        <v>16600</v>
      </c>
      <c r="J26" s="50" t="inlineStr">
        <is>
          <t>Container Image Pipeline Design</t>
        </is>
      </c>
      <c r="K26" s="50" t="inlineStr">
        <is>
          <t>12 artifact types × format-check + LLM quality validation</t>
        </is>
      </c>
    </row>
    <row r="27" ht="26" customHeight="1">
      <c r="A27" s="44" t="inlineStr">
        <is>
          <t>Development</t>
        </is>
      </c>
      <c r="B27" s="45" t="inlineStr">
        <is>
          <t>Per-Artifact Validation Pipeline</t>
        </is>
      </c>
      <c r="C27" s="45" t="inlineStr">
        <is>
          <t>Implement deterministic format-check + LLM quality-check loop with up to 3 retries per artifact</t>
        </is>
      </c>
      <c r="D27" s="45" t="inlineStr">
        <is>
          <t>Solutions Engineer</t>
        </is>
      </c>
      <c r="E27" s="46" t="n">
        <v>48</v>
      </c>
      <c r="F27" s="47" t="n">
        <v>1.3</v>
      </c>
      <c r="G27" s="46" t="n">
        <v>62</v>
      </c>
      <c r="H27" s="48" t="n">
        <v>200</v>
      </c>
      <c r="I27" s="48" t="n">
        <v>12400</v>
      </c>
      <c r="J27" s="45" t="inlineStr">
        <is>
          <t>eof-tools Converter Integration</t>
        </is>
      </c>
      <c r="K27" s="45" t="inlineStr">
        <is>
          <t>Covers all 12 artifact types</t>
        </is>
      </c>
    </row>
    <row r="28" ht="26" customHeight="1">
      <c r="A28" s="49" t="inlineStr">
        <is>
          <t>Development</t>
        </is>
      </c>
      <c r="B28" s="50" t="inlineStr">
        <is>
          <t>GitHub Integration</t>
        </is>
      </c>
      <c r="C28" s="50" t="inlineStr">
        <is>
          <t>Implement GitHub PAT push logic; commit generated artifacts to fixed public repository per solution</t>
        </is>
      </c>
      <c r="D28" s="50" t="inlineStr">
        <is>
          <t>Solutions Engineer</t>
        </is>
      </c>
      <c r="E28" s="51" t="n">
        <v>24</v>
      </c>
      <c r="F28" s="52" t="n">
        <v>1.3</v>
      </c>
      <c r="G28" s="51" t="n">
        <v>31</v>
      </c>
      <c r="H28" s="53" t="n">
        <v>200</v>
      </c>
      <c r="I28" s="53" t="n">
        <v>6200</v>
      </c>
      <c r="J28" s="50" t="inlineStr">
        <is>
          <t>Per-Artifact Validation Pipeline</t>
        </is>
      </c>
      <c r="K28" s="50" t="inlineStr"/>
    </row>
    <row r="29" ht="26" customHeight="1">
      <c r="A29" s="44" t="inlineStr">
        <is>
          <t>Development</t>
        </is>
      </c>
      <c r="B29" s="45" t="inlineStr">
        <is>
          <t>CLI Implementation</t>
        </is>
      </c>
      <c r="C29" s="45" t="inlineStr">
        <is>
          <t>Build pip-installable CLI with 14 subcommands including auth, generate, status (with per-phase token usage), and admin</t>
        </is>
      </c>
      <c r="D29" s="45" t="inlineStr">
        <is>
          <t>Solutions Engineer</t>
        </is>
      </c>
      <c r="E29" s="46" t="n">
        <v>48</v>
      </c>
      <c r="F29" s="47" t="n">
        <v>1.3</v>
      </c>
      <c r="G29" s="46" t="n">
        <v>62</v>
      </c>
      <c r="H29" s="48" t="n">
        <v>200</v>
      </c>
      <c r="I29" s="48" t="n">
        <v>12400</v>
      </c>
      <c r="J29" s="45" t="inlineStr">
        <is>
          <t>API Gateway HTTP API v2</t>
        </is>
      </c>
      <c r="K29" s="45" t="inlineStr"/>
    </row>
    <row r="30" ht="26" customHeight="1">
      <c r="A30" s="49" t="inlineStr">
        <is>
          <t>Development</t>
        </is>
      </c>
      <c r="B30" s="50" t="inlineStr">
        <is>
          <t>Quota Enforcement Implementation</t>
        </is>
      </c>
      <c r="C30" s="50" t="inlineStr">
        <is>
          <t>Implement atomic per-user (10/month) and global (1000/month) quota checks in DynamoDB; admin override endpoint</t>
        </is>
      </c>
      <c r="D30" s="50" t="inlineStr">
        <is>
          <t>Solutions Engineer</t>
        </is>
      </c>
      <c r="E30" s="51" t="n">
        <v>24</v>
      </c>
      <c r="F30" s="52" t="n">
        <v>1.3</v>
      </c>
      <c r="G30" s="51" t="n">
        <v>31</v>
      </c>
      <c r="H30" s="53" t="n">
        <v>200</v>
      </c>
      <c r="I30" s="53" t="n">
        <v>6200</v>
      </c>
      <c r="J30" s="50" t="inlineStr">
        <is>
          <t>DynamoDB Implementation</t>
        </is>
      </c>
      <c r="K30" s="50" t="inlineStr"/>
    </row>
    <row r="31" ht="26" customHeight="1">
      <c r="A31" s="44" t="inlineStr">
        <is>
          <t>Development</t>
        </is>
      </c>
      <c r="B31" s="45" t="inlineStr">
        <is>
          <t>Graded Artifact-Delivery Policy</t>
        </is>
      </c>
      <c r="C31" s="45" t="inlineStr">
        <is>
          <t>Implement policy engine that surfaces partial results if some artifacts pass while others fail validation</t>
        </is>
      </c>
      <c r="D31" s="45" t="inlineStr">
        <is>
          <t>Solutions Engineer</t>
        </is>
      </c>
      <c r="E31" s="46" t="n">
        <v>24</v>
      </c>
      <c r="F31" s="47" t="n">
        <v>1.3</v>
      </c>
      <c r="G31" s="46" t="n">
        <v>31</v>
      </c>
      <c r="H31" s="48" t="n">
        <v>200</v>
      </c>
      <c r="I31" s="48" t="n">
        <v>6200</v>
      </c>
      <c r="J31" s="45" t="inlineStr">
        <is>
          <t>Per-Artifact Validation Pipeline</t>
        </is>
      </c>
      <c r="K31" s="45" t="inlineStr"/>
    </row>
    <row r="32" ht="26" customHeight="1">
      <c r="A32" s="49" t="inlineStr">
        <is>
          <t>Development</t>
        </is>
      </c>
      <c r="B32" s="50" t="inlineStr">
        <is>
          <t>Security Hardening</t>
        </is>
      </c>
      <c r="C32" s="50" t="inlineStr">
        <is>
          <t>Implement Secrets Manager for GitHub PAT; enforce IAM boundaries; enable GuardDuty and Security Hub</t>
        </is>
      </c>
      <c r="D32" s="50" t="inlineStr">
        <is>
          <t>Security Engineer</t>
        </is>
      </c>
      <c r="E32" s="51" t="n">
        <v>32</v>
      </c>
      <c r="F32" s="52" t="n">
        <v>1.3</v>
      </c>
      <c r="G32" s="51" t="n">
        <v>42</v>
      </c>
      <c r="H32" s="53" t="n">
        <v>200</v>
      </c>
      <c r="I32" s="53" t="n">
        <v>8400</v>
      </c>
      <c r="J32" s="50" t="inlineStr">
        <is>
          <t>AWS Foundation Build</t>
        </is>
      </c>
      <c r="K32" s="50" t="inlineStr"/>
    </row>
    <row r="33" ht="26" customHeight="1">
      <c r="A33" s="44" t="inlineStr">
        <is>
          <t>Development</t>
        </is>
      </c>
      <c r="B33" s="45" t="inlineStr">
        <is>
          <t>Observability &amp; Monitoring</t>
        </is>
      </c>
      <c r="C33" s="45" t="inlineStr">
        <is>
          <t>Implement CloudWatch dashboards, alarms, and per-phase token-usage metrics; X-Ray tracing on Lambda</t>
        </is>
      </c>
      <c r="D33" s="45" t="inlineStr">
        <is>
          <t>DevOps Engineer</t>
        </is>
      </c>
      <c r="E33" s="46" t="n">
        <v>32</v>
      </c>
      <c r="F33" s="47" t="n">
        <v>1.3</v>
      </c>
      <c r="G33" s="46" t="n">
        <v>42</v>
      </c>
      <c r="H33" s="48" t="n">
        <v>200</v>
      </c>
      <c r="I33" s="48" t="n">
        <v>8400</v>
      </c>
      <c r="J33" s="45" t="inlineStr">
        <is>
          <t>Strands Agent Framework Integration</t>
        </is>
      </c>
      <c r="K33" s="45" t="inlineStr">
        <is>
          <t>Phase 3 requirement (green CloudWatch baseline)</t>
        </is>
      </c>
    </row>
    <row r="34" ht="26" customHeight="1">
      <c r="A34" s="49" t="inlineStr">
        <is>
          <t>Development</t>
        </is>
      </c>
      <c r="B34" s="50" t="inlineStr">
        <is>
          <t>Terraform IaC for Automation Bundle</t>
        </is>
      </c>
      <c r="C34" s="50" t="inlineStr">
        <is>
          <t>Author Terraform modules for all infrastructure; implement terraform validate as syntax gate in CI</t>
        </is>
      </c>
      <c r="D34" s="50" t="inlineStr">
        <is>
          <t>DevOps Engineer</t>
        </is>
      </c>
      <c r="E34" s="51" t="n">
        <v>48</v>
      </c>
      <c r="F34" s="52" t="n">
        <v>1.3</v>
      </c>
      <c r="G34" s="51" t="n">
        <v>62</v>
      </c>
      <c r="H34" s="53" t="n">
        <v>200</v>
      </c>
      <c r="I34" s="53" t="n">
        <v>12400</v>
      </c>
      <c r="J34" s="50" t="inlineStr">
        <is>
          <t>AWS Foundation Build</t>
        </is>
      </c>
      <c r="K34" s="50" t="inlineStr">
        <is>
          <t>12th artifact is automation bundle with Terraform</t>
        </is>
      </c>
    </row>
    <row r="35" ht="26" customHeight="1">
      <c r="A35" s="44" t="inlineStr">
        <is>
          <t>Development</t>
        </is>
      </c>
      <c r="B35" s="45" t="inlineStr">
        <is>
          <t>CI/CD Pipeline</t>
        </is>
      </c>
      <c r="C35" s="45" t="inlineStr">
        <is>
          <t>Implement CodePipeline or GitHub Actions: Docker build, ECR push, Lambda deploy, terraform validate gate</t>
        </is>
      </c>
      <c r="D35" s="45" t="inlineStr">
        <is>
          <t>DevOps Engineer</t>
        </is>
      </c>
      <c r="E35" s="46" t="n">
        <v>48</v>
      </c>
      <c r="F35" s="47" t="n">
        <v>1.3</v>
      </c>
      <c r="G35" s="46" t="n">
        <v>62</v>
      </c>
      <c r="H35" s="48" t="n">
        <v>200</v>
      </c>
      <c r="I35" s="48" t="n">
        <v>12400</v>
      </c>
      <c r="J35" s="45" t="inlineStr">
        <is>
          <t>Container Image Pipeline Design</t>
        </is>
      </c>
      <c r="K35" s="45" t="inlineStr"/>
    </row>
    <row r="36" ht="26" customHeight="1">
      <c r="A36" s="49" t="inlineStr">
        <is>
          <t>Testing</t>
        </is>
      </c>
      <c r="B36" s="50" t="inlineStr">
        <is>
          <t>Test Plan Development</t>
        </is>
      </c>
      <c r="C36" s="50" t="inlineStr">
        <is>
          <t>Create comprehensive test plan covering all 5 agents; 12 artifact types; API routes; CLI subcommands</t>
        </is>
      </c>
      <c r="D36" s="50" t="inlineStr">
        <is>
          <t>QA Engineer</t>
        </is>
      </c>
      <c r="E36" s="51" t="n">
        <v>16</v>
      </c>
      <c r="F36" s="52" t="n">
        <v>1.1</v>
      </c>
      <c r="G36" s="51" t="n">
        <v>18</v>
      </c>
      <c r="H36" s="53" t="n">
        <v>150</v>
      </c>
      <c r="I36" s="53" t="n">
        <v>2700</v>
      </c>
      <c r="J36" s="50" t="inlineStr">
        <is>
          <t>Development (all)</t>
        </is>
      </c>
      <c r="K36" s="50" t="inlineStr"/>
    </row>
    <row r="37" ht="26" customHeight="1">
      <c r="A37" s="44" t="inlineStr">
        <is>
          <t>Testing</t>
        </is>
      </c>
      <c r="B37" s="45" t="inlineStr">
        <is>
          <t>Unit &amp; Integration Testing</t>
        </is>
      </c>
      <c r="C37" s="45" t="inlineStr">
        <is>
          <t>Test each Lambda function, agent, and converter module in isolation and in combination</t>
        </is>
      </c>
      <c r="D37" s="45" t="inlineStr">
        <is>
          <t>Solutions Engineer</t>
        </is>
      </c>
      <c r="E37" s="46" t="n">
        <v>40</v>
      </c>
      <c r="F37" s="47" t="n">
        <v>1.1</v>
      </c>
      <c r="G37" s="46" t="n">
        <v>44</v>
      </c>
      <c r="H37" s="48" t="n">
        <v>200</v>
      </c>
      <c r="I37" s="48" t="n">
        <v>8800</v>
      </c>
      <c r="J37" s="45" t="inlineStr">
        <is>
          <t>Test Plan Development</t>
        </is>
      </c>
      <c r="K37" s="45" t="inlineStr"/>
    </row>
    <row r="38" ht="26" customHeight="1">
      <c r="A38" s="49" t="inlineStr">
        <is>
          <t>Testing</t>
        </is>
      </c>
      <c r="B38" s="50" t="inlineStr">
        <is>
          <t>End-to-End Artifact Validation</t>
        </is>
      </c>
      <c r="C38" s="50" t="inlineStr">
        <is>
          <t>Run full solution generation for all 12 artifacts; verify format-check pass and LLM quality-check pass</t>
        </is>
      </c>
      <c r="D38" s="50" t="inlineStr">
        <is>
          <t>QA Engineer</t>
        </is>
      </c>
      <c r="E38" s="51" t="n">
        <v>40</v>
      </c>
      <c r="F38" s="52" t="n">
        <v>1.1</v>
      </c>
      <c r="G38" s="51" t="n">
        <v>44</v>
      </c>
      <c r="H38" s="53" t="n">
        <v>150</v>
      </c>
      <c r="I38" s="53" t="n">
        <v>6600</v>
      </c>
      <c r="J38" s="50" t="inlineStr">
        <is>
          <t>Unit &amp; Integration Testing</t>
        </is>
      </c>
      <c r="K38" s="50" t="inlineStr">
        <is>
          <t>Phase 3 deliverable</t>
        </is>
      </c>
    </row>
    <row r="39" ht="26" customHeight="1">
      <c r="A39" s="44" t="inlineStr">
        <is>
          <t>Testing</t>
        </is>
      </c>
      <c r="B39" s="45" t="inlineStr">
        <is>
          <t>Multi-Agent Retry Logic Testing</t>
        </is>
      </c>
      <c r="C39" s="45" t="inlineStr">
        <is>
          <t>Stress-test validation retry loop (up to 3 retries per artifact); confirm no infinite-loop edge cases</t>
        </is>
      </c>
      <c r="D39" s="45" t="inlineStr">
        <is>
          <t>Solutions Engineer</t>
        </is>
      </c>
      <c r="E39" s="46" t="n">
        <v>24</v>
      </c>
      <c r="F39" s="47" t="n">
        <v>1.1</v>
      </c>
      <c r="G39" s="46" t="n">
        <v>26</v>
      </c>
      <c r="H39" s="48" t="n">
        <v>200</v>
      </c>
      <c r="I39" s="48" t="n">
        <v>5200</v>
      </c>
      <c r="J39" s="45" t="inlineStr">
        <is>
          <t>End-to-End Artifact Validation</t>
        </is>
      </c>
      <c r="K39" s="45" t="inlineStr"/>
    </row>
    <row r="40" ht="26" customHeight="1">
      <c r="A40" s="49" t="inlineStr">
        <is>
          <t>Testing</t>
        </is>
      </c>
      <c r="B40" s="50" t="inlineStr">
        <is>
          <t>Performance &amp; Load Testing</t>
        </is>
      </c>
      <c r="C40" s="50" t="inlineStr">
        <is>
          <t>Load test API at projected 200 solutions/month; measure per-solution Bedrock token cost (target &lt;$5)</t>
        </is>
      </c>
      <c r="D40" s="50" t="inlineStr">
        <is>
          <t>Solutions Engineer</t>
        </is>
      </c>
      <c r="E40" s="51" t="n">
        <v>24</v>
      </c>
      <c r="F40" s="52" t="n">
        <v>1.1</v>
      </c>
      <c r="G40" s="51" t="n">
        <v>26</v>
      </c>
      <c r="H40" s="53" t="n">
        <v>200</v>
      </c>
      <c r="I40" s="53" t="n">
        <v>5200</v>
      </c>
      <c r="J40" s="50" t="inlineStr">
        <is>
          <t>End-to-End Artifact Validation</t>
        </is>
      </c>
      <c r="K40" s="50" t="inlineStr">
        <is>
          <t>Validates cost target</t>
        </is>
      </c>
    </row>
    <row r="41" ht="26" customHeight="1">
      <c r="A41" s="44" t="inlineStr">
        <is>
          <t>Testing</t>
        </is>
      </c>
      <c r="B41" s="45" t="inlineStr">
        <is>
          <t>Security Testing</t>
        </is>
      </c>
      <c r="C41" s="45" t="inlineStr">
        <is>
          <t>Penetration test JWT auth; test quota bypass scenarios; validate Secrets Manager PAT protection</t>
        </is>
      </c>
      <c r="D41" s="45" t="inlineStr">
        <is>
          <t>Security Engineer</t>
        </is>
      </c>
      <c r="E41" s="46" t="n">
        <v>24</v>
      </c>
      <c r="F41" s="47" t="n">
        <v>1.1</v>
      </c>
      <c r="G41" s="46" t="n">
        <v>26</v>
      </c>
      <c r="H41" s="48" t="n">
        <v>200</v>
      </c>
      <c r="I41" s="48" t="n">
        <v>5200</v>
      </c>
      <c r="J41" s="45" t="inlineStr">
        <is>
          <t>Security Hardening</t>
        </is>
      </c>
      <c r="K41" s="45" t="inlineStr"/>
    </row>
    <row r="42" ht="26" customHeight="1">
      <c r="A42" s="49" t="inlineStr">
        <is>
          <t>Testing</t>
        </is>
      </c>
      <c r="B42" s="50" t="inlineStr">
        <is>
          <t>CLI Acceptance Testing</t>
        </is>
      </c>
      <c r="C42" s="50" t="inlineStr">
        <is>
          <t>Test all 14 CLI subcommands end-to-end including auth flow and status token-usage display</t>
        </is>
      </c>
      <c r="D42" s="50" t="inlineStr">
        <is>
          <t>QA Engineer</t>
        </is>
      </c>
      <c r="E42" s="51" t="n">
        <v>16</v>
      </c>
      <c r="F42" s="52" t="n">
        <v>1.1</v>
      </c>
      <c r="G42" s="51" t="n">
        <v>18</v>
      </c>
      <c r="H42" s="53" t="n">
        <v>150</v>
      </c>
      <c r="I42" s="53" t="n">
        <v>2700</v>
      </c>
      <c r="J42" s="50" t="inlineStr">
        <is>
          <t>CLI Implementation</t>
        </is>
      </c>
      <c r="K42" s="50" t="inlineStr"/>
    </row>
    <row r="43" ht="26" customHeight="1">
      <c r="A43" s="44" t="inlineStr">
        <is>
          <t>Testing</t>
        </is>
      </c>
      <c r="B43" s="45" t="inlineStr">
        <is>
          <t>UAT Coordination</t>
        </is>
      </c>
      <c r="C43" s="45" t="inlineStr">
        <is>
          <t>Coordinate UAT with Marcus Patel and Daniel Park; facilitate demo run for executive sponsor (Sarah Lin)</t>
        </is>
      </c>
      <c r="D43" s="45" t="inlineStr">
        <is>
          <t>Project Manager</t>
        </is>
      </c>
      <c r="E43" s="46" t="n">
        <v>16</v>
      </c>
      <c r="F43" s="47" t="n">
        <v>1.1</v>
      </c>
      <c r="G43" s="46" t="n">
        <v>18</v>
      </c>
      <c r="H43" s="48" t="n">
        <v>175</v>
      </c>
      <c r="I43" s="48" t="n">
        <v>3150</v>
      </c>
      <c r="J43" s="45" t="inlineStr">
        <is>
          <t>End-to-End Artifact Validation</t>
        </is>
      </c>
      <c r="K43" s="45" t="inlineStr">
        <is>
          <t>Required for CTO sign-off</t>
        </is>
      </c>
    </row>
    <row r="44" ht="26" customHeight="1">
      <c r="A44" s="49" t="inlineStr">
        <is>
          <t>Testing</t>
        </is>
      </c>
      <c r="B44" s="50" t="inlineStr">
        <is>
          <t>Defect Resolution</t>
        </is>
      </c>
      <c r="C44" s="50" t="inlineStr">
        <is>
          <t>Triage and resolve defects identified during testing phases</t>
        </is>
      </c>
      <c r="D44" s="50" t="inlineStr">
        <is>
          <t>Solutions Engineer</t>
        </is>
      </c>
      <c r="E44" s="51" t="n">
        <v>32</v>
      </c>
      <c r="F44" s="52" t="n">
        <v>1.1</v>
      </c>
      <c r="G44" s="51" t="n">
        <v>35</v>
      </c>
      <c r="H44" s="53" t="n">
        <v>200</v>
      </c>
      <c r="I44" s="53" t="n">
        <v>7000</v>
      </c>
      <c r="J44" s="50" t="inlineStr">
        <is>
          <t>All testing tasks</t>
        </is>
      </c>
      <c r="K44" s="50" t="inlineStr"/>
    </row>
    <row r="45" ht="26" customHeight="1">
      <c r="A45" s="44" t="inlineStr">
        <is>
          <t>Testing</t>
        </is>
      </c>
      <c r="B45" s="45" t="inlineStr">
        <is>
          <t>CloudWatch Metrics Baseline</t>
        </is>
      </c>
      <c r="C45" s="45" t="inlineStr">
        <is>
          <t>Validate green CloudWatch metrics baseline across all agents and Lambda functions</t>
        </is>
      </c>
      <c r="D45" s="45" t="inlineStr">
        <is>
          <t>DevOps Engineer</t>
        </is>
      </c>
      <c r="E45" s="46" t="n">
        <v>16</v>
      </c>
      <c r="F45" s="47" t="n">
        <v>1.1</v>
      </c>
      <c r="G45" s="46" t="n">
        <v>18</v>
      </c>
      <c r="H45" s="48" t="n">
        <v>200</v>
      </c>
      <c r="I45" s="48" t="n">
        <v>3600</v>
      </c>
      <c r="J45" s="45" t="inlineStr">
        <is>
          <t>Observability &amp; Monitoring</t>
        </is>
      </c>
      <c r="K45" s="45" t="inlineStr">
        <is>
          <t>Phase 3 completion criterion</t>
        </is>
      </c>
    </row>
    <row r="46" ht="26" customHeight="1">
      <c r="A46" s="49" t="inlineStr">
        <is>
          <t>Testing</t>
        </is>
      </c>
      <c r="B46" s="50" t="inlineStr">
        <is>
          <t>Terraform Validate Gate Testing</t>
        </is>
      </c>
      <c r="C46" s="50" t="inlineStr">
        <is>
          <t>Confirm terraform validate syntax gate passes for all IaC modules in automation bundle</t>
        </is>
      </c>
      <c r="D46" s="50" t="inlineStr">
        <is>
          <t>DevOps Engineer</t>
        </is>
      </c>
      <c r="E46" s="51" t="n">
        <v>8</v>
      </c>
      <c r="F46" s="52" t="n">
        <v>1.1</v>
      </c>
      <c r="G46" s="51" t="n">
        <v>9</v>
      </c>
      <c r="H46" s="53" t="n">
        <v>200</v>
      </c>
      <c r="I46" s="53" t="n">
        <v>1800</v>
      </c>
      <c r="J46" s="50" t="inlineStr">
        <is>
          <t>Terraform IaC for Automation Bundle</t>
        </is>
      </c>
      <c r="K46" s="50" t="inlineStr"/>
    </row>
    <row r="47" ht="26" customHeight="1">
      <c r="A47" s="44" t="inlineStr">
        <is>
          <t>Testing</t>
        </is>
      </c>
      <c r="B47" s="45" t="inlineStr">
        <is>
          <t>Test Results Report</t>
        </is>
      </c>
      <c r="C47" s="45" t="inlineStr">
        <is>
          <t>Document test results and sign-off report for CTO approval</t>
        </is>
      </c>
      <c r="D47" s="45" t="inlineStr">
        <is>
          <t>QA Engineer</t>
        </is>
      </c>
      <c r="E47" s="46" t="n">
        <v>8</v>
      </c>
      <c r="F47" s="47" t="n">
        <v>1.1</v>
      </c>
      <c r="G47" s="46" t="n">
        <v>9</v>
      </c>
      <c r="H47" s="48" t="n">
        <v>150</v>
      </c>
      <c r="I47" s="48" t="n">
        <v>1350</v>
      </c>
      <c r="J47" s="45" t="inlineStr">
        <is>
          <t>All testing tasks</t>
        </is>
      </c>
      <c r="K47" s="45" t="inlineStr"/>
    </row>
    <row r="48" ht="26" customHeight="1">
      <c r="A48" s="49" t="inlineStr">
        <is>
          <t>Deployment</t>
        </is>
      </c>
      <c r="B48" s="50" t="inlineStr">
        <is>
          <t>Go-Live Planning</t>
        </is>
      </c>
      <c r="C48" s="50" t="inlineStr">
        <is>
          <t>Plan production cutover; define rollback procedures; confirm CTO sign-off on Cognito user pool</t>
        </is>
      </c>
      <c r="D48" s="50" t="inlineStr">
        <is>
          <t>Project Manager</t>
        </is>
      </c>
      <c r="E48" s="51" t="n">
        <v>8</v>
      </c>
      <c r="F48" s="52" t="n">
        <v>1</v>
      </c>
      <c r="G48" s="51" t="n">
        <v>8</v>
      </c>
      <c r="H48" s="53" t="n">
        <v>175</v>
      </c>
      <c r="I48" s="53" t="n">
        <v>1400</v>
      </c>
      <c r="J48" s="50" t="inlineStr">
        <is>
          <t>Test Results Report</t>
        </is>
      </c>
      <c r="K48" s="50" t="inlineStr">
        <is>
          <t>Hard deadline: end of April 2026</t>
        </is>
      </c>
    </row>
    <row r="49" ht="26" customHeight="1">
      <c r="A49" s="44" t="inlineStr">
        <is>
          <t>Deployment</t>
        </is>
      </c>
      <c r="B49" s="45" t="inlineStr">
        <is>
          <t>Production Deployment</t>
        </is>
      </c>
      <c r="C49" s="45" t="inlineStr">
        <is>
          <t>Deploy all Lambda functions, Cognito user pool, DynamoDB tables, and AgentCore Runtime to production</t>
        </is>
      </c>
      <c r="D49" s="45" t="inlineStr">
        <is>
          <t>Solutions Engineer</t>
        </is>
      </c>
      <c r="E49" s="46" t="n">
        <v>16</v>
      </c>
      <c r="F49" s="47" t="n">
        <v>1</v>
      </c>
      <c r="G49" s="46" t="n">
        <v>16</v>
      </c>
      <c r="H49" s="48" t="n">
        <v>200</v>
      </c>
      <c r="I49" s="48" t="n">
        <v>3200</v>
      </c>
      <c r="J49" s="45" t="inlineStr">
        <is>
          <t>Go-Live Planning</t>
        </is>
      </c>
      <c r="K49" s="45" t="inlineStr"/>
    </row>
    <row r="50" ht="26" customHeight="1">
      <c r="A50" s="49" t="inlineStr">
        <is>
          <t>Deployment</t>
        </is>
      </c>
      <c r="B50" s="50" t="inlineStr">
        <is>
          <t>Runbook Development</t>
        </is>
      </c>
      <c r="C50" s="50" t="inlineStr">
        <is>
          <t>Author operational runbooks for quota resets, agent failure recovery, Bedrock throttle handling, and GitHub push failures</t>
        </is>
      </c>
      <c r="D50" s="50" t="inlineStr">
        <is>
          <t>Technical Writer</t>
        </is>
      </c>
      <c r="E50" s="51" t="n">
        <v>24</v>
      </c>
      <c r="F50" s="52" t="n">
        <v>1</v>
      </c>
      <c r="G50" s="51" t="n">
        <v>24</v>
      </c>
      <c r="H50" s="53" t="n">
        <v>125</v>
      </c>
      <c r="I50" s="53" t="n">
        <v>3000</v>
      </c>
      <c r="J50" s="50" t="inlineStr">
        <is>
          <t>Production Deployment</t>
        </is>
      </c>
      <c r="K50" s="50" t="inlineStr"/>
    </row>
    <row r="51" ht="26" customHeight="1">
      <c r="A51" s="44" t="inlineStr">
        <is>
          <t>Deployment</t>
        </is>
      </c>
      <c r="B51" s="45" t="inlineStr">
        <is>
          <t>Knowledge Transfer — CLI &amp; API</t>
        </is>
      </c>
      <c r="C51" s="45" t="inlineStr">
        <is>
          <t>Conduct hands-on CLI and API sessions with Amatra consultants; cover 14 subcommands and 11 API routes</t>
        </is>
      </c>
      <c r="D51" s="45" t="inlineStr">
        <is>
          <t>Trainer</t>
        </is>
      </c>
      <c r="E51" s="46" t="n">
        <v>24</v>
      </c>
      <c r="F51" s="47" t="n">
        <v>1</v>
      </c>
      <c r="G51" s="46" t="n">
        <v>24</v>
      </c>
      <c r="H51" s="48" t="n">
        <v>150</v>
      </c>
      <c r="I51" s="48" t="n">
        <v>3600</v>
      </c>
      <c r="J51" s="45" t="inlineStr">
        <is>
          <t>Production Deployment</t>
        </is>
      </c>
      <c r="K51" s="45" t="inlineStr"/>
    </row>
    <row r="52" ht="26" customHeight="1">
      <c r="A52" s="49" t="inlineStr">
        <is>
          <t>Deployment</t>
        </is>
      </c>
      <c r="B52" s="50" t="inlineStr">
        <is>
          <t>Knowledge Transfer — Agent Operations</t>
        </is>
      </c>
      <c r="C52" s="50" t="inlineStr">
        <is>
          <t>Train Marcus Patel's team on monitoring 5-agent graph; interpreting per-phase token usage; managing quotas</t>
        </is>
      </c>
      <c r="D52" s="50" t="inlineStr">
        <is>
          <t>Trainer</t>
        </is>
      </c>
      <c r="E52" s="51" t="n">
        <v>16</v>
      </c>
      <c r="F52" s="52" t="n">
        <v>1</v>
      </c>
      <c r="G52" s="51" t="n">
        <v>16</v>
      </c>
      <c r="H52" s="53" t="n">
        <v>150</v>
      </c>
      <c r="I52" s="53" t="n">
        <v>2400</v>
      </c>
      <c r="J52" s="50" t="inlineStr">
        <is>
          <t>Observability &amp; Monitoring</t>
        </is>
      </c>
      <c r="K52" s="50" t="inlineStr"/>
    </row>
    <row r="53" ht="26" customHeight="1">
      <c r="A53" s="44" t="inlineStr">
        <is>
          <t>Deployment</t>
        </is>
      </c>
      <c r="B53" s="45" t="inlineStr">
        <is>
          <t>As-Built Documentation</t>
        </is>
      </c>
      <c r="C53" s="45" t="inlineStr">
        <is>
          <t>Deliver complete as-built architecture diagrams, ADRs, and configuration inventory</t>
        </is>
      </c>
      <c r="D53" s="45" t="inlineStr">
        <is>
          <t>Technical Writer</t>
        </is>
      </c>
      <c r="E53" s="46" t="n">
        <v>24</v>
      </c>
      <c r="F53" s="47" t="n">
        <v>1</v>
      </c>
      <c r="G53" s="46" t="n">
        <v>24</v>
      </c>
      <c r="H53" s="48" t="n">
        <v>125</v>
      </c>
      <c r="I53" s="48" t="n">
        <v>3000</v>
      </c>
      <c r="J53" s="45" t="inlineStr">
        <is>
          <t>Production Deployment</t>
        </is>
      </c>
      <c r="K53" s="45" t="inlineStr"/>
    </row>
    <row r="54" ht="26" customHeight="1">
      <c r="A54" s="49" t="inlineStr">
        <is>
          <t>Deployment</t>
        </is>
      </c>
      <c r="B54" s="50" t="inlineStr">
        <is>
          <t>Hypercare Support (4 Weeks)</t>
        </is>
      </c>
      <c r="C54" s="50" t="inlineStr">
        <is>
          <t>Provide on-call support for 4 weeks post go-live; triage Bedrock quota issues, agent failures, and GitHub push errors</t>
        </is>
      </c>
      <c r="D54" s="50" t="inlineStr">
        <is>
          <t>Support Engineer</t>
        </is>
      </c>
      <c r="E54" s="51" t="n">
        <v>80</v>
      </c>
      <c r="F54" s="52" t="n">
        <v>1</v>
      </c>
      <c r="G54" s="51" t="n">
        <v>80</v>
      </c>
      <c r="H54" s="53" t="n">
        <v>150</v>
      </c>
      <c r="I54" s="53" t="n">
        <v>12000</v>
      </c>
      <c r="J54" s="50" t="inlineStr">
        <is>
          <t>Production Deployment</t>
        </is>
      </c>
      <c r="K54" s="50" t="inlineStr">
        <is>
          <t>80 hours aligns with Medium–Large complexity guideline</t>
        </is>
      </c>
    </row>
    <row r="55" ht="26" customHeight="1">
      <c r="A55" s="44" t="inlineStr">
        <is>
          <t>Deployment</t>
        </is>
      </c>
      <c r="B55" s="45" t="inlineStr">
        <is>
          <t>Optimization Recommendations</t>
        </is>
      </c>
      <c r="C55" s="45" t="inlineStr">
        <is>
          <t>Document Phase 2 scope candidates: additional artifact types, multi-region HA, advanced Bedrock model routing</t>
        </is>
      </c>
      <c r="D55" s="45" t="inlineStr">
        <is>
          <t>Solution Architect</t>
        </is>
      </c>
      <c r="E55" s="46" t="n">
        <v>16</v>
      </c>
      <c r="F55" s="47" t="n">
        <v>1</v>
      </c>
      <c r="G55" s="46" t="n">
        <v>16</v>
      </c>
      <c r="H55" s="48" t="n">
        <v>225</v>
      </c>
      <c r="I55" s="48" t="n">
        <v>3600</v>
      </c>
      <c r="J55" s="45" t="inlineStr">
        <is>
          <t>Hypercare Support (4 Weeks)</t>
        </is>
      </c>
      <c r="K55" s="45" t="inlineStr"/>
    </row>
    <row r="56" ht="26" customHeight="1">
      <c r="A56" s="49" t="inlineStr">
        <is>
          <t>Deployment</t>
        </is>
      </c>
      <c r="B56" s="50" t="inlineStr">
        <is>
          <t>Project Closeout</t>
        </is>
      </c>
      <c r="C56" s="50" t="inlineStr">
        <is>
          <t>Project retrospective with PREDICTif leadership; lessons learned; final invoice reconciliation</t>
        </is>
      </c>
      <c r="D56" s="50" t="inlineStr">
        <is>
          <t>Project Manager</t>
        </is>
      </c>
      <c r="E56" s="51" t="n">
        <v>8</v>
      </c>
      <c r="F56" s="52" t="n">
        <v>1</v>
      </c>
      <c r="G56" s="51" t="n">
        <v>8</v>
      </c>
      <c r="H56" s="53" t="n">
        <v>175</v>
      </c>
      <c r="I56" s="53" t="n">
        <v>1400</v>
      </c>
      <c r="J56" s="50" t="inlineStr">
        <is>
          <t>All deployment tasks</t>
        </is>
      </c>
      <c r="K56" s="50" t="inlineStr"/>
    </row>
    <row r="57" ht="26" customHeight="1">
      <c r="A57" s="44" t="inlineStr">
        <is>
          <t>Management</t>
        </is>
      </c>
      <c r="B57" s="45" t="inlineStr">
        <is>
          <t>Technical Leadership</t>
        </is>
      </c>
      <c r="C57" s="45" t="inlineStr">
        <is>
          <t>Quarterback technical oversight across all phases; architecture governance and escalation path</t>
        </is>
      </c>
      <c r="D57" s="45" t="inlineStr">
        <is>
          <t>Solution Architect</t>
        </is>
      </c>
      <c r="E57" s="54">
        <f>ROUND(SUM($G$4:$G$57)*0.10,0)</f>
        <v/>
      </c>
      <c r="F57" s="47" t="n">
        <v>1</v>
      </c>
      <c r="G57" s="54">
        <f>ROUND(SUM($G$4:$G$57)*0.10,0)</f>
        <v/>
      </c>
      <c r="H57" s="48" t="n">
        <v>225</v>
      </c>
      <c r="I57" s="54">
        <f>TEXT(ROUND(SUM($G$4:$G$57)*0.10,0)*225,"$#,##0")</f>
        <v/>
      </c>
      <c r="J57" s="45" t="inlineStr">
        <is>
          <t>All phases</t>
        </is>
      </c>
      <c r="K57" s="45" t="inlineStr">
        <is>
          <t>10% of total engineering hours</t>
        </is>
      </c>
    </row>
    <row r="58" ht="26" customHeight="1">
      <c r="A58" s="49" t="inlineStr">
        <is>
          <t>Management</t>
        </is>
      </c>
      <c r="B58" s="50" t="inlineStr">
        <is>
          <t>Project Management</t>
        </is>
      </c>
      <c r="C58" s="50" t="inlineStr">
        <is>
          <t>Project coordination, status reporting, risk management, and stakeholder communications</t>
        </is>
      </c>
      <c r="D58" s="50" t="inlineStr">
        <is>
          <t>Project Manager</t>
        </is>
      </c>
      <c r="E58" s="55">
        <f>ROUND(SUM($G$4:$G$57)*0.10,0)</f>
        <v/>
      </c>
      <c r="F58" s="52" t="n">
        <v>1</v>
      </c>
      <c r="G58" s="55">
        <f>ROUND(SUM($G$4:$G$57)*0.10,0)</f>
        <v/>
      </c>
      <c r="H58" s="53" t="n">
        <v>175</v>
      </c>
      <c r="I58" s="55">
        <f>TEXT(ROUND(SUM($G$4:$G$57)*0.10,0)*175,"$#,##0")</f>
        <v/>
      </c>
      <c r="J58" s="50" t="inlineStr">
        <is>
          <t>All phases</t>
        </is>
      </c>
      <c r="K58" s="50" t="inlineStr">
        <is>
          <t>10% of total engineering hours</t>
        </is>
      </c>
    </row>
    <row r="59" ht="26" customHeight="1">
      <c r="A59" s="56" t="inlineStr"/>
      <c r="B59" s="56" t="inlineStr"/>
      <c r="C59" s="56" t="inlineStr"/>
      <c r="D59" s="56" t="inlineStr"/>
      <c r="E59" s="56" t="inlineStr"/>
      <c r="F59" s="57" t="inlineStr">
        <is>
          <t>TOTAL HOURS</t>
        </is>
      </c>
      <c r="G59" s="57">
        <f>SUM($G$4:$G$59)</f>
        <v/>
      </c>
      <c r="H59" s="57" t="inlineStr">
        <is>
          <t>TOTAL COST</t>
        </is>
      </c>
      <c r="I59" s="57">
        <f>TEXT(SUMPRODUCT($G$4:$G$59,$H$4:$H$59),"$#,##0")</f>
        <v/>
      </c>
      <c r="J59" s="56" t="inlineStr"/>
      <c r="K59" s="56" t="inlineStr"/>
    </row>
  </sheetData>
  <autoFilter ref="A2:K59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Credit Type</t>
        </is>
      </c>
      <c r="B2" s="35" t="inlineStr">
        <is>
          <t>Credit Amount</t>
        </is>
      </c>
      <c r="C2" s="35" t="inlineStr">
        <is>
          <t>Credit Comments</t>
        </is>
      </c>
    </row>
    <row r="3" ht="26" customHeight="1">
      <c r="A3" s="36" t="inlineStr">
        <is>
          <t>AWS Partner Services Credit</t>
        </is>
      </c>
      <c r="B3" s="58" t="n">
        <v>-10000</v>
      </c>
      <c r="C3" s="37" t="inlineStr">
        <is>
          <t>AWS Partner Network (APN) Advanced Tier credit applied to solution architecture and implementation services for this engagement</t>
        </is>
      </c>
    </row>
    <row r="4" ht="26" customHeight="1">
      <c r="A4" s="39" t="inlineStr">
        <is>
          <t>APN Migration Acceleration Credit</t>
        </is>
      </c>
      <c r="B4" s="59" t="n">
        <v>-5000</v>
      </c>
      <c r="C4" s="40" t="inlineStr">
        <is>
          <t>AWS Migration Acceleration Program (MAP) services credit; applicable given new AWS footprint build-out in us-west-2</t>
        </is>
      </c>
    </row>
    <row r="5" ht="26" customHeight="1">
      <c r="A5" s="36" t="inlineStr">
        <is>
          <t>Volume Implementation Discount</t>
        </is>
      </c>
      <c r="B5" s="58" t="n">
        <v>-5000</v>
      </c>
      <c r="C5" s="37" t="inlineStr">
        <is>
          <t>10% professional services volume discount applied to total engagement; reflects strategic partnership and multi-phase opportunity</t>
        </is>
      </c>
    </row>
    <row r="6" ht="26" customHeight="1">
      <c r="A6" s="60" t="inlineStr">
        <is>
          <t>TOTAL</t>
        </is>
      </c>
      <c r="B6" s="61">
        <f>SUMPRODUCT($G$4:$G$59,$H$4:$H$59)-20000</f>
        <v/>
      </c>
      <c r="C6" s="62" t="inlineStr">
        <is>
          <t>Total professional services cost minus AWS Partner and volume credits applied in Year 1 only; infrastructure credits tracked separately in infrastructure-costs.csv</t>
        </is>
      </c>
    </row>
  </sheetData>
  <autoFilter ref="A2:C6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2026-06-05T18:10:29Z</dcterms:modified>
  <cp:lastModifiedBy>Kishan Siram</cp:lastModifiedBy>
</cp:coreProperties>
</file>