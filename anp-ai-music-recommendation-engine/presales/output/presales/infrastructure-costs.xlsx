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Guidelines'!$A$2:$F$11</definedName>
    <definedName name="_xlnm._FilterDatabase" localSheetId="2" hidden="1">'Infrastructure Costs'!$A$2:$K$17</definedName>
    <definedName name="_xlnm._FilterDatabase" localSheetId="3" hidden="1">'Credits'!$A$2:$D$9</definedName>
    <definedName name="_xlnm._FilterDatabase" localSheetId="4" hidden="1">'3-Year Summary'!$A$2:$G$9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19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7" fillId="4" borderId="5" applyAlignment="1" pivotButton="0" quotePrefix="0" xfId="0">
      <alignment horizontal="left" vertical="center" wrapText="1" indent="1"/>
    </xf>
    <xf numFmtId="0" fontId="16" fillId="4" borderId="5" applyAlignment="1" pivotButton="0" quotePrefix="0" xfId="0">
      <alignment horizontal="left" vertical="center" wrapText="1" indent="1"/>
    </xf>
    <xf numFmtId="3" fontId="16" fillId="4" borderId="5" applyAlignment="1" pivotButton="0" quotePrefix="0" xfId="0">
      <alignment horizontal="right" vertical="center" wrapText="1"/>
    </xf>
    <xf numFmtId="165" fontId="16" fillId="4" borderId="5" applyAlignment="1" pivotButton="0" quotePrefix="0" xfId="0">
      <alignment horizontal="right" vertical="center" wrapText="1"/>
    </xf>
    <xf numFmtId="0" fontId="17" fillId="10" borderId="5" applyAlignment="1" pivotButton="0" quotePrefix="0" xfId="0">
      <alignment horizontal="left" vertical="center" wrapText="1" indent="1"/>
    </xf>
    <xf numFmtId="0" fontId="16" fillId="10" borderId="5" applyAlignment="1" pivotButton="0" quotePrefix="0" xfId="0">
      <alignment horizontal="left" vertical="center" wrapText="1" indent="1"/>
    </xf>
    <xf numFmtId="3" fontId="16" fillId="10" borderId="5" applyAlignment="1" pivotButton="0" quotePrefix="0" xfId="0">
      <alignment horizontal="right" vertical="center" wrapText="1"/>
    </xf>
    <xf numFmtId="165" fontId="16" fillId="10" borderId="5" applyAlignment="1" pivotButton="0" quotePrefix="0" xfId="0">
      <alignment horizontal="right" vertical="center" wrapText="1"/>
    </xf>
    <xf numFmtId="0" fontId="18" fillId="5" borderId="5" applyAlignment="1" pivotButton="0" quotePrefix="0" xfId="0">
      <alignment horizontal="left" vertical="center"/>
    </xf>
    <xf numFmtId="0" fontId="18" fillId="5" borderId="5" applyAlignment="1" pivotButton="0" quotePrefix="0" xfId="0">
      <alignment horizontal="center" vertical="center"/>
    </xf>
    <xf numFmtId="165" fontId="18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Infrastructure Costs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08, 2026</t>
        </is>
      </c>
    </row>
    <row r="6" ht="18" customHeight="1">
      <c r="B6" s="2" t="inlineStr">
        <is>
          <t>Solution:</t>
        </is>
      </c>
      <c r="C6" s="3" t="inlineStr">
        <is>
          <t>Tmpaucs1Jvw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4" t="inlineStr">
        <is>
          <t>Sizing Guidelines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Small</t>
        </is>
      </c>
      <c r="D2" s="35" t="inlineStr">
        <is>
          <t>Medium</t>
        </is>
      </c>
      <c r="E2" s="35" t="inlineStr">
        <is>
          <t>Large</t>
        </is>
      </c>
      <c r="F2" s="35" t="inlineStr">
        <is>
          <t>Notes</t>
        </is>
      </c>
    </row>
    <row r="3" ht="26" customHeight="1">
      <c r="A3" s="36" t="inlineStr">
        <is>
          <t>Cloud Services</t>
        </is>
      </c>
      <c r="B3" s="37" t="inlineStr">
        <is>
          <t>Monthly Active Users</t>
        </is>
      </c>
      <c r="C3" s="38" t="inlineStr">
        <is>
          <t>~100 MAU</t>
        </is>
      </c>
      <c r="D3" s="38" t="inlineStr">
        <is>
          <t>~10000 MAU</t>
        </is>
      </c>
      <c r="E3" s="38" t="inlineStr">
        <is>
          <t>~100000 MAU</t>
        </is>
      </c>
      <c r="F3" s="37" t="inlineStr">
        <is>
          <t>Registered users actively engaging per month</t>
        </is>
      </c>
    </row>
    <row r="4" ht="26" customHeight="1">
      <c r="A4" s="39" t="inlineStr">
        <is>
          <t>Cloud Services</t>
        </is>
      </c>
      <c r="B4" s="40" t="inlineStr">
        <is>
          <t>Inference Requests</t>
        </is>
      </c>
      <c r="C4" s="41" t="inlineStr">
        <is>
          <t>&lt;50K/month</t>
        </is>
      </c>
      <c r="D4" s="41" t="inlineStr">
        <is>
          <t>500K-5M/month</t>
        </is>
      </c>
      <c r="E4" s="41" t="inlineStr">
        <is>
          <t>&gt;50M/month</t>
        </is>
      </c>
      <c r="F4" s="40" t="inlineStr">
        <is>
          <t>Playlist-generation + classification API calls per month</t>
        </is>
      </c>
    </row>
    <row r="5" ht="26" customHeight="1">
      <c r="A5" s="36" t="inlineStr">
        <is>
          <t>Cloud Services</t>
        </is>
      </c>
      <c r="B5" s="37" t="inlineStr">
        <is>
          <t>Training Data Volume</t>
        </is>
      </c>
      <c r="C5" s="38" t="inlineStr">
        <is>
          <t>&lt;50 GB</t>
        </is>
      </c>
      <c r="D5" s="38" t="inlineStr">
        <is>
          <t>50-500 GB</t>
        </is>
      </c>
      <c r="E5" s="38" t="inlineStr">
        <is>
          <t>&gt;500 GB</t>
        </is>
      </c>
      <c r="F5" s="37" t="inlineStr">
        <is>
          <t>Lyric/transcript/audio dataset size for model training/retraining</t>
        </is>
      </c>
    </row>
    <row r="6" ht="26" customHeight="1">
      <c r="A6" s="39" t="inlineStr">
        <is>
          <t>Cloud Services</t>
        </is>
      </c>
      <c r="B6" s="40" t="inlineStr">
        <is>
          <t>Catalog Entries</t>
        </is>
      </c>
      <c r="C6" s="41" t="inlineStr">
        <is>
          <t>&lt;5000 tracks</t>
        </is>
      </c>
      <c r="D6" s="41" t="inlineStr">
        <is>
          <t>5K-100K tracks</t>
        </is>
      </c>
      <c r="E6" s="41" t="inlineStr">
        <is>
          <t>&gt;100K tracks</t>
        </is>
      </c>
      <c r="F6" s="40" t="inlineStr">
        <is>
          <t>Music and podcast items classified and stored</t>
        </is>
      </c>
    </row>
    <row r="7" ht="26" customHeight="1">
      <c r="A7" s="36" t="inlineStr">
        <is>
          <t>Cloud Services</t>
        </is>
      </c>
      <c r="B7" s="37" t="inlineStr">
        <is>
          <t>Model Complexity</t>
        </is>
      </c>
      <c r="C7" s="38" t="inlineStr">
        <is>
          <t>1-2 models</t>
        </is>
      </c>
      <c r="D7" s="38" t="inlineStr">
        <is>
          <t>3-5 models</t>
        </is>
      </c>
      <c r="E7" s="38" t="inlineStr">
        <is>
          <t>8+ models</t>
        </is>
      </c>
      <c r="F7" s="37" t="inlineStr">
        <is>
          <t>Active ML models (classifier + recommender + embedding)</t>
        </is>
      </c>
    </row>
    <row r="8" ht="26" customHeight="1">
      <c r="A8" s="39" t="inlineStr">
        <is>
          <t>Cloud Services</t>
        </is>
      </c>
      <c r="B8" s="40" t="inlineStr">
        <is>
          <t>SageMaker Endpoint Instances</t>
        </is>
      </c>
      <c r="C8" s="41" t="inlineStr">
        <is>
          <t>1 x ml.t3.medium</t>
        </is>
      </c>
      <c r="D8" s="41" t="inlineStr">
        <is>
          <t>2 x ml.m5.large</t>
        </is>
      </c>
      <c r="E8" s="41" t="inlineStr">
        <is>
          <t>4+ x ml.m5.xlarge</t>
        </is>
      </c>
      <c r="F8" s="40" t="inlineStr">
        <is>
          <t>Real-time inference capacity per environment</t>
        </is>
      </c>
    </row>
    <row r="9" ht="26" customHeight="1">
      <c r="A9" s="36" t="inlineStr">
        <is>
          <t>Cloud Services</t>
        </is>
      </c>
      <c r="B9" s="37" t="inlineStr">
        <is>
          <t>Audio Analysis Storage</t>
        </is>
      </c>
      <c r="C9" s="38" t="inlineStr">
        <is>
          <t>&lt;100 GB</t>
        </is>
      </c>
      <c r="D9" s="38" t="inlineStr">
        <is>
          <t>100 GB-1 TB</t>
        </is>
      </c>
      <c r="E9" s="38" t="inlineStr">
        <is>
          <t>&gt;1 TB</t>
        </is>
      </c>
      <c r="F9" s="37" t="inlineStr">
        <is>
          <t>Audio feature vectors and processed audio stored in S3</t>
        </is>
      </c>
    </row>
    <row r="10" ht="26" customHeight="1">
      <c r="A10" s="39" t="inlineStr">
        <is>
          <t>Software Licenses</t>
        </is>
      </c>
      <c r="B10" s="40" t="inlineStr">
        <is>
          <t>AI Service Tier</t>
        </is>
      </c>
      <c r="C10" s="41" t="inlineStr">
        <is>
          <t>Bedrock On-Demand</t>
        </is>
      </c>
      <c r="D10" s="41" t="inlineStr">
        <is>
          <t>Bedrock Provisioned</t>
        </is>
      </c>
      <c r="E10" s="41" t="inlineStr">
        <is>
          <t>Bedrock + SageMaker JumpStart</t>
        </is>
      </c>
      <c r="F10" s="40" t="inlineStr">
        <is>
          <t>LLM/FM invocation model for classification and enrichment</t>
        </is>
      </c>
    </row>
    <row r="11" ht="26" customHeight="1">
      <c r="A11" s="36" t="inlineStr">
        <is>
          <t>Support &amp; Maintenance</t>
        </is>
      </c>
      <c r="B11" s="37" t="inlineStr">
        <is>
          <t>AWS Support Plan</t>
        </is>
      </c>
      <c r="C11" s="38" t="inlineStr">
        <is>
          <t>Developer</t>
        </is>
      </c>
      <c r="D11" s="38" t="inlineStr">
        <is>
          <t>Business</t>
        </is>
      </c>
      <c r="E11" s="38" t="inlineStr">
        <is>
          <t>Enterprise</t>
        </is>
      </c>
      <c r="F11" s="37" t="inlineStr">
        <is>
          <t>AWS-managed support SLA tier</t>
        </is>
      </c>
    </row>
  </sheetData>
  <autoFilter ref="A2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4" t="inlineStr">
        <is>
          <t>Infrastructure Costs</t>
        </is>
      </c>
    </row>
    <row r="2" ht="32" customHeight="1">
      <c r="A2" s="35" t="inlineStr">
        <is>
          <t>Category</t>
        </is>
      </c>
      <c r="B2" s="35" t="inlineStr">
        <is>
          <t>Component</t>
        </is>
      </c>
      <c r="C2" s="35" t="inlineStr">
        <is>
          <t>Description</t>
        </is>
      </c>
      <c r="D2" s="35" t="inlineStr">
        <is>
          <t>Quantity</t>
        </is>
      </c>
      <c r="E2" s="35" t="inlineStr">
        <is>
          <t>Unit</t>
        </is>
      </c>
      <c r="F2" s="35" t="inlineStr">
        <is>
          <t>Unit Price</t>
        </is>
      </c>
      <c r="G2" s="35" t="inlineStr">
        <is>
          <t>Annual Cost</t>
        </is>
      </c>
      <c r="H2" s="35" t="inlineStr">
        <is>
          <t>Year 2</t>
        </is>
      </c>
      <c r="I2" s="35" t="inlineStr">
        <is>
          <t>Year 3</t>
        </is>
      </c>
      <c r="J2" s="35" t="inlineStr">
        <is>
          <t>3-Year Total</t>
        </is>
      </c>
      <c r="K2" s="35" t="inlineStr">
        <is>
          <t>Notes</t>
        </is>
      </c>
    </row>
    <row r="3" ht="26" customHeight="1">
      <c r="A3" s="42" t="inlineStr">
        <is>
          <t>Cloud Services</t>
        </is>
      </c>
      <c r="B3" s="43" t="inlineStr">
        <is>
          <t>AWS Lambda</t>
        </is>
      </c>
      <c r="C3" s="43" t="inlineStr">
        <is>
          <t>Serverless functions for API handlers, classification triggers, and ingestion pipeline</t>
        </is>
      </c>
      <c r="D3" s="44" t="n">
        <v>1</v>
      </c>
      <c r="E3" s="43" t="inlineStr">
        <is>
          <t>Service/Month</t>
        </is>
      </c>
      <c r="F3" s="45" t="n">
        <v>5</v>
      </c>
      <c r="G3" s="45" t="n">
        <v>60</v>
      </c>
      <c r="H3" s="44" t="n">
        <v>60</v>
      </c>
      <c r="I3" s="44" t="n">
        <v>72</v>
      </c>
      <c r="J3" s="44" t="n">
        <v>192</v>
      </c>
      <c r="K3" s="43" t="inlineStr">
        <is>
          <t>Scales to ~500K invocations/mo at small tier; Year 3 reflects growth</t>
        </is>
      </c>
    </row>
    <row r="4" ht="26" customHeight="1">
      <c r="A4" s="46" t="inlineStr">
        <is>
          <t>Cloud Services</t>
        </is>
      </c>
      <c r="B4" s="47" t="inlineStr">
        <is>
          <t>Amazon S3</t>
        </is>
      </c>
      <c r="C4" s="47" t="inlineStr">
        <is>
          <t>Object storage for audio files, lyric/transcript text, feature vectors, and model artifacts</t>
        </is>
      </c>
      <c r="D4" s="48" t="n">
        <v>500</v>
      </c>
      <c r="E4" s="47" t="inlineStr">
        <is>
          <t>GB/Month</t>
        </is>
      </c>
      <c r="F4" s="49" t="n">
        <v>0.023</v>
      </c>
      <c r="G4" s="49" t="n">
        <v>138</v>
      </c>
      <c r="H4" s="48" t="n">
        <v>138</v>
      </c>
      <c r="I4" s="48" t="n">
        <v>165.6</v>
      </c>
      <c r="J4" s="48" t="n">
        <v>441.6</v>
      </c>
      <c r="K4" s="47" t="inlineStr">
        <is>
          <t>Catalog + ML artifact storage; priced at $0.023/GB/mo</t>
        </is>
      </c>
    </row>
    <row r="5" ht="26" customHeight="1">
      <c r="A5" s="42" t="inlineStr">
        <is>
          <t>Cloud Services</t>
        </is>
      </c>
      <c r="B5" s="43" t="inlineStr">
        <is>
          <t>Amazon DynamoDB</t>
        </is>
      </c>
      <c r="C5" s="43" t="inlineStr">
        <is>
          <t>NoSQL tables for user preference vectors, session context, mood taxonomy, and content metadata</t>
        </is>
      </c>
      <c r="D5" s="44" t="n">
        <v>1</v>
      </c>
      <c r="E5" s="43" t="inlineStr">
        <is>
          <t>Service/Month</t>
        </is>
      </c>
      <c r="F5" s="45" t="n">
        <v>25</v>
      </c>
      <c r="G5" s="45" t="n">
        <v>300</v>
      </c>
      <c r="H5" s="44" t="n">
        <v>300</v>
      </c>
      <c r="I5" s="44" t="n">
        <v>360</v>
      </c>
      <c r="J5" s="44" t="n">
        <v>960</v>
      </c>
      <c r="K5" s="43" t="inlineStr">
        <is>
          <t>On-demand capacity mode; Year 3 reflects 20% growth</t>
        </is>
      </c>
    </row>
    <row r="6" ht="26" customHeight="1">
      <c r="A6" s="46" t="inlineStr">
        <is>
          <t>Cloud Services</t>
        </is>
      </c>
      <c r="B6" s="47" t="inlineStr">
        <is>
          <t>Amazon SageMaker Endpoint</t>
        </is>
      </c>
      <c r="C6" s="47" t="inlineStr">
        <is>
          <t>ml.t3.medium real-time inference endpoint for recommendation and classification models</t>
        </is>
      </c>
      <c r="D6" s="48" t="n">
        <v>1</v>
      </c>
      <c r="E6" s="47" t="inlineStr">
        <is>
          <t>Instance/Month</t>
        </is>
      </c>
      <c r="F6" s="49" t="n">
        <v>40</v>
      </c>
      <c r="G6" s="49" t="n">
        <v>480</v>
      </c>
      <c r="H6" s="48" t="n">
        <v>480</v>
      </c>
      <c r="I6" s="48" t="n">
        <v>576</v>
      </c>
      <c r="J6" s="48" t="n">
        <v>1536</v>
      </c>
      <c r="K6" s="47" t="inlineStr">
        <is>
          <t>Single endpoint instance for small MAU tier</t>
        </is>
      </c>
    </row>
    <row r="7" ht="26" customHeight="1">
      <c r="A7" s="42" t="inlineStr">
        <is>
          <t>Cloud Services</t>
        </is>
      </c>
      <c r="B7" s="43" t="inlineStr">
        <is>
          <t>Amazon SageMaker Training</t>
        </is>
      </c>
      <c r="C7" s="43" t="inlineStr">
        <is>
          <t>ml.m5.xlarge training jobs for preference-learning model retraining pipeline</t>
        </is>
      </c>
      <c r="D7" s="44" t="n">
        <v>20</v>
      </c>
      <c r="E7" s="43" t="inlineStr">
        <is>
          <t>Hours/Month</t>
        </is>
      </c>
      <c r="F7" s="45" t="n">
        <v>0.23</v>
      </c>
      <c r="G7" s="45" t="n">
        <v>55.2</v>
      </c>
      <c r="H7" s="44" t="n">
        <v>55.2</v>
      </c>
      <c r="I7" s="44" t="n">
        <v>66.23999999999999</v>
      </c>
      <c r="J7" s="44" t="n">
        <v>176.64</v>
      </c>
      <c r="K7" s="43" t="inlineStr">
        <is>
          <t>~20 hrs/mo of training at $0.23/hr; scales with data volume</t>
        </is>
      </c>
    </row>
    <row r="8" ht="26" customHeight="1">
      <c r="A8" s="46" t="inlineStr">
        <is>
          <t>Cloud Services</t>
        </is>
      </c>
      <c r="B8" s="47" t="inlineStr">
        <is>
          <t>Amazon Bedrock</t>
        </is>
      </c>
      <c r="C8" s="47" t="inlineStr">
        <is>
          <t>Foundation model inference (Amazon Titan / Anthropic Claude) for lyric and transcript emotion classification</t>
        </is>
      </c>
      <c r="D8" s="48" t="n">
        <v>1</v>
      </c>
      <c r="E8" s="47" t="inlineStr">
        <is>
          <t>Service/Month</t>
        </is>
      </c>
      <c r="F8" s="49" t="n">
        <v>50</v>
      </c>
      <c r="G8" s="49" t="n">
        <v>600</v>
      </c>
      <c r="H8" s="48" t="n">
        <v>600</v>
      </c>
      <c r="I8" s="48" t="n">
        <v>720</v>
      </c>
      <c r="J8" s="48" t="n">
        <v>1920</v>
      </c>
      <c r="K8" s="47" t="inlineStr">
        <is>
          <t>On-demand token pricing; Year 3 reflects 20% growth</t>
        </is>
      </c>
    </row>
    <row r="9" ht="26" customHeight="1">
      <c r="A9" s="42" t="inlineStr">
        <is>
          <t>Cloud Services</t>
        </is>
      </c>
      <c r="B9" s="43" t="inlineStr">
        <is>
          <t>Amazon API Gateway</t>
        </is>
      </c>
      <c r="C9" s="43" t="inlineStr">
        <is>
          <t>REST API layer exposing playlist-generation, classification, profile, and feedback endpoints</t>
        </is>
      </c>
      <c r="D9" s="44" t="n">
        <v>1</v>
      </c>
      <c r="E9" s="43" t="inlineStr">
        <is>
          <t>Service/Month</t>
        </is>
      </c>
      <c r="F9" s="45" t="n">
        <v>5</v>
      </c>
      <c r="G9" s="45" t="n">
        <v>60</v>
      </c>
      <c r="H9" s="44" t="n">
        <v>60</v>
      </c>
      <c r="I9" s="44" t="n">
        <v>60</v>
      </c>
      <c r="J9" s="44" t="n">
        <v>180</v>
      </c>
      <c r="K9" s="43" t="inlineStr">
        <is>
          <t>~100K API calls/mo at small tier; flat cost at this scale</t>
        </is>
      </c>
    </row>
    <row r="10" ht="26" customHeight="1">
      <c r="A10" s="46" t="inlineStr">
        <is>
          <t>Cloud Services</t>
        </is>
      </c>
      <c r="B10" s="47" t="inlineStr">
        <is>
          <t>Amazon OpenSearch Service</t>
        </is>
      </c>
      <c r="C10" s="47" t="inlineStr">
        <is>
          <t>t3.small.search single-node cluster for semantic and emotion-based content discovery</t>
        </is>
      </c>
      <c r="D10" s="48" t="n">
        <v>1</v>
      </c>
      <c r="E10" s="47" t="inlineStr">
        <is>
          <t>Instance/Month</t>
        </is>
      </c>
      <c r="F10" s="49" t="n">
        <v>25</v>
      </c>
      <c r="G10" s="49" t="n">
        <v>300</v>
      </c>
      <c r="H10" s="48" t="n">
        <v>300</v>
      </c>
      <c r="I10" s="48" t="n">
        <v>300</v>
      </c>
      <c r="J10" s="48" t="n">
        <v>900</v>
      </c>
      <c r="K10" s="47" t="inlineStr">
        <is>
          <t>Single-AZ small cluster; sufficient for &lt;5K catalog entries</t>
        </is>
      </c>
    </row>
    <row r="11" ht="26" customHeight="1">
      <c r="A11" s="42" t="inlineStr">
        <is>
          <t>Cloud Services</t>
        </is>
      </c>
      <c r="B11" s="43" t="inlineStr">
        <is>
          <t>Amazon CloudWatch</t>
        </is>
      </c>
      <c r="C11" s="43" t="inlineStr">
        <is>
          <t>Logs ingestion, custom metrics, dashboards, and alarms for all pipeline and API components</t>
        </is>
      </c>
      <c r="D11" s="44" t="n">
        <v>1</v>
      </c>
      <c r="E11" s="43" t="inlineStr">
        <is>
          <t>Service/Month</t>
        </is>
      </c>
      <c r="F11" s="45" t="n">
        <v>30</v>
      </c>
      <c r="G11" s="45" t="n">
        <v>360</v>
      </c>
      <c r="H11" s="44" t="n">
        <v>360</v>
      </c>
      <c r="I11" s="44" t="n">
        <v>360</v>
      </c>
      <c r="J11" s="44" t="n">
        <v>1080</v>
      </c>
      <c r="K11" s="43" t="inlineStr">
        <is>
          <t>~50 GB logs/mo + 10 dashboards + custom metric dimensions</t>
        </is>
      </c>
    </row>
    <row r="12" ht="26" customHeight="1">
      <c r="A12" s="46" t="inlineStr">
        <is>
          <t>Cloud Services</t>
        </is>
      </c>
      <c r="B12" s="47" t="inlineStr">
        <is>
          <t>Amazon Cognito</t>
        </is>
      </c>
      <c r="C12" s="47" t="inlineStr">
        <is>
          <t>User pool for API authentication (JWT tokens) covering mobile app users and admin access</t>
        </is>
      </c>
      <c r="D12" s="48" t="n">
        <v>100</v>
      </c>
      <c r="E12" s="47" t="inlineStr">
        <is>
          <t>MAU/Month</t>
        </is>
      </c>
      <c r="F12" s="49" t="n">
        <v>0.05</v>
      </c>
      <c r="G12" s="49" t="n">
        <v>6</v>
      </c>
      <c r="H12" s="48" t="n">
        <v>6</v>
      </c>
      <c r="I12" s="48" t="n">
        <v>6</v>
      </c>
      <c r="J12" s="48" t="n">
        <v>18</v>
      </c>
      <c r="K12" s="47" t="inlineStr">
        <is>
          <t>First 50K MAU at $0.0055/MAU; rounded to $0.05 blended unit</t>
        </is>
      </c>
    </row>
    <row r="13" ht="26" customHeight="1">
      <c r="A13" s="42" t="inlineStr">
        <is>
          <t>Cloud Services</t>
        </is>
      </c>
      <c r="B13" s="43" t="inlineStr">
        <is>
          <t>AWS Step Functions</t>
        </is>
      </c>
      <c r="C13" s="43" t="inlineStr">
        <is>
          <t>Orchestration of multi-step content-intelligence pipeline (ingest, classify, enrich, store)</t>
        </is>
      </c>
      <c r="D13" s="44" t="n">
        <v>1</v>
      </c>
      <c r="E13" s="43" t="inlineStr">
        <is>
          <t>Service/Month</t>
        </is>
      </c>
      <c r="F13" s="45" t="n">
        <v>5</v>
      </c>
      <c r="G13" s="45" t="n">
        <v>60</v>
      </c>
      <c r="H13" s="44" t="n">
        <v>60</v>
      </c>
      <c r="I13" s="44" t="n">
        <v>60</v>
      </c>
      <c r="J13" s="44" t="n">
        <v>180</v>
      </c>
      <c r="K13" s="43" t="inlineStr">
        <is>
          <t>Standard workflows; low state-transition volume at small scale</t>
        </is>
      </c>
    </row>
    <row r="14" ht="26" customHeight="1">
      <c r="A14" s="46" t="inlineStr">
        <is>
          <t>Cloud Services</t>
        </is>
      </c>
      <c r="B14" s="47" t="inlineStr">
        <is>
          <t>Amazon ECR</t>
        </is>
      </c>
      <c r="C14" s="47" t="inlineStr">
        <is>
          <t>Container registry for Lambda container images and SageMaker custom inference containers</t>
        </is>
      </c>
      <c r="D14" s="48" t="n">
        <v>1</v>
      </c>
      <c r="E14" s="47" t="inlineStr">
        <is>
          <t>Service/Month</t>
        </is>
      </c>
      <c r="F14" s="49" t="n">
        <v>10</v>
      </c>
      <c r="G14" s="49" t="n">
        <v>120</v>
      </c>
      <c r="H14" s="48" t="n">
        <v>120</v>
      </c>
      <c r="I14" s="48" t="n">
        <v>120</v>
      </c>
      <c r="J14" s="48" t="n">
        <v>360</v>
      </c>
      <c r="K14" s="47" t="inlineStr">
        <is>
          <t>~10 GB repository storage + data transfer</t>
        </is>
      </c>
    </row>
    <row r="15" ht="26" customHeight="1">
      <c r="A15" s="42" t="inlineStr">
        <is>
          <t>Cloud Services</t>
        </is>
      </c>
      <c r="B15" s="43" t="inlineStr">
        <is>
          <t>AWS Secrets Manager</t>
        </is>
      </c>
      <c r="C15" s="43" t="inlineStr">
        <is>
          <t>Secure storage of API keys, Firebase credentials, and database connection strings</t>
        </is>
      </c>
      <c r="D15" s="44" t="n">
        <v>1</v>
      </c>
      <c r="E15" s="43" t="inlineStr">
        <is>
          <t>Service/Month</t>
        </is>
      </c>
      <c r="F15" s="45" t="n">
        <v>2</v>
      </c>
      <c r="G15" s="45" t="n">
        <v>24</v>
      </c>
      <c r="H15" s="44" t="n">
        <v>24</v>
      </c>
      <c r="I15" s="44" t="n">
        <v>24</v>
      </c>
      <c r="J15" s="44" t="n">
        <v>72</v>
      </c>
      <c r="K15" s="43" t="inlineStr">
        <is>
          <t>~5 secrets at $0.40/secret/mo</t>
        </is>
      </c>
    </row>
    <row r="16" ht="26" customHeight="1">
      <c r="A16" s="46" t="inlineStr">
        <is>
          <t>Support &amp; Maintenance</t>
        </is>
      </c>
      <c r="B16" s="47" t="inlineStr">
        <is>
          <t>AWS Business Support</t>
        </is>
      </c>
      <c r="C16" s="47" t="inlineStr">
        <is>
          <t>AWS Business support plan — 24x7 access, 1-hr critical response, Trusted Advisor full checks</t>
        </is>
      </c>
      <c r="D16" s="48" t="n">
        <v>1</v>
      </c>
      <c r="E16" s="47" t="inlineStr">
        <is>
          <t>Service/Month</t>
        </is>
      </c>
      <c r="F16" s="49" t="n">
        <v>100</v>
      </c>
      <c r="G16" s="49" t="n">
        <v>1200</v>
      </c>
      <c r="H16" s="48" t="n">
        <v>1200</v>
      </c>
      <c r="I16" s="48" t="n">
        <v>1200</v>
      </c>
      <c r="J16" s="48" t="n">
        <v>3600</v>
      </c>
      <c r="K16" s="47" t="inlineStr">
        <is>
          <t>Minimum $100/mo Business tier; covers all services in account</t>
        </is>
      </c>
    </row>
    <row r="17" ht="26" customHeight="1">
      <c r="A17" s="50" t="inlineStr">
        <is>
          <t>TOTAL</t>
        </is>
      </c>
      <c r="B17" s="51" t="n"/>
      <c r="C17" s="51" t="n"/>
      <c r="D17" s="51" t="n"/>
      <c r="E17" s="51" t="n"/>
      <c r="F17" s="51" t="n"/>
      <c r="G17" s="52">
        <f>SUM(G3:G16)</f>
        <v/>
      </c>
      <c r="H17" s="52">
        <f>SUM(H3:H16)</f>
        <v/>
      </c>
      <c r="I17" s="52">
        <f>SUM(I3:I16)</f>
        <v/>
      </c>
      <c r="J17" s="52">
        <f>SUM(J3:J16)</f>
        <v/>
      </c>
      <c r="K17" s="51" t="n"/>
    </row>
  </sheetData>
  <autoFilter ref="A2:K17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Category</t>
        </is>
      </c>
      <c r="B2" s="35" t="inlineStr">
        <is>
          <t>Credit Type</t>
        </is>
      </c>
      <c r="C2" s="35" t="inlineStr">
        <is>
          <t>Credit Amount</t>
        </is>
      </c>
      <c r="D2" s="35" t="inlineStr">
        <is>
          <t>Credit Comments</t>
        </is>
      </c>
    </row>
    <row r="3" ht="26" customHeight="1">
      <c r="A3" s="42" t="inlineStr">
        <is>
          <t>Hardware</t>
        </is>
      </c>
      <c r="B3" s="43" t="inlineStr">
        <is>
          <t>Equipment Credit</t>
        </is>
      </c>
      <c r="C3" s="45" t="n">
        <v>0</v>
      </c>
      <c r="D3" s="43" t="inlineStr">
        <is>
          <t>No hardware (fully serverless/cloud-native solution)</t>
        </is>
      </c>
    </row>
    <row r="4" ht="26" customHeight="1">
      <c r="A4" s="46" t="inlineStr">
        <is>
          <t>Cloud Services</t>
        </is>
      </c>
      <c r="B4" s="47" t="inlineStr">
        <is>
          <t>AWS Activate Credit</t>
        </is>
      </c>
      <c r="C4" s="49" t="n">
        <v>-2500</v>
      </c>
      <c r="D4" s="47" t="inlineStr">
        <is>
          <t>AWS Activate Founders credit applicable to early-stage startup; reduces Year 1 cloud consumption costs</t>
        </is>
      </c>
    </row>
    <row r="5" ht="26" customHeight="1">
      <c r="A5" s="42" t="inlineStr">
        <is>
          <t>Cloud Services</t>
        </is>
      </c>
      <c r="B5" s="43" t="inlineStr">
        <is>
          <t>AWS MAP Credit</t>
        </is>
      </c>
      <c r="C5" s="45" t="n">
        <v>0</v>
      </c>
      <c r="D5" s="43" t="inlineStr">
        <is>
          <t>Migration Acceleration Program not applicable (greenfield build)</t>
        </is>
      </c>
    </row>
    <row r="6" ht="26" customHeight="1">
      <c r="A6" s="46" t="inlineStr">
        <is>
          <t>Software Licenses</t>
        </is>
      </c>
      <c r="B6" s="47" t="inlineStr">
        <is>
          <t>Software Credit</t>
        </is>
      </c>
      <c r="C6" s="49" t="n">
        <v>0</v>
      </c>
      <c r="D6" s="47" t="inlineStr">
        <is>
          <t>No third-party software license credits available</t>
        </is>
      </c>
    </row>
    <row r="7" ht="26" customHeight="1">
      <c r="A7" s="42" t="inlineStr">
        <is>
          <t>Connectivity</t>
        </is>
      </c>
      <c r="B7" s="43" t="inlineStr">
        <is>
          <t>Network Credit</t>
        </is>
      </c>
      <c r="C7" s="45" t="n">
        <v>0</v>
      </c>
      <c r="D7" s="43" t="inlineStr">
        <is>
          <t>No dedicated circuit or connectivity credits applicable</t>
        </is>
      </c>
    </row>
    <row r="8" ht="26" customHeight="1">
      <c r="A8" s="46" t="inlineStr">
        <is>
          <t>Support &amp; Maintenance</t>
        </is>
      </c>
      <c r="B8" s="47" t="inlineStr">
        <is>
          <t>Program Credit</t>
        </is>
      </c>
      <c r="C8" s="49" t="n">
        <v>0</v>
      </c>
      <c r="D8" s="47" t="inlineStr">
        <is>
          <t>No support plan credits available for this tier</t>
        </is>
      </c>
    </row>
    <row r="9" ht="26" customHeight="1">
      <c r="A9" s="42" t="inlineStr">
        <is>
          <t>Facilities</t>
        </is>
      </c>
      <c r="B9" s="43" t="inlineStr">
        <is>
          <t>Facilities Credit</t>
        </is>
      </c>
      <c r="C9" s="45" t="n">
        <v>0</v>
      </c>
      <c r="D9" s="43" t="inlineStr">
        <is>
          <t>No facilities costs (fully cloud-hosted solution)</t>
        </is>
      </c>
    </row>
  </sheetData>
  <autoFilter ref="A2:D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4" t="inlineStr">
        <is>
          <t>3-Year Summary</t>
        </is>
      </c>
    </row>
    <row r="2" ht="32" customHeight="1">
      <c r="A2" s="35" t="inlineStr">
        <is>
          <t>Category</t>
        </is>
      </c>
      <c r="B2" s="35" t="inlineStr">
        <is>
          <t>Year 1 List</t>
        </is>
      </c>
      <c r="C2" s="35" t="inlineStr">
        <is>
          <t>Year 1 Credits</t>
        </is>
      </c>
      <c r="D2" s="35" t="inlineStr">
        <is>
          <t>Year 1 Net</t>
        </is>
      </c>
      <c r="E2" s="35" t="inlineStr">
        <is>
          <t>Year 2</t>
        </is>
      </c>
      <c r="F2" s="35" t="inlineStr">
        <is>
          <t>Year 3</t>
        </is>
      </c>
      <c r="G2" s="35" t="inlineStr">
        <is>
          <t>3-Year Total</t>
        </is>
      </c>
    </row>
    <row r="3" ht="26" customHeight="1">
      <c r="A3" s="42" t="inlineStr">
        <is>
          <t>Hardware</t>
        </is>
      </c>
      <c r="B3" s="45">
        <f>SUMIF('Infrastructure Costs'!$A:$A,A3,'Infrastructure Costs'!$G:$G)</f>
        <v/>
      </c>
      <c r="C3" s="45">
        <f>SUMIF(Credits!$A:$A,A3,Credits!$C:$C)</f>
        <v/>
      </c>
      <c r="D3" s="45">
        <f>B3+C3</f>
        <v/>
      </c>
      <c r="E3" s="45">
        <f>SUMIF('Infrastructure Costs'!$A:$A,A3,'Infrastructure Costs'!$H:$H)</f>
        <v/>
      </c>
      <c r="F3" s="45">
        <f>SUMIF('Infrastructure Costs'!$A:$A,A3,'Infrastructure Costs'!$I:$I)</f>
        <v/>
      </c>
      <c r="G3" s="45">
        <f>D3+E3+F3</f>
        <v/>
      </c>
    </row>
    <row r="4" ht="26" customHeight="1">
      <c r="A4" s="46" t="inlineStr">
        <is>
          <t>Cloud Services</t>
        </is>
      </c>
      <c r="B4" s="49">
        <f>SUMIF('Infrastructure Costs'!$A:$A,A4,'Infrastructure Costs'!$G:$G)</f>
        <v/>
      </c>
      <c r="C4" s="49">
        <f>SUMIF(Credits!$A:$A,A4,Credits!$C:$C)</f>
        <v/>
      </c>
      <c r="D4" s="49">
        <f>B4+C4</f>
        <v/>
      </c>
      <c r="E4" s="49">
        <f>SUMIF('Infrastructure Costs'!$A:$A,A4,'Infrastructure Costs'!$H:$H)</f>
        <v/>
      </c>
      <c r="F4" s="49">
        <f>SUMIF('Infrastructure Costs'!$A:$A,A4,'Infrastructure Costs'!$I:$I)</f>
        <v/>
      </c>
      <c r="G4" s="49">
        <f>D4+E4+F4</f>
        <v/>
      </c>
    </row>
    <row r="5" ht="26" customHeight="1">
      <c r="A5" s="42" t="inlineStr">
        <is>
          <t>Software Licenses</t>
        </is>
      </c>
      <c r="B5" s="45">
        <f>SUMIF('Infrastructure Costs'!$A:$A,A5,'Infrastructure Costs'!$G:$G)</f>
        <v/>
      </c>
      <c r="C5" s="45">
        <f>SUMIF(Credits!$A:$A,A5,Credits!$C:$C)</f>
        <v/>
      </c>
      <c r="D5" s="45">
        <f>B5+C5</f>
        <v/>
      </c>
      <c r="E5" s="45">
        <f>SUMIF('Infrastructure Costs'!$A:$A,A5,'Infrastructure Costs'!$H:$H)</f>
        <v/>
      </c>
      <c r="F5" s="45">
        <f>SUMIF('Infrastructure Costs'!$A:$A,A5,'Infrastructure Costs'!$I:$I)</f>
        <v/>
      </c>
      <c r="G5" s="45">
        <f>D5+E5+F5</f>
        <v/>
      </c>
    </row>
    <row r="6" ht="26" customHeight="1">
      <c r="A6" s="46" t="inlineStr">
        <is>
          <t>Connectivity</t>
        </is>
      </c>
      <c r="B6" s="49">
        <f>SUMIF('Infrastructure Costs'!$A:$A,A6,'Infrastructure Costs'!$G:$G)</f>
        <v/>
      </c>
      <c r="C6" s="49">
        <f>SUMIF(Credits!$A:$A,A6,Credits!$C:$C)</f>
        <v/>
      </c>
      <c r="D6" s="49">
        <f>B6+C6</f>
        <v/>
      </c>
      <c r="E6" s="49">
        <f>SUMIF('Infrastructure Costs'!$A:$A,A6,'Infrastructure Costs'!$H:$H)</f>
        <v/>
      </c>
      <c r="F6" s="49">
        <f>SUMIF('Infrastructure Costs'!$A:$A,A6,'Infrastructure Costs'!$I:$I)</f>
        <v/>
      </c>
      <c r="G6" s="49">
        <f>D6+E6+F6</f>
        <v/>
      </c>
    </row>
    <row r="7" ht="26" customHeight="1">
      <c r="A7" s="42" t="inlineStr">
        <is>
          <t>Support &amp; Maintenance</t>
        </is>
      </c>
      <c r="B7" s="45">
        <f>SUMIF('Infrastructure Costs'!$A:$A,A7,'Infrastructure Costs'!$G:$G)</f>
        <v/>
      </c>
      <c r="C7" s="45">
        <f>SUMIF(Credits!$A:$A,A7,Credits!$C:$C)</f>
        <v/>
      </c>
      <c r="D7" s="45">
        <f>B7+C7</f>
        <v/>
      </c>
      <c r="E7" s="45">
        <f>SUMIF('Infrastructure Costs'!$A:$A,A7,'Infrastructure Costs'!$H:$H)</f>
        <v/>
      </c>
      <c r="F7" s="45">
        <f>SUMIF('Infrastructure Costs'!$A:$A,A7,'Infrastructure Costs'!$I:$I)</f>
        <v/>
      </c>
      <c r="G7" s="45">
        <f>D7+E7+F7</f>
        <v/>
      </c>
    </row>
    <row r="8" ht="26" customHeight="1">
      <c r="A8" s="46" t="inlineStr">
        <is>
          <t>Facilities</t>
        </is>
      </c>
      <c r="B8" s="49">
        <f>SUMIF('Infrastructure Costs'!$A:$A,A8,'Infrastructure Costs'!$G:$G)</f>
        <v/>
      </c>
      <c r="C8" s="49">
        <f>SUMIF(Credits!$A:$A,A8,Credits!$C:$C)</f>
        <v/>
      </c>
      <c r="D8" s="49">
        <f>B8+C8</f>
        <v/>
      </c>
      <c r="E8" s="49">
        <f>SUMIF('Infrastructure Costs'!$A:$A,A8,'Infrastructure Costs'!$H:$H)</f>
        <v/>
      </c>
      <c r="F8" s="49">
        <f>SUMIF('Infrastructure Costs'!$A:$A,A8,'Infrastructure Costs'!$I:$I)</f>
        <v/>
      </c>
      <c r="G8" s="49">
        <f>D8+E8+F8</f>
        <v/>
      </c>
    </row>
    <row r="9" ht="26" customHeight="1">
      <c r="A9" s="50" t="inlineStr">
        <is>
          <t>TOTAL</t>
        </is>
      </c>
      <c r="B9" s="52">
        <f>SUM(B3:B8)</f>
        <v/>
      </c>
      <c r="C9" s="52">
        <f>SUM(C3:C8)</f>
        <v/>
      </c>
      <c r="D9" s="52">
        <f>SUM(D3:D8)</f>
        <v/>
      </c>
      <c r="E9" s="52">
        <f>SUM(E3:E8)</f>
        <v/>
      </c>
      <c r="F9" s="52">
        <f>SUM(F3:F8)</f>
        <v/>
      </c>
      <c r="G9" s="52">
        <f>SUM(G3:G8)</f>
        <v/>
      </c>
    </row>
  </sheetData>
  <autoFilter ref="A2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2026-06-08T19:23:13Z</dcterms:modified>
  <cp:lastModifiedBy>Kishan Siram</cp:lastModifiedBy>
</cp:coreProperties>
</file>