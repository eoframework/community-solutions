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cope Assumptions" sheetId="2" state="visible" r:id="rId2"/>
    <sheet xmlns:r="http://schemas.openxmlformats.org/officeDocument/2006/relationships" name="Estimate Settings" sheetId="3" state="visible" r:id="rId3"/>
    <sheet xmlns:r="http://schemas.openxmlformats.org/officeDocument/2006/relationships" name="LOE" sheetId="4" state="visible" r:id="rId4"/>
    <sheet xmlns:r="http://schemas.openxmlformats.org/officeDocument/2006/relationships" name="Credits" sheetId="5" state="visible" r:id="rId5"/>
  </sheets>
  <definedNames>
    <definedName name="_xlnm._FilterDatabase" localSheetId="1" hidden="1">'Scope Assumptions'!$A$2:$G$10</definedName>
    <definedName name="_xlnm._FilterDatabase" localSheetId="2" hidden="1">'Estimate Settings'!$A$2:$D$9</definedName>
    <definedName name="_xlnm._FilterDatabase" localSheetId="3" hidden="1">'LOE'!$A$2:$K$41</definedName>
    <definedName name="_xlnm._FilterDatabase" localSheetId="4" hidden="1">'Credits'!$A$2:$C$4</definedName>
  </definedNames>
  <calcPr calcId="124519" calcMode="auto" fullCalcOnLoad="1" calcOnSave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"/>
    <numFmt numFmtId="166" formatCode="$#,##0"/>
  </numFmts>
  <fonts count="20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color rgb="00FF0000"/>
      <sz val="12"/>
    </font>
    <font>
      <name val="Calibri"/>
      <color rgb="FF2C3E50"/>
      <sz val="11"/>
    </font>
    <font>
      <name val="Calibri"/>
      <b val="1"/>
      <color rgb="FF2C3E50"/>
      <sz val="11"/>
    </font>
    <font>
      <name val="Calibri"/>
      <b val="1"/>
      <color rgb="FFCC0000"/>
      <sz val="11"/>
    </font>
  </fonts>
  <fills count="12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14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14" fillId="11" borderId="5" applyAlignment="1" pivotButton="0" quotePrefix="0" xfId="0">
      <alignment horizontal="left" vertical="center" wrapText="1" indent="1"/>
    </xf>
    <xf numFmtId="0" fontId="2" fillId="11" borderId="5" applyAlignment="1" pivotButton="0" quotePrefix="0" xfId="0">
      <alignment horizontal="left" vertical="center" wrapText="1" indent="1"/>
    </xf>
    <xf numFmtId="165" fontId="2" fillId="4" borderId="5" applyAlignment="1" pivotButton="0" quotePrefix="0" xfId="0">
      <alignment horizontal="center" vertical="center" wrapText="1"/>
    </xf>
    <xf numFmtId="165" fontId="2" fillId="11" borderId="5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left" vertical="center"/>
    </xf>
    <xf numFmtId="0" fontId="18" fillId="4" borderId="5" applyAlignment="1" pivotButton="0" quotePrefix="0" xfId="0">
      <alignment horizontal="left" vertical="center" wrapText="1" indent="1"/>
    </xf>
    <xf numFmtId="0" fontId="17" fillId="4" borderId="5" applyAlignment="1" pivotButton="0" quotePrefix="0" xfId="0">
      <alignment horizontal="left" vertical="center" wrapText="1" indent="1"/>
    </xf>
    <xf numFmtId="3" fontId="17" fillId="4" borderId="5" applyAlignment="1" pivotButton="0" quotePrefix="0" xfId="0">
      <alignment horizontal="right" vertical="center" wrapText="1"/>
    </xf>
    <xf numFmtId="165" fontId="17" fillId="4" borderId="5" applyAlignment="1" pivotButton="0" quotePrefix="0" xfId="0">
      <alignment horizontal="center" vertical="center" wrapText="1"/>
    </xf>
    <xf numFmtId="166" fontId="17" fillId="4" borderId="5" applyAlignment="1" pivotButton="0" quotePrefix="0" xfId="0">
      <alignment horizontal="right" vertical="center" wrapText="1"/>
    </xf>
    <xf numFmtId="0" fontId="18" fillId="11" borderId="5" applyAlignment="1" pivotButton="0" quotePrefix="0" xfId="0">
      <alignment horizontal="left" vertical="center" wrapText="1" indent="1"/>
    </xf>
    <xf numFmtId="0" fontId="17" fillId="11" borderId="5" applyAlignment="1" pivotButton="0" quotePrefix="0" xfId="0">
      <alignment horizontal="left" vertical="center" wrapText="1" indent="1"/>
    </xf>
    <xf numFmtId="3" fontId="17" fillId="11" borderId="5" applyAlignment="1" pivotButton="0" quotePrefix="0" xfId="0">
      <alignment horizontal="right" vertical="center" wrapText="1"/>
    </xf>
    <xf numFmtId="165" fontId="17" fillId="11" borderId="5" applyAlignment="1" pivotButton="0" quotePrefix="0" xfId="0">
      <alignment horizontal="center" vertical="center" wrapText="1"/>
    </xf>
    <xf numFmtId="166" fontId="17" fillId="11" borderId="5" applyAlignment="1" pivotButton="0" quotePrefix="0" xfId="0">
      <alignment horizontal="right" vertical="center" wrapText="1"/>
    </xf>
    <xf numFmtId="0" fontId="17" fillId="4" borderId="5" applyAlignment="1" pivotButton="0" quotePrefix="0" xfId="0">
      <alignment horizontal="right" vertical="center" wrapText="1"/>
    </xf>
    <xf numFmtId="0" fontId="17" fillId="11" borderId="5" applyAlignment="1" pivotButton="0" quotePrefix="0" xfId="0">
      <alignment horizontal="right" vertical="center" wrapText="1"/>
    </xf>
    <xf numFmtId="0" fontId="19" fillId="5" borderId="5" applyAlignment="1" pivotButton="0" quotePrefix="0" xfId="0">
      <alignment horizontal="left" vertical="center" wrapText="1"/>
    </xf>
    <xf numFmtId="0" fontId="19" fillId="5" borderId="5" applyAlignment="1" pivotButton="0" quotePrefix="0" xfId="0">
      <alignment horizontal="right" vertical="center" wrapText="1"/>
    </xf>
    <xf numFmtId="166" fontId="2" fillId="4" borderId="5" applyAlignment="1" pivotButton="0" quotePrefix="0" xfId="0">
      <alignment horizontal="right" vertical="center" wrapText="1"/>
    </xf>
    <xf numFmtId="0" fontId="4" fillId="5" borderId="5" applyAlignment="1" pivotButton="0" quotePrefix="0" xfId="0">
      <alignment horizontal="left" vertical="center" wrapText="1"/>
    </xf>
    <xf numFmtId="0" fontId="4" fillId="5" borderId="5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Level of Effort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June 08, 2026</t>
        </is>
      </c>
    </row>
    <row r="6" ht="18" customHeight="1">
      <c r="B6" s="2" t="inlineStr">
        <is>
          <t>Solution:</t>
        </is>
      </c>
      <c r="C6" s="3" t="inlineStr">
        <is>
          <t>Tmpaucs1Jvw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30" customWidth="1" min="3" max="3"/>
    <col width="25" customWidth="1" min="4" max="4"/>
    <col width="25" customWidth="1" min="5" max="5"/>
    <col width="30" customWidth="1" min="6" max="6"/>
    <col width="40" customWidth="1" min="7" max="7"/>
  </cols>
  <sheetData>
    <row r="1" ht="32" customHeight="1">
      <c r="A1" s="34" t="inlineStr">
        <is>
          <t>SCOPE ASSUMPTIONS</t>
        </is>
      </c>
    </row>
    <row r="2" ht="32" customHeight="1">
      <c r="A2" s="35" t="inlineStr">
        <is>
          <t>Category</t>
        </is>
      </c>
      <c r="B2" s="35" t="inlineStr">
        <is>
          <t>Baseline Assumption</t>
        </is>
      </c>
      <c r="C2" s="35" t="inlineStr">
        <is>
          <t>Current Scope</t>
        </is>
      </c>
      <c r="D2" s="35" t="inlineStr">
        <is>
          <t>Small (1x)</t>
        </is>
      </c>
      <c r="E2" s="35" t="inlineStr">
        <is>
          <t>Medium (2x)</t>
        </is>
      </c>
      <c r="F2" s="35" t="inlineStr">
        <is>
          <t>Large (3x)</t>
        </is>
      </c>
      <c r="G2" s="35" t="inlineStr">
        <is>
          <t>Notes</t>
        </is>
      </c>
    </row>
    <row r="3" ht="26" customHeight="1">
      <c r="A3" s="36" t="inlineStr">
        <is>
          <t>Users / Monthly Active Users</t>
        </is>
      </c>
      <c r="B3" s="37" t="inlineStr">
        <is>
          <t>Single department ~100 MAU</t>
        </is>
      </c>
      <c r="C3" s="38" t="inlineStr">
        <is>
          <t>Starting at 0; projections for 100 / 10K / 100K MAU</t>
        </is>
      </c>
      <c r="D3" s="37" t="inlineStr">
        <is>
          <t>Up to 100 MAU</t>
        </is>
      </c>
      <c r="E3" s="37" t="inlineStr">
        <is>
          <t>Up to 10,000 MAU</t>
        </is>
      </c>
      <c r="F3" s="37" t="inlineStr">
        <is>
          <t>100,000+ MAU</t>
        </is>
      </c>
      <c r="G3" s="37" t="inlineStr">
        <is>
          <t>Cost modeling required for all three tiers for investor conversations</t>
        </is>
      </c>
    </row>
    <row r="4" ht="26" customHeight="1">
      <c r="A4" s="39" t="inlineStr">
        <is>
          <t>Content Catalog</t>
        </is>
      </c>
      <c r="B4" s="40" t="inlineStr">
        <is>
          <t>Single-genre catalog ~1000 tracks</t>
        </is>
      </c>
      <c r="C4" s="38" t="inlineStr">
        <is>
          <t>Existing FlutterFlow / Firebase catalog with titles + metadata; lyric and transcript files where available</t>
        </is>
      </c>
      <c r="D4" s="40" t="inlineStr">
        <is>
          <t>Up to 2,000 tracks</t>
        </is>
      </c>
      <c r="E4" s="40" t="inlineStr">
        <is>
          <t>Up to 50,000 tracks</t>
        </is>
      </c>
      <c r="F4" s="40" t="inlineStr">
        <is>
          <t>500,000+ tracks</t>
        </is>
      </c>
      <c r="G4" s="40" t="inlineStr">
        <is>
          <t>Firebase data-migration execution is out of scope; catalog is read via API</t>
        </is>
      </c>
    </row>
    <row r="5" ht="26" customHeight="1">
      <c r="A5" s="36" t="inlineStr">
        <is>
          <t>AI/ML Models in Scope</t>
        </is>
      </c>
      <c r="B5" s="37" t="inlineStr">
        <is>
          <t>1 baseline recommendation model</t>
        </is>
      </c>
      <c r="C5" s="38" t="inlineStr">
        <is>
          <t>Content-intelligence classifier + preference-learning model + mood-to-content matcher + playlist generator + retraining pipeline</t>
        </is>
      </c>
      <c r="D5" s="37" t="inlineStr">
        <is>
          <t>1 model</t>
        </is>
      </c>
      <c r="E5" s="37" t="inlineStr">
        <is>
          <t>3-5 models</t>
        </is>
      </c>
      <c r="F5" s="37" t="inlineStr">
        <is>
          <t>10+ models</t>
        </is>
      </c>
      <c r="G5" s="37" t="inlineStr">
        <is>
          <t>Medium complexity — 5 interacting ML components built from scratch</t>
        </is>
      </c>
    </row>
    <row r="6" ht="26" customHeight="1">
      <c r="A6" s="39" t="inlineStr">
        <is>
          <t>AWS Environments</t>
        </is>
      </c>
      <c r="B6" s="40" t="inlineStr">
        <is>
          <t>Single prod environment</t>
        </is>
      </c>
      <c r="C6" s="38" t="inlineStr">
        <is>
          <t>Dev + Staging environments; production deployment out of scope for this engagement</t>
        </is>
      </c>
      <c r="D6" s="40" t="inlineStr">
        <is>
          <t>1 environment</t>
        </is>
      </c>
      <c r="E6" s="40" t="inlineStr">
        <is>
          <t>2 environments</t>
        </is>
      </c>
      <c r="F6" s="40" t="inlineStr">
        <is>
          <t>3+ environments</t>
        </is>
      </c>
      <c r="G6" s="40" t="inlineStr">
        <is>
          <t>Production deployment deferred to a later phase</t>
        </is>
      </c>
    </row>
    <row r="7" ht="26" customHeight="1">
      <c r="A7" s="36" t="inlineStr">
        <is>
          <t>Integration Points / APIs</t>
        </is>
      </c>
      <c r="B7" s="37" t="inlineStr">
        <is>
          <t>1 downstream consumer</t>
        </is>
      </c>
      <c r="C7" s="38" t="inlineStr">
        <is>
          <t>FlutterFlow mobile app calling secured REST API; no frontend modification required</t>
        </is>
      </c>
      <c r="D7" s="37" t="inlineStr">
        <is>
          <t>1 integration</t>
        </is>
      </c>
      <c r="E7" s="37" t="inlineStr">
        <is>
          <t>2-3 integrations</t>
        </is>
      </c>
      <c r="F7" s="37" t="inlineStr">
        <is>
          <t>5+ integrations</t>
        </is>
      </c>
      <c r="G7" s="37" t="inlineStr">
        <is>
          <t>All API contracts must be documented for independent operation</t>
        </is>
      </c>
    </row>
    <row r="8" ht="26" customHeight="1">
      <c r="A8" s="39" t="inlineStr">
        <is>
          <t>Data Schemas</t>
        </is>
      </c>
      <c r="B8" s="40" t="inlineStr">
        <is>
          <t>Basic metadata schema</t>
        </is>
      </c>
      <c r="C8" s="38" t="inlineStr">
        <is>
          <t>User preference vectors + content metadata + mood taxonomy; defined and documented in Phase 1</t>
        </is>
      </c>
      <c r="D8" s="40" t="inlineStr">
        <is>
          <t>Basic schema</t>
        </is>
      </c>
      <c r="E8" s="40" t="inlineStr">
        <is>
          <t>Intermediate schema with versioning</t>
        </is>
      </c>
      <c r="F8" s="40" t="inlineStr">
        <is>
          <t>Full ontology with multi-language support</t>
        </is>
      </c>
      <c r="G8" s="40" t="inlineStr">
        <is>
          <t>Mood taxonomy and data schema design are explicit Phase 1 deliverables</t>
        </is>
      </c>
    </row>
    <row r="9" ht="26" customHeight="1">
      <c r="A9" s="36" t="inlineStr">
        <is>
          <t>Compliance / Security</t>
        </is>
      </c>
      <c r="B9" s="37" t="inlineStr">
        <is>
          <t>Standard AWS best practices</t>
        </is>
      </c>
      <c r="C9" s="38" t="inlineStr">
        <is>
          <t>Dedicated AWS account provided by customer; security controls under existing or new dedicated security account</t>
        </is>
      </c>
      <c r="D9" s="37" t="inlineStr">
        <is>
          <t>Standard IAM + encryption</t>
        </is>
      </c>
      <c r="E9" s="37" t="inlineStr">
        <is>
          <t>NIST CSF aligned</t>
        </is>
      </c>
      <c r="F9" s="37" t="inlineStr">
        <is>
          <t>FedRAMP / SOC 2 ready</t>
        </is>
      </c>
      <c r="G9" s="37" t="inlineStr">
        <is>
          <t>No specific compliance framework stated; AWS security baseline assumed</t>
        </is>
      </c>
    </row>
    <row r="10" ht="26" customHeight="1">
      <c r="A10" s="39" t="inlineStr">
        <is>
          <t>Knowledge Transfer</t>
        </is>
      </c>
      <c r="B10" s="40" t="inlineStr">
        <is>
          <t>Single handoff session</t>
        </is>
      </c>
      <c r="C10" s="38" t="inlineStr">
        <is>
          <t>Two formal knowledge-transfer sessions + full operational runbook delivery</t>
        </is>
      </c>
      <c r="D10" s="40" t="inlineStr">
        <is>
          <t>1 session</t>
        </is>
      </c>
      <c r="E10" s="40" t="inlineStr">
        <is>
          <t>2 sessions</t>
        </is>
      </c>
      <c r="F10" s="40" t="inlineStr">
        <is>
          <t>4+ sessions</t>
        </is>
      </c>
      <c r="G10" s="40" t="inlineStr">
        <is>
          <t>Runbooks and API documentation required for independent operation post-engagement</t>
        </is>
      </c>
    </row>
  </sheetData>
  <autoFilter ref="A2:G10"/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  <col width="80" customWidth="1" min="4" max="4"/>
  </cols>
  <sheetData>
    <row r="1" ht="32" customHeight="1">
      <c r="A1" s="34" t="inlineStr">
        <is>
          <t>ESTIMATE SETTINGS</t>
        </is>
      </c>
    </row>
    <row r="2" ht="32" customHeight="1">
      <c r="A2" s="35" t="inlineStr">
        <is>
          <t>Phase</t>
        </is>
      </c>
      <c r="B2" s="35" t="inlineStr">
        <is>
          <t>Variable Name</t>
        </is>
      </c>
      <c r="C2" s="35" t="inlineStr">
        <is>
          <t>Multiplier</t>
        </is>
      </c>
      <c r="D2" s="35" t="inlineStr">
        <is>
          <t>Description / Applies To Tasks</t>
        </is>
      </c>
    </row>
    <row r="3" ht="26" customHeight="1">
      <c r="A3" s="36" t="inlineStr">
        <is>
          <t>Discovery &amp; Architecture Planning</t>
        </is>
      </c>
      <c r="B3" s="37" t="inlineStr">
        <is>
          <t>discovery_factor</t>
        </is>
      </c>
      <c r="C3" s="41" t="n">
        <v>1</v>
      </c>
      <c r="D3" s="37" t="inlineStr">
        <is>
          <t>Baseline — requirements workshop + architecture design + data schema definition + tiered cost modeling</t>
        </is>
      </c>
    </row>
    <row r="4" ht="26" customHeight="1">
      <c r="A4" s="39" t="inlineStr">
        <is>
          <t>Content Intelligence Development</t>
        </is>
      </c>
      <c r="B4" s="40" t="inlineStr">
        <is>
          <t>content_intelligence_factor</t>
        </is>
      </c>
      <c r="C4" s="42" t="n">
        <v>1.2</v>
      </c>
      <c r="D4" s="40" t="inlineStr">
        <is>
          <t>Elevated complexity — lyric/transcript NLP pipeline + audio analysis + catalog enrichment at ingest time</t>
        </is>
      </c>
    </row>
    <row r="5" ht="26" customHeight="1">
      <c r="A5" s="36" t="inlineStr">
        <is>
          <t>Recommendation Engine Development</t>
        </is>
      </c>
      <c r="B5" s="37" t="inlineStr">
        <is>
          <t>recommendation_factor</t>
        </is>
      </c>
      <c r="C5" s="41" t="n">
        <v>1.3</v>
      </c>
      <c r="D5" s="37" t="inlineStr">
        <is>
          <t>Highest complexity — preference-learning model + mood-to-content matching + playlist generation + retraining pipeline</t>
        </is>
      </c>
    </row>
    <row r="6" ht="26" customHeight="1">
      <c r="A6" s="39" t="inlineStr">
        <is>
          <t>API Service Layer Development</t>
        </is>
      </c>
      <c r="B6" s="40" t="inlineStr">
        <is>
          <t>api_factor</t>
        </is>
      </c>
      <c r="C6" s="42" t="n">
        <v>1.1</v>
      </c>
      <c r="D6" s="40" t="inlineStr">
        <is>
          <t>Moderate complexity — authenticated REST endpoints + feedback capture + API documentation</t>
        </is>
      </c>
    </row>
    <row r="7" ht="26" customHeight="1">
      <c r="A7" s="36" t="inlineStr">
        <is>
          <t>Testing &amp; Validation</t>
        </is>
      </c>
      <c r="B7" s="37" t="inlineStr">
        <is>
          <t>testing_factor</t>
        </is>
      </c>
      <c r="C7" s="41" t="n">
        <v>1</v>
      </c>
      <c r="D7" s="37" t="inlineStr">
        <is>
          <t>End-to-end functional + integration + performance testing across all pipeline components</t>
        </is>
      </c>
    </row>
    <row r="8" ht="26" customHeight="1">
      <c r="A8" s="39" t="inlineStr">
        <is>
          <t>Integration &amp; Deployment</t>
        </is>
      </c>
      <c r="B8" s="40" t="inlineStr">
        <is>
          <t>deployment_factor</t>
        </is>
      </c>
      <c r="C8" s="42" t="n">
        <v>1</v>
      </c>
      <c r="D8" s="40" t="inlineStr">
        <is>
          <t>End-to-end validation + production-readiness checks + knowledge-transfer sessions + final documentation delivery</t>
        </is>
      </c>
    </row>
    <row r="9" ht="26" customHeight="1">
      <c r="A9" s="36" t="inlineStr">
        <is>
          <t>Management</t>
        </is>
      </c>
      <c r="B9" s="37" t="inlineStr">
        <is>
          <t>management_factor</t>
        </is>
      </c>
      <c r="C9" s="41" t="n">
        <v>1</v>
      </c>
      <c r="D9" s="37" t="inlineStr">
        <is>
          <t>Project management and technical leadership overhead (10% of engineering hours)</t>
        </is>
      </c>
    </row>
    <row r="11" ht="20" customHeight="1">
      <c r="A11" s="43" t="inlineStr">
        <is>
          <t>EO Sales Engineer Updates Multipliers Based on Customer Scope</t>
        </is>
      </c>
    </row>
  </sheetData>
  <autoFilter ref="A2:D9"/>
  <mergeCells count="2">
    <mergeCell ref="A1:D1"/>
    <mergeCell ref="A11:D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50" customWidth="1" min="3" max="3"/>
    <col width="15" customWidth="1" min="4" max="4"/>
    <col width="12" customWidth="1" min="5" max="5"/>
    <col width="14" customWidth="1" min="6" max="6"/>
    <col width="12" customWidth="1" min="7" max="7"/>
    <col width="12" customWidth="1" min="8" max="8"/>
    <col width="15" customWidth="1" min="9" max="9"/>
    <col width="25" customWidth="1" min="10" max="10"/>
    <col width="40" customWidth="1" min="11" max="11"/>
  </cols>
  <sheetData>
    <row r="1" ht="32" customHeight="1">
      <c r="A1" s="34" t="inlineStr">
        <is>
          <t>LEVEL OF EFFORT</t>
        </is>
      </c>
    </row>
    <row r="2" ht="32" customHeight="1">
      <c r="A2" s="35" t="inlineStr">
        <is>
          <t>Phase</t>
        </is>
      </c>
      <c r="B2" s="35" t="inlineStr">
        <is>
          <t>Work Package</t>
        </is>
      </c>
      <c r="C2" s="35" t="inlineStr">
        <is>
          <t>Task Description</t>
        </is>
      </c>
      <c r="D2" s="35" t="inlineStr">
        <is>
          <t>Resource Type</t>
        </is>
      </c>
      <c r="E2" s="35" t="inlineStr">
        <is>
          <t>Base Hours</t>
        </is>
      </c>
      <c r="F2" s="35" t="inlineStr">
        <is>
          <t>Effort Multiplier</t>
        </is>
      </c>
      <c r="G2" s="35" t="inlineStr">
        <is>
          <t>Actual Hours</t>
        </is>
      </c>
      <c r="H2" s="35" t="inlineStr">
        <is>
          <t>Rate</t>
        </is>
      </c>
      <c r="I2" s="35" t="inlineStr">
        <is>
          <t>Cost Estimate</t>
        </is>
      </c>
      <c r="J2" s="35" t="inlineStr">
        <is>
          <t>Dependencies</t>
        </is>
      </c>
      <c r="K2" s="35" t="inlineStr">
        <is>
          <t>Notes</t>
        </is>
      </c>
    </row>
    <row r="3" ht="26" customHeight="1">
      <c r="A3" s="44" t="inlineStr">
        <is>
          <t>Discovery &amp; Architecture Planning</t>
        </is>
      </c>
      <c r="B3" s="45" t="inlineStr">
        <is>
          <t>Project Kickoff</t>
        </is>
      </c>
      <c r="C3" s="45" t="inlineStr">
        <is>
          <t>Project kickoff meeting — stakeholder alignment and delivery cadence agreement</t>
        </is>
      </c>
      <c r="D3" s="45" t="inlineStr">
        <is>
          <t>Project Manager</t>
        </is>
      </c>
      <c r="E3" s="46" t="n">
        <v>8</v>
      </c>
      <c r="F3" s="47" t="n">
        <v>1</v>
      </c>
      <c r="G3" s="46" t="n">
        <v>8</v>
      </c>
      <c r="H3" s="48" t="n">
        <v>175</v>
      </c>
      <c r="I3" s="48" t="n">
        <v>1400</v>
      </c>
      <c r="J3" s="45" t="inlineStr"/>
      <c r="K3" s="45" t="inlineStr">
        <is>
          <t>Requires CEO and nClouds delivery team availability</t>
        </is>
      </c>
    </row>
    <row r="4" ht="26" customHeight="1">
      <c r="A4" s="49" t="inlineStr">
        <is>
          <t>Discovery &amp; Architecture Planning</t>
        </is>
      </c>
      <c r="B4" s="50" t="inlineStr">
        <is>
          <t>Requirements Workshop</t>
        </is>
      </c>
      <c r="C4" s="50" t="inlineStr">
        <is>
          <t>Facilitate requirements workshop covering mood taxonomy + content classification + recommendation goals + API contracts</t>
        </is>
      </c>
      <c r="D4" s="50" t="inlineStr">
        <is>
          <t>Solution Architect</t>
        </is>
      </c>
      <c r="E4" s="51" t="n">
        <v>24</v>
      </c>
      <c r="F4" s="52" t="n">
        <v>1</v>
      </c>
      <c r="G4" s="51" t="n">
        <v>24</v>
      </c>
      <c r="H4" s="53" t="n">
        <v>225</v>
      </c>
      <c r="I4" s="53" t="n">
        <v>5400</v>
      </c>
      <c r="J4" s="50" t="inlineStr">
        <is>
          <t>Project Kickoff</t>
        </is>
      </c>
      <c r="K4" s="50" t="inlineStr">
        <is>
          <t>Lilly Goyah + SMEs must attend</t>
        </is>
      </c>
    </row>
    <row r="5" ht="26" customHeight="1">
      <c r="A5" s="44" t="inlineStr">
        <is>
          <t>Discovery &amp; Architecture Planning</t>
        </is>
      </c>
      <c r="B5" s="45" t="inlineStr">
        <is>
          <t>Current State Assessment</t>
        </is>
      </c>
      <c r="C5" s="45" t="inlineStr">
        <is>
          <t>Assess existing Firebase catalog schema + FlutterFlow app call patterns + available lyric/transcript coverage</t>
        </is>
      </c>
      <c r="D5" s="45" t="inlineStr">
        <is>
          <t>Solutions Engineer</t>
        </is>
      </c>
      <c r="E5" s="46" t="n">
        <v>16</v>
      </c>
      <c r="F5" s="47" t="n">
        <v>1</v>
      </c>
      <c r="G5" s="46" t="n">
        <v>16</v>
      </c>
      <c r="H5" s="48" t="n">
        <v>200</v>
      </c>
      <c r="I5" s="48" t="n">
        <v>3200</v>
      </c>
      <c r="J5" s="45" t="inlineStr">
        <is>
          <t>Project Kickoff</t>
        </is>
      </c>
      <c r="K5" s="45" t="inlineStr">
        <is>
          <t>Feeds data schema design</t>
        </is>
      </c>
    </row>
    <row r="6" ht="26" customHeight="1">
      <c r="A6" s="49" t="inlineStr">
        <is>
          <t>Discovery &amp; Architecture Planning</t>
        </is>
      </c>
      <c r="B6" s="50" t="inlineStr">
        <is>
          <t>AWS Architecture Design</t>
        </is>
      </c>
      <c r="C6" s="50" t="inlineStr">
        <is>
          <t>Design multi-service AWS architecture — SageMaker + Lambda + API Gateway + S3 + DynamoDB + EventBridge</t>
        </is>
      </c>
      <c r="D6" s="50" t="inlineStr">
        <is>
          <t>Solution Architect</t>
        </is>
      </c>
      <c r="E6" s="51" t="n">
        <v>32</v>
      </c>
      <c r="F6" s="52" t="n">
        <v>1</v>
      </c>
      <c r="G6" s="51" t="n">
        <v>32</v>
      </c>
      <c r="H6" s="53" t="n">
        <v>225</v>
      </c>
      <c r="I6" s="53" t="n">
        <v>7200</v>
      </c>
      <c r="J6" s="50" t="inlineStr">
        <is>
          <t>Requirements Workshop</t>
        </is>
      </c>
      <c r="K6" s="50" t="inlineStr">
        <is>
          <t>Produces architecture diagrams for SOW</t>
        </is>
      </c>
    </row>
    <row r="7" ht="26" customHeight="1">
      <c r="A7" s="44" t="inlineStr">
        <is>
          <t>Discovery &amp; Architecture Planning</t>
        </is>
      </c>
      <c r="B7" s="45" t="inlineStr">
        <is>
          <t>Data Schema Definition</t>
        </is>
      </c>
      <c r="C7" s="45" t="inlineStr">
        <is>
          <t>Define user preference vector schema + content metadata schema + mood taxonomy (emotion and worship style labels)</t>
        </is>
      </c>
      <c r="D7" s="45" t="inlineStr">
        <is>
          <t>Solutions Engineer</t>
        </is>
      </c>
      <c r="E7" s="46" t="n">
        <v>16</v>
      </c>
      <c r="F7" s="47" t="n">
        <v>1</v>
      </c>
      <c r="G7" s="46" t="n">
        <v>16</v>
      </c>
      <c r="H7" s="48" t="n">
        <v>200</v>
      </c>
      <c r="I7" s="48" t="n">
        <v>3200</v>
      </c>
      <c r="J7" s="45" t="inlineStr">
        <is>
          <t>Requirements Workshop</t>
        </is>
      </c>
      <c r="K7" s="45" t="inlineStr">
        <is>
          <t>Explicit Phase 1 deliverable</t>
        </is>
      </c>
    </row>
    <row r="8" ht="26" customHeight="1">
      <c r="A8" s="49" t="inlineStr">
        <is>
          <t>Discovery &amp; Architecture Planning</t>
        </is>
      </c>
      <c r="B8" s="50" t="inlineStr">
        <is>
          <t>Tiered AWS Cost Modeling</t>
        </is>
      </c>
      <c r="C8" s="50" t="inlineStr">
        <is>
          <t>Model AWS consumption costs at 100 / 10K / 100K MAU tiers for investor and accelerator conversations</t>
        </is>
      </c>
      <c r="D8" s="50" t="inlineStr">
        <is>
          <t>Solutions Engineer</t>
        </is>
      </c>
      <c r="E8" s="51" t="n">
        <v>16</v>
      </c>
      <c r="F8" s="52" t="n">
        <v>1</v>
      </c>
      <c r="G8" s="51" t="n">
        <v>16</v>
      </c>
      <c r="H8" s="53" t="n">
        <v>200</v>
      </c>
      <c r="I8" s="53" t="n">
        <v>3200</v>
      </c>
      <c r="J8" s="50" t="inlineStr">
        <is>
          <t>AWS Architecture Design</t>
        </is>
      </c>
      <c r="K8" s="50" t="inlineStr">
        <is>
          <t>Must cover all three growth scenarios</t>
        </is>
      </c>
    </row>
    <row r="9" ht="26" customHeight="1">
      <c r="A9" s="44" t="inlineStr">
        <is>
          <t>Discovery &amp; Architecture Planning</t>
        </is>
      </c>
      <c r="B9" s="45" t="inlineStr">
        <is>
          <t>Risk Assessment</t>
        </is>
      </c>
      <c r="C9" s="45" t="inlineStr">
        <is>
          <t>Identify risks — data sparsity for new catalog + cold-start for new users + AWS funding approval dependency</t>
        </is>
      </c>
      <c r="D9" s="45" t="inlineStr">
        <is>
          <t>Project Manager</t>
        </is>
      </c>
      <c r="E9" s="46" t="n">
        <v>8</v>
      </c>
      <c r="F9" s="47" t="n">
        <v>1</v>
      </c>
      <c r="G9" s="46" t="n">
        <v>8</v>
      </c>
      <c r="H9" s="48" t="n">
        <v>175</v>
      </c>
      <c r="I9" s="48" t="n">
        <v>1400</v>
      </c>
      <c r="J9" s="45" t="inlineStr">
        <is>
          <t>Requirements Workshop</t>
        </is>
      </c>
      <c r="K9" s="45" t="inlineStr">
        <is>
          <t>Informs contingency planning</t>
        </is>
      </c>
    </row>
    <row r="10" ht="26" customHeight="1">
      <c r="A10" s="49" t="inlineStr">
        <is>
          <t>Discovery &amp; Architecture Planning</t>
        </is>
      </c>
      <c r="B10" s="50" t="inlineStr">
        <is>
          <t>Phase 1 Documentation</t>
        </is>
      </c>
      <c r="C10" s="50" t="inlineStr">
        <is>
          <t>Document architecture decisions + data schemas + mood taxonomy + cost model in deliverable package</t>
        </is>
      </c>
      <c r="D10" s="50" t="inlineStr">
        <is>
          <t>Technical Writer</t>
        </is>
      </c>
      <c r="E10" s="51" t="n">
        <v>16</v>
      </c>
      <c r="F10" s="52" t="n">
        <v>1</v>
      </c>
      <c r="G10" s="51" t="n">
        <v>16</v>
      </c>
      <c r="H10" s="53" t="n">
        <v>125</v>
      </c>
      <c r="I10" s="53" t="n">
        <v>2000</v>
      </c>
      <c r="J10" s="50" t="inlineStr">
        <is>
          <t>AWS Architecture Design</t>
        </is>
      </c>
      <c r="K10" s="50" t="inlineStr">
        <is>
          <t>Phase 1 formal deliverable for customer sign-off</t>
        </is>
      </c>
    </row>
    <row r="11" ht="26" customHeight="1">
      <c r="A11" s="44" t="inlineStr">
        <is>
          <t>Content Intelligence Development</t>
        </is>
      </c>
      <c r="B11" s="45" t="inlineStr">
        <is>
          <t>Emotion &amp; Mood Taxonomy</t>
        </is>
      </c>
      <c r="C11" s="45" t="inlineStr">
        <is>
          <t>Finalize emotion / mood / worship-style label set and annotation guidelines for classifiers</t>
        </is>
      </c>
      <c r="D11" s="45" t="inlineStr">
        <is>
          <t>ML/AI Engineer</t>
        </is>
      </c>
      <c r="E11" s="46" t="n">
        <v>16</v>
      </c>
      <c r="F11" s="47" t="n">
        <v>1.2</v>
      </c>
      <c r="G11" s="46" t="n">
        <v>19</v>
      </c>
      <c r="H11" s="48" t="n">
        <v>250</v>
      </c>
      <c r="I11" s="48" t="n">
        <v>4750</v>
      </c>
      <c r="J11" s="45" t="inlineStr">
        <is>
          <t>Phase 1 Documentation</t>
        </is>
      </c>
      <c r="K11" s="45" t="inlineStr">
        <is>
          <t>Taxonomy drives all downstream classification work</t>
        </is>
      </c>
    </row>
    <row r="12" ht="26" customHeight="1">
      <c r="A12" s="49" t="inlineStr">
        <is>
          <t>Content Intelligence Development</t>
        </is>
      </c>
      <c r="B12" s="50" t="inlineStr">
        <is>
          <t>Lyric &amp; Transcript Ingestion Pipeline</t>
        </is>
      </c>
      <c r="C12" s="50" t="inlineStr">
        <is>
          <t>Build AWS pipeline to ingest lyric and podcast transcript text from catalog and pre-process for NLP classification</t>
        </is>
      </c>
      <c r="D12" s="50" t="inlineStr">
        <is>
          <t>Solutions Engineer</t>
        </is>
      </c>
      <c r="E12" s="51" t="n">
        <v>24</v>
      </c>
      <c r="F12" s="52" t="n">
        <v>1.2</v>
      </c>
      <c r="G12" s="51" t="n">
        <v>29</v>
      </c>
      <c r="H12" s="53" t="n">
        <v>200</v>
      </c>
      <c r="I12" s="53" t="n">
        <v>5800</v>
      </c>
      <c r="J12" s="50" t="inlineStr">
        <is>
          <t>Emotion &amp; Mood Taxonomy</t>
        </is>
      </c>
      <c r="K12" s="50" t="inlineStr">
        <is>
          <t>Ingests from Firebase-backed catalog via API; migration execution out of scope</t>
        </is>
      </c>
    </row>
    <row r="13" ht="26" customHeight="1">
      <c r="A13" s="44" t="inlineStr">
        <is>
          <t>Content Intelligence Development</t>
        </is>
      </c>
      <c r="B13" s="45" t="inlineStr">
        <is>
          <t>NLP Emotion Classifier</t>
        </is>
      </c>
      <c r="C13" s="45" t="inlineStr">
        <is>
          <t>Train and deploy NLP model on SageMaker to classify emotion / mood / theme from lyric and transcript text</t>
        </is>
      </c>
      <c r="D13" s="45" t="inlineStr">
        <is>
          <t>ML/AI Engineer</t>
        </is>
      </c>
      <c r="E13" s="46" t="n">
        <v>40</v>
      </c>
      <c r="F13" s="47" t="n">
        <v>1.2</v>
      </c>
      <c r="G13" s="46" t="n">
        <v>48</v>
      </c>
      <c r="H13" s="48" t="n">
        <v>250</v>
      </c>
      <c r="I13" s="48" t="n">
        <v>12000</v>
      </c>
      <c r="J13" s="45" t="inlineStr">
        <is>
          <t>Lyric &amp; Transcript Ingestion Pipeline</t>
        </is>
      </c>
      <c r="K13" s="45" t="inlineStr">
        <is>
          <t>Medium-complexity custom model; pre-trained base model fine-tuned on labeled data</t>
        </is>
      </c>
    </row>
    <row r="14" ht="26" customHeight="1">
      <c r="A14" s="49" t="inlineStr">
        <is>
          <t>Content Intelligence Development</t>
        </is>
      </c>
      <c r="B14" s="50" t="inlineStr">
        <is>
          <t>Audio Analysis Pipeline</t>
        </is>
      </c>
      <c r="C14" s="50" t="inlineStr">
        <is>
          <t>Build audio-feature extraction pipeline (valence / energy / worship style) using SageMaker custom model</t>
        </is>
      </c>
      <c r="D14" s="50" t="inlineStr">
        <is>
          <t>ML/AI Engineer</t>
        </is>
      </c>
      <c r="E14" s="51" t="n">
        <v>32</v>
      </c>
      <c r="F14" s="52" t="n">
        <v>1.2</v>
      </c>
      <c r="G14" s="51" t="n">
        <v>38</v>
      </c>
      <c r="H14" s="53" t="n">
        <v>250</v>
      </c>
      <c r="I14" s="53" t="n">
        <v>9500</v>
      </c>
      <c r="J14" s="50" t="inlineStr">
        <is>
          <t>Emotion &amp; Mood Taxonomy</t>
        </is>
      </c>
      <c r="K14" s="50" t="inlineStr">
        <is>
          <t>Sonic characteristics beyond text-derived tags; extends classification depth</t>
        </is>
      </c>
    </row>
    <row r="15" ht="26" customHeight="1">
      <c r="A15" s="44" t="inlineStr">
        <is>
          <t>Content Intelligence Development</t>
        </is>
      </c>
      <c r="B15" s="45" t="inlineStr">
        <is>
          <t>Catalog Enrichment Service</t>
        </is>
      </c>
      <c r="C15" s="45" t="inlineStr">
        <is>
          <t>Build catalog-enrichment Lambda triggered at artist/podcast upload time to apply classification outputs to metadata</t>
        </is>
      </c>
      <c r="D15" s="45" t="inlineStr">
        <is>
          <t>Solutions Engineer</t>
        </is>
      </c>
      <c r="E15" s="46" t="n">
        <v>24</v>
      </c>
      <c r="F15" s="47" t="n">
        <v>1.2</v>
      </c>
      <c r="G15" s="46" t="n">
        <v>29</v>
      </c>
      <c r="H15" s="48" t="n">
        <v>200</v>
      </c>
      <c r="I15" s="48" t="n">
        <v>5800</v>
      </c>
      <c r="J15" s="45" t="inlineStr">
        <is>
          <t>NLP Emotion Classifier, Audio Analysis Pipeline</t>
        </is>
      </c>
      <c r="K15" s="45" t="inlineStr">
        <is>
          <t>Runs at ingest time; does not require frontend change</t>
        </is>
      </c>
    </row>
    <row r="16" ht="26" customHeight="1">
      <c r="A16" s="49" t="inlineStr">
        <is>
          <t>Content Intelligence Development</t>
        </is>
      </c>
      <c r="B16" s="50" t="inlineStr">
        <is>
          <t>Classification Endpoint (Internal)</t>
        </is>
      </c>
      <c r="C16" s="50" t="inlineStr">
        <is>
          <t>Expose internal classification endpoint consumed by catalog enrichment pipeline and tested end-to-end</t>
        </is>
      </c>
      <c r="D16" s="50" t="inlineStr">
        <is>
          <t>Solutions Engineer</t>
        </is>
      </c>
      <c r="E16" s="51" t="n">
        <v>16</v>
      </c>
      <c r="F16" s="52" t="n">
        <v>1.2</v>
      </c>
      <c r="G16" s="51" t="n">
        <v>19</v>
      </c>
      <c r="H16" s="53" t="n">
        <v>200</v>
      </c>
      <c r="I16" s="53" t="n">
        <v>3800</v>
      </c>
      <c r="J16" s="50" t="inlineStr">
        <is>
          <t>Catalog Enrichment Service</t>
        </is>
      </c>
      <c r="K16" s="50" t="inlineStr">
        <is>
          <t>Internal endpoint only; public-facing endpoint built in API Development phase</t>
        </is>
      </c>
    </row>
    <row r="17" ht="26" customHeight="1">
      <c r="A17" s="44" t="inlineStr">
        <is>
          <t>Recommendation Engine Development</t>
        </is>
      </c>
      <c r="B17" s="45" t="inlineStr">
        <is>
          <t>Preference Data Schema &amp; Ingestion</t>
        </is>
      </c>
      <c r="C17" s="45" t="inlineStr">
        <is>
          <t>Implement DynamoDB schema for user preference vectors and ingestion path for mood inputs + genre selections + interaction events</t>
        </is>
      </c>
      <c r="D17" s="45" t="inlineStr">
        <is>
          <t>Solutions Engineer</t>
        </is>
      </c>
      <c r="E17" s="46" t="n">
        <v>16</v>
      </c>
      <c r="F17" s="47" t="n">
        <v>1.3</v>
      </c>
      <c r="G17" s="46" t="n">
        <v>21</v>
      </c>
      <c r="H17" s="48" t="n">
        <v>200</v>
      </c>
      <c r="I17" s="48" t="n">
        <v>4200</v>
      </c>
      <c r="J17" s="45" t="inlineStr">
        <is>
          <t>Phase 1 Documentation</t>
        </is>
      </c>
      <c r="K17" s="45" t="inlineStr">
        <is>
          <t>Listening-history storage analysis deferred to later phase; schema designed for forward compatibility</t>
        </is>
      </c>
    </row>
    <row r="18" ht="26" customHeight="1">
      <c r="A18" s="49" t="inlineStr">
        <is>
          <t>Recommendation Engine Development</t>
        </is>
      </c>
      <c r="B18" s="50" t="inlineStr">
        <is>
          <t>Preference Learning Model</t>
        </is>
      </c>
      <c r="C18" s="50" t="inlineStr">
        <is>
          <t>Build and train collaborative-filtering / content-based hybrid preference-learning model on SageMaker</t>
        </is>
      </c>
      <c r="D18" s="50" t="inlineStr">
        <is>
          <t>ML/AI Engineer</t>
        </is>
      </c>
      <c r="E18" s="51" t="n">
        <v>48</v>
      </c>
      <c r="F18" s="52" t="n">
        <v>1.3</v>
      </c>
      <c r="G18" s="51" t="n">
        <v>62</v>
      </c>
      <c r="H18" s="53" t="n">
        <v>250</v>
      </c>
      <c r="I18" s="53" t="n">
        <v>15500</v>
      </c>
      <c r="J18" s="50" t="inlineStr">
        <is>
          <t>Preference Data Schema &amp; Ingestion</t>
        </is>
      </c>
      <c r="K18" s="50" t="inlineStr">
        <is>
          <t>Cold-start strategy required for new users with no history</t>
        </is>
      </c>
    </row>
    <row r="19" ht="26" customHeight="1">
      <c r="A19" s="44" t="inlineStr">
        <is>
          <t>Recommendation Engine Development</t>
        </is>
      </c>
      <c r="B19" s="45" t="inlineStr">
        <is>
          <t>Mood-to-Content Matching Algorithm</t>
        </is>
      </c>
      <c r="C19" s="45" t="inlineStr">
        <is>
          <t>Develop algorithm correlating mood-state input with multi-attribute content vectors from catalog enrichment</t>
        </is>
      </c>
      <c r="D19" s="45" t="inlineStr">
        <is>
          <t>ML/AI Engineer</t>
        </is>
      </c>
      <c r="E19" s="46" t="n">
        <v>32</v>
      </c>
      <c r="F19" s="47" t="n">
        <v>1.3</v>
      </c>
      <c r="G19" s="46" t="n">
        <v>42</v>
      </c>
      <c r="H19" s="48" t="n">
        <v>250</v>
      </c>
      <c r="I19" s="48" t="n">
        <v>10500</v>
      </c>
      <c r="J19" s="45" t="inlineStr">
        <is>
          <t>Preference Learning Model, Content Intelligence Development</t>
        </is>
      </c>
      <c r="K19" s="45" t="inlineStr">
        <is>
          <t>Bridges mental-health and faith use case — core differentiator</t>
        </is>
      </c>
    </row>
    <row r="20" ht="26" customHeight="1">
      <c r="A20" s="49" t="inlineStr">
        <is>
          <t>Recommendation Engine Development</t>
        </is>
      </c>
      <c r="B20" s="50" t="inlineStr">
        <is>
          <t>Playlist Generation Service</t>
        </is>
      </c>
      <c r="C20" s="50" t="inlineStr">
        <is>
          <t>Build playlist-generation service incorporating preference weighting + session context + feedback signals</t>
        </is>
      </c>
      <c r="D20" s="50" t="inlineStr">
        <is>
          <t>Solutions Engineer</t>
        </is>
      </c>
      <c r="E20" s="51" t="n">
        <v>32</v>
      </c>
      <c r="F20" s="52" t="n">
        <v>1.3</v>
      </c>
      <c r="G20" s="51" t="n">
        <v>42</v>
      </c>
      <c r="H20" s="53" t="n">
        <v>200</v>
      </c>
      <c r="I20" s="53" t="n">
        <v>8400</v>
      </c>
      <c r="J20" s="50" t="inlineStr">
        <is>
          <t>Mood-to-Content Matching Algorithm</t>
        </is>
      </c>
      <c r="K20" s="50" t="inlineStr">
        <is>
          <t>Lambda-based service; output is ordered list of track/podcast IDs</t>
        </is>
      </c>
    </row>
    <row r="21" ht="26" customHeight="1">
      <c r="A21" s="44" t="inlineStr">
        <is>
          <t>Recommendation Engine Development</t>
        </is>
      </c>
      <c r="B21" s="45" t="inlineStr">
        <is>
          <t>Model Retraining Pipeline</t>
        </is>
      </c>
      <c r="C21" s="45" t="inlineStr">
        <is>
          <t>Implement SageMaker Pipeline for scheduled model retraining as interaction data accumulates</t>
        </is>
      </c>
      <c r="D21" s="45" t="inlineStr">
        <is>
          <t>ML/AI Engineer</t>
        </is>
      </c>
      <c r="E21" s="46" t="n">
        <v>24</v>
      </c>
      <c r="F21" s="47" t="n">
        <v>1.3</v>
      </c>
      <c r="G21" s="46" t="n">
        <v>31</v>
      </c>
      <c r="H21" s="48" t="n">
        <v>250</v>
      </c>
      <c r="I21" s="48" t="n">
        <v>7750</v>
      </c>
      <c r="J21" s="45" t="inlineStr">
        <is>
          <t>Playlist Generation Service</t>
        </is>
      </c>
      <c r="K21" s="45" t="inlineStr">
        <is>
          <t>Retraining cadence configurable; initial cadence weekly</t>
        </is>
      </c>
    </row>
    <row r="22" ht="26" customHeight="1">
      <c r="A22" s="49" t="inlineStr">
        <is>
          <t>API Service Layer Development</t>
        </is>
      </c>
      <c r="B22" s="50" t="inlineStr">
        <is>
          <t>API Design &amp; Contract Documentation</t>
        </is>
      </c>
      <c r="C22" s="50" t="inlineStr">
        <is>
          <t>Define and document all REST API contracts — user profile/session + classification + playlist + feedback endpoints</t>
        </is>
      </c>
      <c r="D22" s="50" t="inlineStr">
        <is>
          <t>Solution Architect</t>
        </is>
      </c>
      <c r="E22" s="51" t="n">
        <v>16</v>
      </c>
      <c r="F22" s="52" t="n">
        <v>1.1</v>
      </c>
      <c r="G22" s="51" t="n">
        <v>18</v>
      </c>
      <c r="H22" s="53" t="n">
        <v>225</v>
      </c>
      <c r="I22" s="53" t="n">
        <v>4050</v>
      </c>
      <c r="J22" s="50" t="inlineStr">
        <is>
          <t>Recommendation Engine Development</t>
        </is>
      </c>
      <c r="K22" s="50" t="inlineStr">
        <is>
          <t>API contracts must be documented for independent operation per brief</t>
        </is>
      </c>
    </row>
    <row r="23" ht="26" customHeight="1">
      <c r="A23" s="44" t="inlineStr">
        <is>
          <t>API Service Layer Development</t>
        </is>
      </c>
      <c r="B23" s="45" t="inlineStr">
        <is>
          <t>API Gateway &amp; Lambda Setup</t>
        </is>
      </c>
      <c r="C23" s="45" t="inlineStr">
        <is>
          <t>Provision API Gateway + Lambda authorizer + IAM roles + WAF rules for secured public-facing API layer</t>
        </is>
      </c>
      <c r="D23" s="45" t="inlineStr">
        <is>
          <t>Solutions Engineer</t>
        </is>
      </c>
      <c r="E23" s="46" t="n">
        <v>24</v>
      </c>
      <c r="F23" s="47" t="n">
        <v>1.1</v>
      </c>
      <c r="G23" s="46" t="n">
        <v>26</v>
      </c>
      <c r="H23" s="48" t="n">
        <v>200</v>
      </c>
      <c r="I23" s="48" t="n">
        <v>5200</v>
      </c>
      <c r="J23" s="45" t="inlineStr">
        <is>
          <t>API Design &amp; Contract Documentation</t>
        </is>
      </c>
      <c r="K23" s="45" t="inlineStr">
        <is>
          <t>Dedicated AWS account provided by customer</t>
        </is>
      </c>
    </row>
    <row r="24" ht="26" customHeight="1">
      <c r="A24" s="49" t="inlineStr">
        <is>
          <t>API Service Layer Development</t>
        </is>
      </c>
      <c r="B24" s="50" t="inlineStr">
        <is>
          <t>User Profile &amp; Session Endpoint</t>
        </is>
      </c>
      <c r="C24" s="50" t="inlineStr">
        <is>
          <t>Implement authenticated user-profile and session management endpoint with JWT / Cognito integration</t>
        </is>
      </c>
      <c r="D24" s="50" t="inlineStr">
        <is>
          <t>Solutions Engineer</t>
        </is>
      </c>
      <c r="E24" s="51" t="n">
        <v>16</v>
      </c>
      <c r="F24" s="52" t="n">
        <v>1.1</v>
      </c>
      <c r="G24" s="51" t="n">
        <v>18</v>
      </c>
      <c r="H24" s="53" t="n">
        <v>200</v>
      </c>
      <c r="I24" s="53" t="n">
        <v>3600</v>
      </c>
      <c r="J24" s="50" t="inlineStr">
        <is>
          <t>API Gateway &amp; Lambda Setup</t>
        </is>
      </c>
      <c r="K24" s="50" t="inlineStr">
        <is>
          <t>FlutterFlow calls this without frontend modification</t>
        </is>
      </c>
    </row>
    <row r="25" ht="26" customHeight="1">
      <c r="A25" s="44" t="inlineStr">
        <is>
          <t>API Service Layer Development</t>
        </is>
      </c>
      <c r="B25" s="45" t="inlineStr">
        <is>
          <t>Content Classification Endpoint</t>
        </is>
      </c>
      <c r="C25" s="45" t="inlineStr">
        <is>
          <t>Expose secured content-classification endpoint callable at artist/podcast upload time</t>
        </is>
      </c>
      <c r="D25" s="45" t="inlineStr">
        <is>
          <t>Solutions Engineer</t>
        </is>
      </c>
      <c r="E25" s="46" t="n">
        <v>16</v>
      </c>
      <c r="F25" s="47" t="n">
        <v>1.1</v>
      </c>
      <c r="G25" s="46" t="n">
        <v>18</v>
      </c>
      <c r="H25" s="48" t="n">
        <v>200</v>
      </c>
      <c r="I25" s="48" t="n">
        <v>3600</v>
      </c>
      <c r="J25" s="45" t="inlineStr">
        <is>
          <t>API Gateway &amp; Lambda Setup, Content Intelligence Development</t>
        </is>
      </c>
      <c r="K25" s="45" t="inlineStr">
        <is>
          <t>Public-facing version of internal Phase 2 endpoint</t>
        </is>
      </c>
    </row>
    <row r="26" ht="26" customHeight="1">
      <c r="A26" s="49" t="inlineStr">
        <is>
          <t>API Service Layer Development</t>
        </is>
      </c>
      <c r="B26" s="50" t="inlineStr">
        <is>
          <t>Playlist Generation Endpoint</t>
        </is>
      </c>
      <c r="C26" s="50" t="inlineStr">
        <is>
          <t>Expose playlist-generation endpoint accepting mood and user context; return ordered track/podcast list</t>
        </is>
      </c>
      <c r="D26" s="50" t="inlineStr">
        <is>
          <t>Solutions Engineer</t>
        </is>
      </c>
      <c r="E26" s="51" t="n">
        <v>16</v>
      </c>
      <c r="F26" s="52" t="n">
        <v>1.1</v>
      </c>
      <c r="G26" s="51" t="n">
        <v>18</v>
      </c>
      <c r="H26" s="53" t="n">
        <v>200</v>
      </c>
      <c r="I26" s="53" t="n">
        <v>3600</v>
      </c>
      <c r="J26" s="50" t="inlineStr">
        <is>
          <t>API Gateway &amp; Lambda Setup, Playlist Generation Service</t>
        </is>
      </c>
      <c r="K26" s="50" t="inlineStr">
        <is>
          <t>Core consumer-facing endpoint</t>
        </is>
      </c>
    </row>
    <row r="27" ht="26" customHeight="1">
      <c r="A27" s="44" t="inlineStr">
        <is>
          <t>API Service Layer Development</t>
        </is>
      </c>
      <c r="B27" s="45" t="inlineStr">
        <is>
          <t>Listening History &amp; Feedback Capture</t>
        </is>
      </c>
      <c r="C27" s="45" t="inlineStr">
        <is>
          <t>Implement feedback-capture endpoint (play / skip / like / dislike) feeding preference-learning loop via EventBridge + SQS</t>
        </is>
      </c>
      <c r="D27" s="45" t="inlineStr">
        <is>
          <t>Solutions Engineer</t>
        </is>
      </c>
      <c r="E27" s="46" t="n">
        <v>16</v>
      </c>
      <c r="F27" s="47" t="n">
        <v>1.1</v>
      </c>
      <c r="G27" s="46" t="n">
        <v>18</v>
      </c>
      <c r="H27" s="48" t="n">
        <v>200</v>
      </c>
      <c r="I27" s="48" t="n">
        <v>3600</v>
      </c>
      <c r="J27" s="45" t="inlineStr">
        <is>
          <t>Playlist Generation Endpoint, Model Retraining Pipeline</t>
        </is>
      </c>
      <c r="K27" s="45" t="inlineStr">
        <is>
          <t>Feeds the continuous improvement loop</t>
        </is>
      </c>
    </row>
    <row r="28" ht="26" customHeight="1">
      <c r="A28" s="49" t="inlineStr">
        <is>
          <t>API Service Layer Development</t>
        </is>
      </c>
      <c r="B28" s="50" t="inlineStr">
        <is>
          <t>API Security Hardening</t>
        </is>
      </c>
      <c r="C28" s="50" t="inlineStr">
        <is>
          <t>Implement API throttling + request validation + secrets management (AWS Secrets Manager) + security review</t>
        </is>
      </c>
      <c r="D28" s="50" t="inlineStr">
        <is>
          <t>Security Engineer</t>
        </is>
      </c>
      <c r="E28" s="51" t="n">
        <v>16</v>
      </c>
      <c r="F28" s="52" t="n">
        <v>1.1</v>
      </c>
      <c r="G28" s="51" t="n">
        <v>18</v>
      </c>
      <c r="H28" s="53" t="n">
        <v>225</v>
      </c>
      <c r="I28" s="53" t="n">
        <v>4050</v>
      </c>
      <c r="J28" s="50" t="inlineStr">
        <is>
          <t>All API Layer Endpoints</t>
        </is>
      </c>
      <c r="K28" s="50" t="inlineStr">
        <is>
          <t>Security controls under existing or new dedicated security account</t>
        </is>
      </c>
    </row>
    <row r="29" ht="26" customHeight="1">
      <c r="A29" s="44" t="inlineStr">
        <is>
          <t>Testing &amp; Validation</t>
        </is>
      </c>
      <c r="B29" s="45" t="inlineStr">
        <is>
          <t>Content Intelligence Testing</t>
        </is>
      </c>
      <c r="C29" s="45" t="inlineStr">
        <is>
          <t>Validate classifier accuracy against holdout set + catalog enrichment pipeline end-to-end functional test</t>
        </is>
      </c>
      <c r="D29" s="45" t="inlineStr">
        <is>
          <t>QA Engineer</t>
        </is>
      </c>
      <c r="E29" s="46" t="n">
        <v>16</v>
      </c>
      <c r="F29" s="47" t="n">
        <v>1</v>
      </c>
      <c r="G29" s="46" t="n">
        <v>16</v>
      </c>
      <c r="H29" s="48" t="n">
        <v>150</v>
      </c>
      <c r="I29" s="48" t="n">
        <v>2400</v>
      </c>
      <c r="J29" s="45" t="inlineStr">
        <is>
          <t>Classification Endpoint (Internal)</t>
        </is>
      </c>
      <c r="K29" s="45" t="inlineStr">
        <is>
          <t>Accuracy metrics documented in deliverable</t>
        </is>
      </c>
    </row>
    <row r="30" ht="26" customHeight="1">
      <c r="A30" s="49" t="inlineStr">
        <is>
          <t>Testing &amp; Validation</t>
        </is>
      </c>
      <c r="B30" s="50" t="inlineStr">
        <is>
          <t>Recommendation Engine Testing</t>
        </is>
      </c>
      <c r="C30" s="50" t="inlineStr">
        <is>
          <t>Validate preference-learning model accuracy + playlist generation relevance + retraining pipeline execution</t>
        </is>
      </c>
      <c r="D30" s="50" t="inlineStr">
        <is>
          <t>QA Engineer</t>
        </is>
      </c>
      <c r="E30" s="51" t="n">
        <v>24</v>
      </c>
      <c r="F30" s="52" t="n">
        <v>1</v>
      </c>
      <c r="G30" s="51" t="n">
        <v>24</v>
      </c>
      <c r="H30" s="53" t="n">
        <v>150</v>
      </c>
      <c r="I30" s="53" t="n">
        <v>3600</v>
      </c>
      <c r="J30" s="50" t="inlineStr">
        <is>
          <t>Model Retraining Pipeline</t>
        </is>
      </c>
      <c r="K30" s="50" t="inlineStr">
        <is>
          <t>Bias and fairness review included</t>
        </is>
      </c>
    </row>
    <row r="31" ht="26" customHeight="1">
      <c r="A31" s="44" t="inlineStr">
        <is>
          <t>Testing &amp; Validation</t>
        </is>
      </c>
      <c r="B31" s="45" t="inlineStr">
        <is>
          <t>API Layer Testing</t>
        </is>
      </c>
      <c r="C31" s="45" t="inlineStr">
        <is>
          <t>End-to-end API functional + integration tests; simulate FlutterFlow call patterns against all endpoints</t>
        </is>
      </c>
      <c r="D31" s="45" t="inlineStr">
        <is>
          <t>QA Engineer</t>
        </is>
      </c>
      <c r="E31" s="46" t="n">
        <v>16</v>
      </c>
      <c r="F31" s="47" t="n">
        <v>1</v>
      </c>
      <c r="G31" s="46" t="n">
        <v>16</v>
      </c>
      <c r="H31" s="48" t="n">
        <v>150</v>
      </c>
      <c r="I31" s="48" t="n">
        <v>2400</v>
      </c>
      <c r="J31" s="45" t="inlineStr">
        <is>
          <t>API Security Hardening</t>
        </is>
      </c>
      <c r="K31" s="45" t="inlineStr">
        <is>
          <t>Validates no frontend modification required</t>
        </is>
      </c>
    </row>
    <row r="32" ht="26" customHeight="1">
      <c r="A32" s="49" t="inlineStr">
        <is>
          <t>Testing &amp; Validation</t>
        </is>
      </c>
      <c r="B32" s="50" t="inlineStr">
        <is>
          <t>Performance &amp; Load Testing</t>
        </is>
      </c>
      <c r="C32" s="50" t="inlineStr">
        <is>
          <t>Test API performance under simulated load for 100 / 10K MAU scenarios; document latency and throughput baselines</t>
        </is>
      </c>
      <c r="D32" s="50" t="inlineStr">
        <is>
          <t>QA Engineer</t>
        </is>
      </c>
      <c r="E32" s="51" t="n">
        <v>16</v>
      </c>
      <c r="F32" s="52" t="n">
        <v>1</v>
      </c>
      <c r="G32" s="51" t="n">
        <v>16</v>
      </c>
      <c r="H32" s="53" t="n">
        <v>150</v>
      </c>
      <c r="I32" s="53" t="n">
        <v>2400</v>
      </c>
      <c r="J32" s="50" t="inlineStr">
        <is>
          <t>API Layer Testing</t>
        </is>
      </c>
      <c r="K32" s="50" t="inlineStr">
        <is>
          <t>Feeds tiered cost model accuracy</t>
        </is>
      </c>
    </row>
    <row r="33" ht="26" customHeight="1">
      <c r="A33" s="44" t="inlineStr">
        <is>
          <t>Integration &amp; Deployment</t>
        </is>
      </c>
      <c r="B33" s="45" t="inlineStr">
        <is>
          <t>End-to-End Validation</t>
        </is>
      </c>
      <c r="C33" s="45" t="inlineStr">
        <is>
          <t>Validate full pipeline — content upload to classification to catalog enrichment to mood input to playlist generation to feedback capture</t>
        </is>
      </c>
      <c r="D33" s="45" t="inlineStr">
        <is>
          <t>Solutions Engineer</t>
        </is>
      </c>
      <c r="E33" s="46" t="n">
        <v>24</v>
      </c>
      <c r="F33" s="47" t="n">
        <v>1</v>
      </c>
      <c r="G33" s="46" t="n">
        <v>24</v>
      </c>
      <c r="H33" s="48" t="n">
        <v>200</v>
      </c>
      <c r="I33" s="48" t="n">
        <v>4800</v>
      </c>
      <c r="J33" s="45" t="inlineStr">
        <is>
          <t>Testing &amp; Validation</t>
        </is>
      </c>
      <c r="K33" s="45" t="inlineStr">
        <is>
          <t>Validates against FlutterFlow call patterns from brief</t>
        </is>
      </c>
    </row>
    <row r="34" ht="26" customHeight="1">
      <c r="A34" s="49" t="inlineStr">
        <is>
          <t>Integration &amp; Deployment</t>
        </is>
      </c>
      <c r="B34" s="50" t="inlineStr">
        <is>
          <t>Operational Runbook Development</t>
        </is>
      </c>
      <c r="C34" s="50" t="inlineStr">
        <is>
          <t>Create comprehensive operational runbooks covering all services — deployment + scaling + retraining + incident response</t>
        </is>
      </c>
      <c r="D34" s="50" t="inlineStr">
        <is>
          <t>Technical Writer</t>
        </is>
      </c>
      <c r="E34" s="51" t="n">
        <v>24</v>
      </c>
      <c r="F34" s="52" t="n">
        <v>1</v>
      </c>
      <c r="G34" s="51" t="n">
        <v>24</v>
      </c>
      <c r="H34" s="53" t="n">
        <v>125</v>
      </c>
      <c r="I34" s="53" t="n">
        <v>3000</v>
      </c>
      <c r="J34" s="50" t="inlineStr">
        <is>
          <t>End-to-End Validation</t>
        </is>
      </c>
      <c r="K34" s="50" t="inlineStr">
        <is>
          <t>Required for independent operation per brief</t>
        </is>
      </c>
    </row>
    <row r="35" ht="26" customHeight="1">
      <c r="A35" s="44" t="inlineStr">
        <is>
          <t>Integration &amp; Deployment</t>
        </is>
      </c>
      <c r="B35" s="45" t="inlineStr">
        <is>
          <t>Knowledge Transfer Session 1</t>
        </is>
      </c>
      <c r="C35" s="45" t="inlineStr">
        <is>
          <t>Conduct KT session 1 — architecture overview + pipeline operations + retraining procedure for engineering team</t>
        </is>
      </c>
      <c r="D35" s="45" t="inlineStr">
        <is>
          <t>Solution Architect</t>
        </is>
      </c>
      <c r="E35" s="46" t="n">
        <v>8</v>
      </c>
      <c r="F35" s="47" t="n">
        <v>1</v>
      </c>
      <c r="G35" s="46" t="n">
        <v>8</v>
      </c>
      <c r="H35" s="48" t="n">
        <v>225</v>
      </c>
      <c r="I35" s="48" t="n">
        <v>1800</v>
      </c>
      <c r="J35" s="45" t="inlineStr">
        <is>
          <t>Operational Runbook Development</t>
        </is>
      </c>
      <c r="K35" s="45" t="inlineStr">
        <is>
          <t>Two formal KT sessions required per brief</t>
        </is>
      </c>
    </row>
    <row r="36" ht="26" customHeight="1">
      <c r="A36" s="49" t="inlineStr">
        <is>
          <t>Integration &amp; Deployment</t>
        </is>
      </c>
      <c r="B36" s="50" t="inlineStr">
        <is>
          <t>Knowledge Transfer Session 2</t>
        </is>
      </c>
      <c r="C36" s="50" t="inlineStr">
        <is>
          <t>Conduct KT session 2 — API operations + security runbook + monitoring + incident-response walkthrough</t>
        </is>
      </c>
      <c r="D36" s="50" t="inlineStr">
        <is>
          <t>Solutions Engineer</t>
        </is>
      </c>
      <c r="E36" s="51" t="n">
        <v>8</v>
      </c>
      <c r="F36" s="52" t="n">
        <v>1</v>
      </c>
      <c r="G36" s="51" t="n">
        <v>8</v>
      </c>
      <c r="H36" s="53" t="n">
        <v>200</v>
      </c>
      <c r="I36" s="53" t="n">
        <v>1600</v>
      </c>
      <c r="J36" s="50" t="inlineStr">
        <is>
          <t>Knowledge Transfer Session 1</t>
        </is>
      </c>
      <c r="K36" s="50" t="inlineStr">
        <is>
          <t>Customer technical team must attend both sessions</t>
        </is>
      </c>
    </row>
    <row r="37" ht="26" customHeight="1">
      <c r="A37" s="44" t="inlineStr">
        <is>
          <t>Integration &amp; Deployment</t>
        </is>
      </c>
      <c r="B37" s="45" t="inlineStr">
        <is>
          <t>Final Deliverable Package</t>
        </is>
      </c>
      <c r="C37" s="45" t="inlineStr">
        <is>
          <t>Compile and deliver complete as-built documentation — architecture diagrams + data schemas + API contracts + runbooks</t>
        </is>
      </c>
      <c r="D37" s="45" t="inlineStr">
        <is>
          <t>Technical Writer</t>
        </is>
      </c>
      <c r="E37" s="46" t="n">
        <v>16</v>
      </c>
      <c r="F37" s="47" t="n">
        <v>1</v>
      </c>
      <c r="G37" s="46" t="n">
        <v>16</v>
      </c>
      <c r="H37" s="48" t="n">
        <v>125</v>
      </c>
      <c r="I37" s="48" t="n">
        <v>2000</v>
      </c>
      <c r="J37" s="45" t="inlineStr">
        <is>
          <t>Operational Runbook Development, Both KT Sessions</t>
        </is>
      </c>
      <c r="K37" s="45" t="inlineStr">
        <is>
          <t>All deliverables documented for independent operation</t>
        </is>
      </c>
    </row>
    <row r="38" ht="26" customHeight="1">
      <c r="A38" s="49" t="inlineStr">
        <is>
          <t>Integration &amp; Deployment</t>
        </is>
      </c>
      <c r="B38" s="50" t="inlineStr">
        <is>
          <t>Project Closeout</t>
        </is>
      </c>
      <c r="C38" s="50" t="inlineStr">
        <is>
          <t>Project retrospective + lessons learned + AWS funding reconciliation + final invoice preparation</t>
        </is>
      </c>
      <c r="D38" s="50" t="inlineStr">
        <is>
          <t>Project Manager</t>
        </is>
      </c>
      <c r="E38" s="51" t="n">
        <v>8</v>
      </c>
      <c r="F38" s="52" t="n">
        <v>1</v>
      </c>
      <c r="G38" s="51" t="n">
        <v>8</v>
      </c>
      <c r="H38" s="53" t="n">
        <v>175</v>
      </c>
      <c r="I38" s="53" t="n">
        <v>1400</v>
      </c>
      <c r="J38" s="50" t="inlineStr">
        <is>
          <t>Final Deliverable Package</t>
        </is>
      </c>
      <c r="K38" s="50" t="inlineStr">
        <is>
          <t>Net-10 invoicing after project kickoff per brief</t>
        </is>
      </c>
    </row>
    <row r="39" ht="26" customHeight="1">
      <c r="A39" s="44" t="inlineStr">
        <is>
          <t>Management</t>
        </is>
      </c>
      <c r="B39" s="45" t="inlineStr">
        <is>
          <t>Technical Leadership</t>
        </is>
      </c>
      <c r="C39" s="45" t="inlineStr">
        <is>
          <t>Quarterback technical oversight across all phases — architecture review, escalation, quality assurance</t>
        </is>
      </c>
      <c r="D39" s="45" t="inlineStr">
        <is>
          <t>EO Quarterback</t>
        </is>
      </c>
      <c r="E39" s="54">
        <f>ROUND(SUM($G$9:$G$50)*0.10,0)</f>
        <v/>
      </c>
      <c r="F39" s="47" t="n">
        <v>1</v>
      </c>
      <c r="G39" s="54">
        <f>ROUND(SUM($G$9:$G$50)*0.10,0)</f>
        <v/>
      </c>
      <c r="H39" s="48" t="n">
        <v>225</v>
      </c>
      <c r="I39" s="54">
        <f>TEXT(ROUND(SUM($G$9:$G$50)*0.10,0)*225,"$#,##0")</f>
        <v/>
      </c>
      <c r="J39" s="45" t="inlineStr"/>
      <c r="K39" s="45" t="inlineStr">
        <is>
          <t>10% of all engineering task hours</t>
        </is>
      </c>
    </row>
    <row r="40" ht="26" customHeight="1">
      <c r="A40" s="49" t="inlineStr">
        <is>
          <t>Management</t>
        </is>
      </c>
      <c r="B40" s="50" t="inlineStr">
        <is>
          <t>Project Management</t>
        </is>
      </c>
      <c r="C40" s="50" t="inlineStr">
        <is>
          <t>Project coordination + status reporting + stakeholder communication + schedule management across all phases</t>
        </is>
      </c>
      <c r="D40" s="50" t="inlineStr">
        <is>
          <t>EO Project Manager</t>
        </is>
      </c>
      <c r="E40" s="55">
        <f>ROUND(SUM($G$9:$G$50)*0.10,0)</f>
        <v/>
      </c>
      <c r="F40" s="52" t="n">
        <v>1</v>
      </c>
      <c r="G40" s="55">
        <f>ROUND(SUM($G$9:$G$50)*0.10,0)</f>
        <v/>
      </c>
      <c r="H40" s="53" t="n">
        <v>175</v>
      </c>
      <c r="I40" s="55">
        <f>TEXT(ROUND(SUM($G$9:$G$50)*0.10,0)*175,"$#,##0")</f>
        <v/>
      </c>
      <c r="J40" s="50" t="inlineStr"/>
      <c r="K40" s="50" t="inlineStr">
        <is>
          <t>10% of all engineering task hours</t>
        </is>
      </c>
    </row>
    <row r="41" ht="26" customHeight="1">
      <c r="A41" s="56" t="inlineStr"/>
      <c r="B41" s="56" t="inlineStr"/>
      <c r="C41" s="56" t="inlineStr"/>
      <c r="D41" s="56" t="inlineStr"/>
      <c r="E41" s="56" t="inlineStr"/>
      <c r="F41" s="57" t="inlineStr">
        <is>
          <t>TOTAL HOURS</t>
        </is>
      </c>
      <c r="G41" s="57">
        <f>SUM($G$9:$G$52)</f>
        <v/>
      </c>
      <c r="H41" s="57" t="inlineStr">
        <is>
          <t>TOTAL COST</t>
        </is>
      </c>
      <c r="I41" s="57">
        <f>TEXT(SUMPRODUCT($G$9:$G$52,$H$9:$H$52),"$#,##0")</f>
        <v/>
      </c>
      <c r="J41" s="56" t="inlineStr"/>
      <c r="K41" s="56" t="inlineStr"/>
    </row>
  </sheetData>
  <autoFilter ref="A2:K41"/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00" customWidth="1" min="3" max="3"/>
  </cols>
  <sheetData>
    <row r="1" ht="32" customHeight="1">
      <c r="A1" s="34" t="inlineStr">
        <is>
          <t>CREDITS</t>
        </is>
      </c>
    </row>
    <row r="2" ht="32" customHeight="1">
      <c r="A2" s="35" t="inlineStr">
        <is>
          <t>Credit Type</t>
        </is>
      </c>
      <c r="B2" s="35" t="inlineStr">
        <is>
          <t>Credit Amount</t>
        </is>
      </c>
      <c r="C2" s="35" t="inlineStr">
        <is>
          <t>Credit Comments</t>
        </is>
      </c>
    </row>
    <row r="3" ht="26" customHeight="1">
      <c r="A3" s="36" t="inlineStr">
        <is>
          <t>AWS Partner Funding Credit</t>
        </is>
      </c>
      <c r="B3" s="58" t="n">
        <v>-25000</v>
      </c>
      <c r="C3" s="37" t="inlineStr">
        <is>
          <t>AWS Partner Funding Portal (AFP) credit covering 100% of professional services fee; nClouds does not begin work until AWS funding approval is confirmed. Eligibility: nClouds APN partner program — AI/ML solution build on AWS for qualified ISV customer ANP Streaming.</t>
        </is>
      </c>
    </row>
    <row r="4" ht="26" customHeight="1">
      <c r="A4" s="59" t="inlineStr">
        <is>
          <t>TOTAL</t>
        </is>
      </c>
      <c r="B4" s="60" t="inlineStr">
        <is>
          <t>$0.00</t>
        </is>
      </c>
      <c r="C4" s="60" t="inlineStr">
        <is>
          <t>Total professional services cost fully offset by AWS Partner Funding — net customer cost is $0.00 on professional services. Customer remains responsible for all AWS service-consumption fees incurred by the delivered solution.</t>
        </is>
      </c>
    </row>
  </sheetData>
  <autoFilter ref="A2:C4"/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2026-06-08T19:23:14Z</dcterms:modified>
  <cp:lastModifiedBy>Kishan Siram</cp:lastModifiedBy>
</cp:coreProperties>
</file>