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l Categories (Read Only)" sheetId="2" state="visible" r:id="rId2"/>
    <sheet xmlns:r="http://schemas.openxmlformats.org/officeDocument/2006/relationships" name="Business Requirements" sheetId="3" state="visible" r:id="rId3"/>
    <sheet xmlns:r="http://schemas.openxmlformats.org/officeDocument/2006/relationships" name="Technical Requirements" sheetId="4" state="visible" r:id="rId4"/>
    <sheet xmlns:r="http://schemas.openxmlformats.org/officeDocument/2006/relationships" name="Security &amp; Compliance" sheetId="5" state="visible" r:id="rId5"/>
    <sheet xmlns:r="http://schemas.openxmlformats.org/officeDocument/2006/relationships" name="Operations &amp; Support" sheetId="6" state="visible" r:id="rId6"/>
    <sheet xmlns:r="http://schemas.openxmlformats.org/officeDocument/2006/relationships" name="Implementation Planning" sheetId="7" state="visible" r:id="rId7"/>
    <sheet xmlns:r="http://schemas.openxmlformats.org/officeDocument/2006/relationships" name="Risk &amp; Constraints" sheetId="8" state="visible" r:id="rId8"/>
  </sheets>
  <definedNames/>
  <calcPr calcId="124519" calcMode="auto" fullCalcOnLoad="1" calcOnSave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6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FFFFFF"/>
      <sz val="12"/>
    </font>
    <font>
      <name val="Calibri"/>
      <b val="1"/>
      <color rgb="FF2C3E50"/>
      <sz val="12"/>
    </font>
  </fonts>
  <fills count="12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5" fillId="7" borderId="5" applyAlignment="1" pivotButton="0" quotePrefix="0" xfId="0">
      <alignment horizontal="center" vertical="center"/>
    </xf>
    <xf numFmtId="0" fontId="15" fillId="8" borderId="5" applyAlignment="1" pivotButton="0" quotePrefix="0" xfId="0">
      <alignment horizontal="center" vertical="center"/>
    </xf>
    <xf numFmtId="9" fontId="15" fillId="8" borderId="5" applyAlignment="1" pivotButton="0" quotePrefix="0" xfId="0">
      <alignment horizontal="center" vertical="center"/>
    </xf>
    <xf numFmtId="0" fontId="14" fillId="3" borderId="5" applyAlignment="1" pivotButton="0" quotePrefix="0" xfId="0">
      <alignment horizontal="center" vertical="center" wrapText="1"/>
    </xf>
    <xf numFmtId="0" fontId="2" fillId="11" borderId="5" applyAlignment="1" pivotButton="0" quotePrefix="0" xfId="0">
      <alignment vertical="top" wrapText="1" indent="1"/>
    </xf>
    <xf numFmtId="0" fontId="2" fillId="10" borderId="5" applyAlignment="1" pivotButton="0" quotePrefix="0" xfId="0">
      <alignment vertical="top" wrapText="1" indent="1"/>
    </xf>
    <xf numFmtId="0" fontId="2" fillId="4" borderId="5" applyAlignment="1" pivotButton="0" quotePrefix="0" xfId="0">
      <alignment vertical="top" wrapText="1" inden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Discovery Questionnaire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June 08, 2026</t>
        </is>
      </c>
    </row>
    <row r="6" ht="18" customHeight="1">
      <c r="B6" s="2" t="inlineStr">
        <is>
          <t>Solution:</t>
        </is>
      </c>
      <c r="C6" s="3" t="inlineStr">
        <is>
          <t>Tmpiwfaanry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26" customHeight="1">
      <c r="A1" s="34" t="inlineStr">
        <is>
          <t>Total Questions</t>
        </is>
      </c>
      <c r="B1" s="34" t="inlineStr">
        <is>
          <t>Answered</t>
        </is>
      </c>
      <c r="C1" s="34" t="inlineStr">
        <is>
          <t>Remaining</t>
        </is>
      </c>
      <c r="D1" s="34" t="inlineStr">
        <is>
          <t>% Complete</t>
        </is>
      </c>
    </row>
    <row r="2" ht="26" customHeight="1">
      <c r="A2" s="35" t="n">
        <v>62</v>
      </c>
      <c r="B2" s="35">
        <f>SUMPRODUCT(--(LEN(F5:F66)&gt;0))</f>
        <v/>
      </c>
      <c r="C2" s="35">
        <f>A2-B2</f>
        <v/>
      </c>
      <c r="D2" s="36">
        <f>B2/A2</f>
        <v/>
      </c>
    </row>
    <row r="4" ht="32" customHeight="1">
      <c r="A4" s="37" t="inlineStr">
        <is>
          <t>Question ID</t>
        </is>
      </c>
      <c r="B4" s="37" t="inlineStr">
        <is>
          <t>Category</t>
        </is>
      </c>
      <c r="C4" s="37" t="inlineStr">
        <is>
          <t>Sub-Category</t>
        </is>
      </c>
      <c r="D4" s="37" t="inlineStr">
        <is>
          <t>Question</t>
        </is>
      </c>
      <c r="E4" s="37" t="inlineStr">
        <is>
          <t>Guidance</t>
        </is>
      </c>
      <c r="F4" s="37" t="inlineStr">
        <is>
          <t>Customer Response</t>
        </is>
      </c>
      <c r="G4" s="37" t="inlineStr">
        <is>
          <t>Notes</t>
        </is>
      </c>
    </row>
    <row r="5">
      <c r="A5" s="38">
        <f>IF('Business Requirements'!A2="","",'Business Requirements'!A2)</f>
        <v/>
      </c>
      <c r="B5" s="38">
        <f>IF('Business Requirements'!B2="","",'Business Requirements'!B2)</f>
        <v/>
      </c>
      <c r="C5" s="38">
        <f>IF('Business Requirements'!C2="","",'Business Requirements'!C2)</f>
        <v/>
      </c>
      <c r="D5" s="38">
        <f>IF('Business Requirements'!D2="","",'Business Requirements'!D2)</f>
        <v/>
      </c>
      <c r="E5" s="38">
        <f>IF('Business Requirements'!E2="","",'Business Requirements'!E2)</f>
        <v/>
      </c>
      <c r="F5" s="39">
        <f>IF('Business Requirements'!F2="","",'Business Requirements'!F2)</f>
        <v/>
      </c>
      <c r="G5" s="38">
        <f>IF('Business Requirements'!G2="","",'Business Requirements'!G2)</f>
        <v/>
      </c>
    </row>
    <row r="6">
      <c r="A6" s="40">
        <f>IF('Business Requirements'!A3="","",'Business Requirements'!A3)</f>
        <v/>
      </c>
      <c r="B6" s="40">
        <f>IF('Business Requirements'!B3="","",'Business Requirements'!B3)</f>
        <v/>
      </c>
      <c r="C6" s="40">
        <f>IF('Business Requirements'!C3="","",'Business Requirements'!C3)</f>
        <v/>
      </c>
      <c r="D6" s="40">
        <f>IF('Business Requirements'!D3="","",'Business Requirements'!D3)</f>
        <v/>
      </c>
      <c r="E6" s="40">
        <f>IF('Business Requirements'!E3="","",'Business Requirements'!E3)</f>
        <v/>
      </c>
      <c r="F6" s="39">
        <f>IF('Business Requirements'!F3="","",'Business Requirements'!F3)</f>
        <v/>
      </c>
      <c r="G6" s="40">
        <f>IF('Business Requirements'!G3="","",'Business Requirements'!G3)</f>
        <v/>
      </c>
    </row>
    <row r="7">
      <c r="A7" s="38">
        <f>IF('Business Requirements'!A4="","",'Business Requirements'!A4)</f>
        <v/>
      </c>
      <c r="B7" s="38">
        <f>IF('Business Requirements'!B4="","",'Business Requirements'!B4)</f>
        <v/>
      </c>
      <c r="C7" s="38">
        <f>IF('Business Requirements'!C4="","",'Business Requirements'!C4)</f>
        <v/>
      </c>
      <c r="D7" s="38">
        <f>IF('Business Requirements'!D4="","",'Business Requirements'!D4)</f>
        <v/>
      </c>
      <c r="E7" s="38">
        <f>IF('Business Requirements'!E4="","",'Business Requirements'!E4)</f>
        <v/>
      </c>
      <c r="F7" s="39">
        <f>IF('Business Requirements'!F4="","",'Business Requirements'!F4)</f>
        <v/>
      </c>
      <c r="G7" s="38">
        <f>IF('Business Requirements'!G4="","",'Business Requirements'!G4)</f>
        <v/>
      </c>
    </row>
    <row r="8">
      <c r="A8" s="40">
        <f>IF('Business Requirements'!A5="","",'Business Requirements'!A5)</f>
        <v/>
      </c>
      <c r="B8" s="40">
        <f>IF('Business Requirements'!B5="","",'Business Requirements'!B5)</f>
        <v/>
      </c>
      <c r="C8" s="40">
        <f>IF('Business Requirements'!C5="","",'Business Requirements'!C5)</f>
        <v/>
      </c>
      <c r="D8" s="40">
        <f>IF('Business Requirements'!D5="","",'Business Requirements'!D5)</f>
        <v/>
      </c>
      <c r="E8" s="40">
        <f>IF('Business Requirements'!E5="","",'Business Requirements'!E5)</f>
        <v/>
      </c>
      <c r="F8" s="39">
        <f>IF('Business Requirements'!F5="","",'Business Requirements'!F5)</f>
        <v/>
      </c>
      <c r="G8" s="40">
        <f>IF('Business Requirements'!G5="","",'Business Requirements'!G5)</f>
        <v/>
      </c>
    </row>
    <row r="9">
      <c r="A9" s="38">
        <f>IF('Business Requirements'!A6="","",'Business Requirements'!A6)</f>
        <v/>
      </c>
      <c r="B9" s="38">
        <f>IF('Business Requirements'!B6="","",'Business Requirements'!B6)</f>
        <v/>
      </c>
      <c r="C9" s="38">
        <f>IF('Business Requirements'!C6="","",'Business Requirements'!C6)</f>
        <v/>
      </c>
      <c r="D9" s="38">
        <f>IF('Business Requirements'!D6="","",'Business Requirements'!D6)</f>
        <v/>
      </c>
      <c r="E9" s="38">
        <f>IF('Business Requirements'!E6="","",'Business Requirements'!E6)</f>
        <v/>
      </c>
      <c r="F9" s="39">
        <f>IF('Business Requirements'!F6="","",'Business Requirements'!F6)</f>
        <v/>
      </c>
      <c r="G9" s="38">
        <f>IF('Business Requirements'!G6="","",'Business Requirements'!G6)</f>
        <v/>
      </c>
    </row>
    <row r="10">
      <c r="A10" s="40">
        <f>IF('Business Requirements'!A7="","",'Business Requirements'!A7)</f>
        <v/>
      </c>
      <c r="B10" s="40">
        <f>IF('Business Requirements'!B7="","",'Business Requirements'!B7)</f>
        <v/>
      </c>
      <c r="C10" s="40">
        <f>IF('Business Requirements'!C7="","",'Business Requirements'!C7)</f>
        <v/>
      </c>
      <c r="D10" s="40">
        <f>IF('Business Requirements'!D7="","",'Business Requirements'!D7)</f>
        <v/>
      </c>
      <c r="E10" s="40">
        <f>IF('Business Requirements'!E7="","",'Business Requirements'!E7)</f>
        <v/>
      </c>
      <c r="F10" s="39">
        <f>IF('Business Requirements'!F7="","",'Business Requirements'!F7)</f>
        <v/>
      </c>
      <c r="G10" s="40">
        <f>IF('Business Requirements'!G7="","",'Business Requirements'!G7)</f>
        <v/>
      </c>
    </row>
    <row r="11">
      <c r="A11" s="38">
        <f>IF('Business Requirements'!A8="","",'Business Requirements'!A8)</f>
        <v/>
      </c>
      <c r="B11" s="38">
        <f>IF('Business Requirements'!B8="","",'Business Requirements'!B8)</f>
        <v/>
      </c>
      <c r="C11" s="38">
        <f>IF('Business Requirements'!C8="","",'Business Requirements'!C8)</f>
        <v/>
      </c>
      <c r="D11" s="38">
        <f>IF('Business Requirements'!D8="","",'Business Requirements'!D8)</f>
        <v/>
      </c>
      <c r="E11" s="38">
        <f>IF('Business Requirements'!E8="","",'Business Requirements'!E8)</f>
        <v/>
      </c>
      <c r="F11" s="39">
        <f>IF('Business Requirements'!F8="","",'Business Requirements'!F8)</f>
        <v/>
      </c>
      <c r="G11" s="38">
        <f>IF('Business Requirements'!G8="","",'Business Requirements'!G8)</f>
        <v/>
      </c>
    </row>
    <row r="12">
      <c r="A12" s="40">
        <f>IF('Business Requirements'!A9="","",'Business Requirements'!A9)</f>
        <v/>
      </c>
      <c r="B12" s="40">
        <f>IF('Business Requirements'!B9="","",'Business Requirements'!B9)</f>
        <v/>
      </c>
      <c r="C12" s="40">
        <f>IF('Business Requirements'!C9="","",'Business Requirements'!C9)</f>
        <v/>
      </c>
      <c r="D12" s="40">
        <f>IF('Business Requirements'!D9="","",'Business Requirements'!D9)</f>
        <v/>
      </c>
      <c r="E12" s="40">
        <f>IF('Business Requirements'!E9="","",'Business Requirements'!E9)</f>
        <v/>
      </c>
      <c r="F12" s="39">
        <f>IF('Business Requirements'!F9="","",'Business Requirements'!F9)</f>
        <v/>
      </c>
      <c r="G12" s="40">
        <f>IF('Business Requirements'!G9="","",'Business Requirements'!G9)</f>
        <v/>
      </c>
    </row>
    <row r="13">
      <c r="A13" s="38">
        <f>IF('Business Requirements'!A10="","",'Business Requirements'!A10)</f>
        <v/>
      </c>
      <c r="B13" s="38">
        <f>IF('Business Requirements'!B10="","",'Business Requirements'!B10)</f>
        <v/>
      </c>
      <c r="C13" s="38">
        <f>IF('Business Requirements'!C10="","",'Business Requirements'!C10)</f>
        <v/>
      </c>
      <c r="D13" s="38">
        <f>IF('Business Requirements'!D10="","",'Business Requirements'!D10)</f>
        <v/>
      </c>
      <c r="E13" s="38">
        <f>IF('Business Requirements'!E10="","",'Business Requirements'!E10)</f>
        <v/>
      </c>
      <c r="F13" s="39">
        <f>IF('Business Requirements'!F10="","",'Business Requirements'!F10)</f>
        <v/>
      </c>
      <c r="G13" s="38">
        <f>IF('Business Requirements'!G10="","",'Business Requirements'!G10)</f>
        <v/>
      </c>
    </row>
    <row r="14">
      <c r="A14" s="40">
        <f>IF('Business Requirements'!A11="","",'Business Requirements'!A11)</f>
        <v/>
      </c>
      <c r="B14" s="40">
        <f>IF('Business Requirements'!B11="","",'Business Requirements'!B11)</f>
        <v/>
      </c>
      <c r="C14" s="40">
        <f>IF('Business Requirements'!C11="","",'Business Requirements'!C11)</f>
        <v/>
      </c>
      <c r="D14" s="40">
        <f>IF('Business Requirements'!D11="","",'Business Requirements'!D11)</f>
        <v/>
      </c>
      <c r="E14" s="40">
        <f>IF('Business Requirements'!E11="","",'Business Requirements'!E11)</f>
        <v/>
      </c>
      <c r="F14" s="39">
        <f>IF('Business Requirements'!F11="","",'Business Requirements'!F11)</f>
        <v/>
      </c>
      <c r="G14" s="40">
        <f>IF('Business Requirements'!G11="","",'Business Requirements'!G11)</f>
        <v/>
      </c>
    </row>
    <row r="15">
      <c r="A15" s="38">
        <f>IF('Business Requirements'!A12="","",'Business Requirements'!A12)</f>
        <v/>
      </c>
      <c r="B15" s="38">
        <f>IF('Business Requirements'!B12="","",'Business Requirements'!B12)</f>
        <v/>
      </c>
      <c r="C15" s="38">
        <f>IF('Business Requirements'!C12="","",'Business Requirements'!C12)</f>
        <v/>
      </c>
      <c r="D15" s="38">
        <f>IF('Business Requirements'!D12="","",'Business Requirements'!D12)</f>
        <v/>
      </c>
      <c r="E15" s="38">
        <f>IF('Business Requirements'!E12="","",'Business Requirements'!E12)</f>
        <v/>
      </c>
      <c r="F15" s="39">
        <f>IF('Business Requirements'!F12="","",'Business Requirements'!F12)</f>
        <v/>
      </c>
      <c r="G15" s="38">
        <f>IF('Business Requirements'!G12="","",'Business Requirements'!G12)</f>
        <v/>
      </c>
    </row>
    <row r="16">
      <c r="A16" s="40">
        <f>IF('Technical Requirements'!A2="","",'Technical Requirements'!A2)</f>
        <v/>
      </c>
      <c r="B16" s="40">
        <f>IF('Technical Requirements'!B2="","",'Technical Requirements'!B2)</f>
        <v/>
      </c>
      <c r="C16" s="40">
        <f>IF('Technical Requirements'!C2="","",'Technical Requirements'!C2)</f>
        <v/>
      </c>
      <c r="D16" s="40">
        <f>IF('Technical Requirements'!D2="","",'Technical Requirements'!D2)</f>
        <v/>
      </c>
      <c r="E16" s="40">
        <f>IF('Technical Requirements'!E2="","",'Technical Requirements'!E2)</f>
        <v/>
      </c>
      <c r="F16" s="39">
        <f>IF('Technical Requirements'!F2="","",'Technical Requirements'!F2)</f>
        <v/>
      </c>
      <c r="G16" s="40">
        <f>IF('Technical Requirements'!G2="","",'Technical Requirements'!G2)</f>
        <v/>
      </c>
    </row>
    <row r="17">
      <c r="A17" s="38">
        <f>IF('Technical Requirements'!A3="","",'Technical Requirements'!A3)</f>
        <v/>
      </c>
      <c r="B17" s="38">
        <f>IF('Technical Requirements'!B3="","",'Technical Requirements'!B3)</f>
        <v/>
      </c>
      <c r="C17" s="38">
        <f>IF('Technical Requirements'!C3="","",'Technical Requirements'!C3)</f>
        <v/>
      </c>
      <c r="D17" s="38">
        <f>IF('Technical Requirements'!D3="","",'Technical Requirements'!D3)</f>
        <v/>
      </c>
      <c r="E17" s="38">
        <f>IF('Technical Requirements'!E3="","",'Technical Requirements'!E3)</f>
        <v/>
      </c>
      <c r="F17" s="39">
        <f>IF('Technical Requirements'!F3="","",'Technical Requirements'!F3)</f>
        <v/>
      </c>
      <c r="G17" s="38">
        <f>IF('Technical Requirements'!G3="","",'Technical Requirements'!G3)</f>
        <v/>
      </c>
    </row>
    <row r="18">
      <c r="A18" s="40">
        <f>IF('Technical Requirements'!A4="","",'Technical Requirements'!A4)</f>
        <v/>
      </c>
      <c r="B18" s="40">
        <f>IF('Technical Requirements'!B4="","",'Technical Requirements'!B4)</f>
        <v/>
      </c>
      <c r="C18" s="40">
        <f>IF('Technical Requirements'!C4="","",'Technical Requirements'!C4)</f>
        <v/>
      </c>
      <c r="D18" s="40">
        <f>IF('Technical Requirements'!D4="","",'Technical Requirements'!D4)</f>
        <v/>
      </c>
      <c r="E18" s="40">
        <f>IF('Technical Requirements'!E4="","",'Technical Requirements'!E4)</f>
        <v/>
      </c>
      <c r="F18" s="39">
        <f>IF('Technical Requirements'!F4="","",'Technical Requirements'!F4)</f>
        <v/>
      </c>
      <c r="G18" s="40">
        <f>IF('Technical Requirements'!G4="","",'Technical Requirements'!G4)</f>
        <v/>
      </c>
    </row>
    <row r="19">
      <c r="A19" s="38">
        <f>IF('Technical Requirements'!A5="","",'Technical Requirements'!A5)</f>
        <v/>
      </c>
      <c r="B19" s="38">
        <f>IF('Technical Requirements'!B5="","",'Technical Requirements'!B5)</f>
        <v/>
      </c>
      <c r="C19" s="38">
        <f>IF('Technical Requirements'!C5="","",'Technical Requirements'!C5)</f>
        <v/>
      </c>
      <c r="D19" s="38">
        <f>IF('Technical Requirements'!D5="","",'Technical Requirements'!D5)</f>
        <v/>
      </c>
      <c r="E19" s="38">
        <f>IF('Technical Requirements'!E5="","",'Technical Requirements'!E5)</f>
        <v/>
      </c>
      <c r="F19" s="39">
        <f>IF('Technical Requirements'!F5="","",'Technical Requirements'!F5)</f>
        <v/>
      </c>
      <c r="G19" s="38">
        <f>IF('Technical Requirements'!G5="","",'Technical Requirements'!G5)</f>
        <v/>
      </c>
    </row>
    <row r="20">
      <c r="A20" s="40">
        <f>IF('Technical Requirements'!A6="","",'Technical Requirements'!A6)</f>
        <v/>
      </c>
      <c r="B20" s="40">
        <f>IF('Technical Requirements'!B6="","",'Technical Requirements'!B6)</f>
        <v/>
      </c>
      <c r="C20" s="40">
        <f>IF('Technical Requirements'!C6="","",'Technical Requirements'!C6)</f>
        <v/>
      </c>
      <c r="D20" s="40">
        <f>IF('Technical Requirements'!D6="","",'Technical Requirements'!D6)</f>
        <v/>
      </c>
      <c r="E20" s="40">
        <f>IF('Technical Requirements'!E6="","",'Technical Requirements'!E6)</f>
        <v/>
      </c>
      <c r="F20" s="39">
        <f>IF('Technical Requirements'!F6="","",'Technical Requirements'!F6)</f>
        <v/>
      </c>
      <c r="G20" s="40">
        <f>IF('Technical Requirements'!G6="","",'Technical Requirements'!G6)</f>
        <v/>
      </c>
    </row>
    <row r="21">
      <c r="A21" s="38">
        <f>IF('Technical Requirements'!A7="","",'Technical Requirements'!A7)</f>
        <v/>
      </c>
      <c r="B21" s="38">
        <f>IF('Technical Requirements'!B7="","",'Technical Requirements'!B7)</f>
        <v/>
      </c>
      <c r="C21" s="38">
        <f>IF('Technical Requirements'!C7="","",'Technical Requirements'!C7)</f>
        <v/>
      </c>
      <c r="D21" s="38">
        <f>IF('Technical Requirements'!D7="","",'Technical Requirements'!D7)</f>
        <v/>
      </c>
      <c r="E21" s="38">
        <f>IF('Technical Requirements'!E7="","",'Technical Requirements'!E7)</f>
        <v/>
      </c>
      <c r="F21" s="39">
        <f>IF('Technical Requirements'!F7="","",'Technical Requirements'!F7)</f>
        <v/>
      </c>
      <c r="G21" s="38">
        <f>IF('Technical Requirements'!G7="","",'Technical Requirements'!G7)</f>
        <v/>
      </c>
    </row>
    <row r="22">
      <c r="A22" s="40">
        <f>IF('Technical Requirements'!A8="","",'Technical Requirements'!A8)</f>
        <v/>
      </c>
      <c r="B22" s="40">
        <f>IF('Technical Requirements'!B8="","",'Technical Requirements'!B8)</f>
        <v/>
      </c>
      <c r="C22" s="40">
        <f>IF('Technical Requirements'!C8="","",'Technical Requirements'!C8)</f>
        <v/>
      </c>
      <c r="D22" s="40">
        <f>IF('Technical Requirements'!D8="","",'Technical Requirements'!D8)</f>
        <v/>
      </c>
      <c r="E22" s="40">
        <f>IF('Technical Requirements'!E8="","",'Technical Requirements'!E8)</f>
        <v/>
      </c>
      <c r="F22" s="39">
        <f>IF('Technical Requirements'!F8="","",'Technical Requirements'!F8)</f>
        <v/>
      </c>
      <c r="G22" s="40">
        <f>IF('Technical Requirements'!G8="","",'Technical Requirements'!G8)</f>
        <v/>
      </c>
    </row>
    <row r="23">
      <c r="A23" s="38">
        <f>IF('Technical Requirements'!A9="","",'Technical Requirements'!A9)</f>
        <v/>
      </c>
      <c r="B23" s="38">
        <f>IF('Technical Requirements'!B9="","",'Technical Requirements'!B9)</f>
        <v/>
      </c>
      <c r="C23" s="38">
        <f>IF('Technical Requirements'!C9="","",'Technical Requirements'!C9)</f>
        <v/>
      </c>
      <c r="D23" s="38">
        <f>IF('Technical Requirements'!D9="","",'Technical Requirements'!D9)</f>
        <v/>
      </c>
      <c r="E23" s="38">
        <f>IF('Technical Requirements'!E9="","",'Technical Requirements'!E9)</f>
        <v/>
      </c>
      <c r="F23" s="39">
        <f>IF('Technical Requirements'!F9="","",'Technical Requirements'!F9)</f>
        <v/>
      </c>
      <c r="G23" s="38">
        <f>IF('Technical Requirements'!G9="","",'Technical Requirements'!G9)</f>
        <v/>
      </c>
    </row>
    <row r="24">
      <c r="A24" s="40">
        <f>IF('Technical Requirements'!A10="","",'Technical Requirements'!A10)</f>
        <v/>
      </c>
      <c r="B24" s="40">
        <f>IF('Technical Requirements'!B10="","",'Technical Requirements'!B10)</f>
        <v/>
      </c>
      <c r="C24" s="40">
        <f>IF('Technical Requirements'!C10="","",'Technical Requirements'!C10)</f>
        <v/>
      </c>
      <c r="D24" s="40">
        <f>IF('Technical Requirements'!D10="","",'Technical Requirements'!D10)</f>
        <v/>
      </c>
      <c r="E24" s="40">
        <f>IF('Technical Requirements'!E10="","",'Technical Requirements'!E10)</f>
        <v/>
      </c>
      <c r="F24" s="39">
        <f>IF('Technical Requirements'!F10="","",'Technical Requirements'!F10)</f>
        <v/>
      </c>
      <c r="G24" s="40">
        <f>IF('Technical Requirements'!G10="","",'Technical Requirements'!G10)</f>
        <v/>
      </c>
    </row>
    <row r="25">
      <c r="A25" s="38">
        <f>IF('Technical Requirements'!A11="","",'Technical Requirements'!A11)</f>
        <v/>
      </c>
      <c r="B25" s="38">
        <f>IF('Technical Requirements'!B11="","",'Technical Requirements'!B11)</f>
        <v/>
      </c>
      <c r="C25" s="38">
        <f>IF('Technical Requirements'!C11="","",'Technical Requirements'!C11)</f>
        <v/>
      </c>
      <c r="D25" s="38">
        <f>IF('Technical Requirements'!D11="","",'Technical Requirements'!D11)</f>
        <v/>
      </c>
      <c r="E25" s="38">
        <f>IF('Technical Requirements'!E11="","",'Technical Requirements'!E11)</f>
        <v/>
      </c>
      <c r="F25" s="39">
        <f>IF('Technical Requirements'!F11="","",'Technical Requirements'!F11)</f>
        <v/>
      </c>
      <c r="G25" s="38">
        <f>IF('Technical Requirements'!G11="","",'Technical Requirements'!G11)</f>
        <v/>
      </c>
    </row>
    <row r="26">
      <c r="A26" s="40">
        <f>IF('Technical Requirements'!A12="","",'Technical Requirements'!A12)</f>
        <v/>
      </c>
      <c r="B26" s="40">
        <f>IF('Technical Requirements'!B12="","",'Technical Requirements'!B12)</f>
        <v/>
      </c>
      <c r="C26" s="40">
        <f>IF('Technical Requirements'!C12="","",'Technical Requirements'!C12)</f>
        <v/>
      </c>
      <c r="D26" s="40">
        <f>IF('Technical Requirements'!D12="","",'Technical Requirements'!D12)</f>
        <v/>
      </c>
      <c r="E26" s="40">
        <f>IF('Technical Requirements'!E12="","",'Technical Requirements'!E12)</f>
        <v/>
      </c>
      <c r="F26" s="39">
        <f>IF('Technical Requirements'!F12="","",'Technical Requirements'!F12)</f>
        <v/>
      </c>
      <c r="G26" s="40">
        <f>IF('Technical Requirements'!G12="","",'Technical Requirements'!G12)</f>
        <v/>
      </c>
    </row>
    <row r="27">
      <c r="A27" s="38">
        <f>IF('Technical Requirements'!A13="","",'Technical Requirements'!A13)</f>
        <v/>
      </c>
      <c r="B27" s="38">
        <f>IF('Technical Requirements'!B13="","",'Technical Requirements'!B13)</f>
        <v/>
      </c>
      <c r="C27" s="38">
        <f>IF('Technical Requirements'!C13="","",'Technical Requirements'!C13)</f>
        <v/>
      </c>
      <c r="D27" s="38">
        <f>IF('Technical Requirements'!D13="","",'Technical Requirements'!D13)</f>
        <v/>
      </c>
      <c r="E27" s="38">
        <f>IF('Technical Requirements'!E13="","",'Technical Requirements'!E13)</f>
        <v/>
      </c>
      <c r="F27" s="39">
        <f>IF('Technical Requirements'!F13="","",'Technical Requirements'!F13)</f>
        <v/>
      </c>
      <c r="G27" s="38">
        <f>IF('Technical Requirements'!G13="","",'Technical Requirements'!G13)</f>
        <v/>
      </c>
    </row>
    <row r="28">
      <c r="A28" s="40">
        <f>IF('Technical Requirements'!A14="","",'Technical Requirements'!A14)</f>
        <v/>
      </c>
      <c r="B28" s="40">
        <f>IF('Technical Requirements'!B14="","",'Technical Requirements'!B14)</f>
        <v/>
      </c>
      <c r="C28" s="40">
        <f>IF('Technical Requirements'!C14="","",'Technical Requirements'!C14)</f>
        <v/>
      </c>
      <c r="D28" s="40">
        <f>IF('Technical Requirements'!D14="","",'Technical Requirements'!D14)</f>
        <v/>
      </c>
      <c r="E28" s="40">
        <f>IF('Technical Requirements'!E14="","",'Technical Requirements'!E14)</f>
        <v/>
      </c>
      <c r="F28" s="39">
        <f>IF('Technical Requirements'!F14="","",'Technical Requirements'!F14)</f>
        <v/>
      </c>
      <c r="G28" s="40">
        <f>IF('Technical Requirements'!G14="","",'Technical Requirements'!G14)</f>
        <v/>
      </c>
    </row>
    <row r="29">
      <c r="A29" s="38">
        <f>IF('Technical Requirements'!A15="","",'Technical Requirements'!A15)</f>
        <v/>
      </c>
      <c r="B29" s="38">
        <f>IF('Technical Requirements'!B15="","",'Technical Requirements'!B15)</f>
        <v/>
      </c>
      <c r="C29" s="38">
        <f>IF('Technical Requirements'!C15="","",'Technical Requirements'!C15)</f>
        <v/>
      </c>
      <c r="D29" s="38">
        <f>IF('Technical Requirements'!D15="","",'Technical Requirements'!D15)</f>
        <v/>
      </c>
      <c r="E29" s="38">
        <f>IF('Technical Requirements'!E15="","",'Technical Requirements'!E15)</f>
        <v/>
      </c>
      <c r="F29" s="39">
        <f>IF('Technical Requirements'!F15="","",'Technical Requirements'!F15)</f>
        <v/>
      </c>
      <c r="G29" s="38">
        <f>IF('Technical Requirements'!G15="","",'Technical Requirements'!G15)</f>
        <v/>
      </c>
    </row>
    <row r="30">
      <c r="A30" s="40">
        <f>IF('Technical Requirements'!A16="","",'Technical Requirements'!A16)</f>
        <v/>
      </c>
      <c r="B30" s="40">
        <f>IF('Technical Requirements'!B16="","",'Technical Requirements'!B16)</f>
        <v/>
      </c>
      <c r="C30" s="40">
        <f>IF('Technical Requirements'!C16="","",'Technical Requirements'!C16)</f>
        <v/>
      </c>
      <c r="D30" s="40">
        <f>IF('Technical Requirements'!D16="","",'Technical Requirements'!D16)</f>
        <v/>
      </c>
      <c r="E30" s="40">
        <f>IF('Technical Requirements'!E16="","",'Technical Requirements'!E16)</f>
        <v/>
      </c>
      <c r="F30" s="39">
        <f>IF('Technical Requirements'!F16="","",'Technical Requirements'!F16)</f>
        <v/>
      </c>
      <c r="G30" s="40">
        <f>IF('Technical Requirements'!G16="","",'Technical Requirements'!G16)</f>
        <v/>
      </c>
    </row>
    <row r="31">
      <c r="A31" s="38">
        <f>IF('Technical Requirements'!A17="","",'Technical Requirements'!A17)</f>
        <v/>
      </c>
      <c r="B31" s="38">
        <f>IF('Technical Requirements'!B17="","",'Technical Requirements'!B17)</f>
        <v/>
      </c>
      <c r="C31" s="38">
        <f>IF('Technical Requirements'!C17="","",'Technical Requirements'!C17)</f>
        <v/>
      </c>
      <c r="D31" s="38">
        <f>IF('Technical Requirements'!D17="","",'Technical Requirements'!D17)</f>
        <v/>
      </c>
      <c r="E31" s="38">
        <f>IF('Technical Requirements'!E17="","",'Technical Requirements'!E17)</f>
        <v/>
      </c>
      <c r="F31" s="39">
        <f>IF('Technical Requirements'!F17="","",'Technical Requirements'!F17)</f>
        <v/>
      </c>
      <c r="G31" s="38">
        <f>IF('Technical Requirements'!G17="","",'Technical Requirements'!G17)</f>
        <v/>
      </c>
    </row>
    <row r="32">
      <c r="A32" s="40">
        <f>IF('Technical Requirements'!A18="","",'Technical Requirements'!A18)</f>
        <v/>
      </c>
      <c r="B32" s="40">
        <f>IF('Technical Requirements'!B18="","",'Technical Requirements'!B18)</f>
        <v/>
      </c>
      <c r="C32" s="40">
        <f>IF('Technical Requirements'!C18="","",'Technical Requirements'!C18)</f>
        <v/>
      </c>
      <c r="D32" s="40">
        <f>IF('Technical Requirements'!D18="","",'Technical Requirements'!D18)</f>
        <v/>
      </c>
      <c r="E32" s="40">
        <f>IF('Technical Requirements'!E18="","",'Technical Requirements'!E18)</f>
        <v/>
      </c>
      <c r="F32" s="39">
        <f>IF('Technical Requirements'!F18="","",'Technical Requirements'!F18)</f>
        <v/>
      </c>
      <c r="G32" s="40">
        <f>IF('Technical Requirements'!G18="","",'Technical Requirements'!G18)</f>
        <v/>
      </c>
    </row>
    <row r="33">
      <c r="A33" s="38">
        <f>IF('Technical Requirements'!A19="","",'Technical Requirements'!A19)</f>
        <v/>
      </c>
      <c r="B33" s="38">
        <f>IF('Technical Requirements'!B19="","",'Technical Requirements'!B19)</f>
        <v/>
      </c>
      <c r="C33" s="38">
        <f>IF('Technical Requirements'!C19="","",'Technical Requirements'!C19)</f>
        <v/>
      </c>
      <c r="D33" s="38">
        <f>IF('Technical Requirements'!D19="","",'Technical Requirements'!D19)</f>
        <v/>
      </c>
      <c r="E33" s="38">
        <f>IF('Technical Requirements'!E19="","",'Technical Requirements'!E19)</f>
        <v/>
      </c>
      <c r="F33" s="39">
        <f>IF('Technical Requirements'!F19="","",'Technical Requirements'!F19)</f>
        <v/>
      </c>
      <c r="G33" s="38">
        <f>IF('Technical Requirements'!G19="","",'Technical Requirements'!G19)</f>
        <v/>
      </c>
    </row>
    <row r="34">
      <c r="A34" s="40">
        <f>IF('Technical Requirements'!A20="","",'Technical Requirements'!A20)</f>
        <v/>
      </c>
      <c r="B34" s="40">
        <f>IF('Technical Requirements'!B20="","",'Technical Requirements'!B20)</f>
        <v/>
      </c>
      <c r="C34" s="40">
        <f>IF('Technical Requirements'!C20="","",'Technical Requirements'!C20)</f>
        <v/>
      </c>
      <c r="D34" s="40">
        <f>IF('Technical Requirements'!D20="","",'Technical Requirements'!D20)</f>
        <v/>
      </c>
      <c r="E34" s="40">
        <f>IF('Technical Requirements'!E20="","",'Technical Requirements'!E20)</f>
        <v/>
      </c>
      <c r="F34" s="39">
        <f>IF('Technical Requirements'!F20="","",'Technical Requirements'!F20)</f>
        <v/>
      </c>
      <c r="G34" s="40">
        <f>IF('Technical Requirements'!G20="","",'Technical Requirements'!G20)</f>
        <v/>
      </c>
    </row>
    <row r="35">
      <c r="A35" s="38">
        <f>IF('Technical Requirements'!A21="","",'Technical Requirements'!A21)</f>
        <v/>
      </c>
      <c r="B35" s="38">
        <f>IF('Technical Requirements'!B21="","",'Technical Requirements'!B21)</f>
        <v/>
      </c>
      <c r="C35" s="38">
        <f>IF('Technical Requirements'!C21="","",'Technical Requirements'!C21)</f>
        <v/>
      </c>
      <c r="D35" s="38">
        <f>IF('Technical Requirements'!D21="","",'Technical Requirements'!D21)</f>
        <v/>
      </c>
      <c r="E35" s="38">
        <f>IF('Technical Requirements'!E21="","",'Technical Requirements'!E21)</f>
        <v/>
      </c>
      <c r="F35" s="39">
        <f>IF('Technical Requirements'!F21="","",'Technical Requirements'!F21)</f>
        <v/>
      </c>
      <c r="G35" s="38">
        <f>IF('Technical Requirements'!G21="","",'Technical Requirements'!G21)</f>
        <v/>
      </c>
    </row>
    <row r="36">
      <c r="A36" s="40">
        <f>IF('Security &amp; Compliance'!A2="","",'Security &amp; Compliance'!A2)</f>
        <v/>
      </c>
      <c r="B36" s="40">
        <f>IF('Security &amp; Compliance'!B2="","",'Security &amp; Compliance'!B2)</f>
        <v/>
      </c>
      <c r="C36" s="40">
        <f>IF('Security &amp; Compliance'!C2="","",'Security &amp; Compliance'!C2)</f>
        <v/>
      </c>
      <c r="D36" s="40">
        <f>IF('Security &amp; Compliance'!D2="","",'Security &amp; Compliance'!D2)</f>
        <v/>
      </c>
      <c r="E36" s="40">
        <f>IF('Security &amp; Compliance'!E2="","",'Security &amp; Compliance'!E2)</f>
        <v/>
      </c>
      <c r="F36" s="39">
        <f>IF('Security &amp; Compliance'!F2="","",'Security &amp; Compliance'!F2)</f>
        <v/>
      </c>
      <c r="G36" s="40">
        <f>IF('Security &amp; Compliance'!G2="","",'Security &amp; Compliance'!G2)</f>
        <v/>
      </c>
    </row>
    <row r="37">
      <c r="A37" s="38">
        <f>IF('Security &amp; Compliance'!A3="","",'Security &amp; Compliance'!A3)</f>
        <v/>
      </c>
      <c r="B37" s="38">
        <f>IF('Security &amp; Compliance'!B3="","",'Security &amp; Compliance'!B3)</f>
        <v/>
      </c>
      <c r="C37" s="38">
        <f>IF('Security &amp; Compliance'!C3="","",'Security &amp; Compliance'!C3)</f>
        <v/>
      </c>
      <c r="D37" s="38">
        <f>IF('Security &amp; Compliance'!D3="","",'Security &amp; Compliance'!D3)</f>
        <v/>
      </c>
      <c r="E37" s="38">
        <f>IF('Security &amp; Compliance'!E3="","",'Security &amp; Compliance'!E3)</f>
        <v/>
      </c>
      <c r="F37" s="39">
        <f>IF('Security &amp; Compliance'!F3="","",'Security &amp; Compliance'!F3)</f>
        <v/>
      </c>
      <c r="G37" s="38">
        <f>IF('Security &amp; Compliance'!G3="","",'Security &amp; Compliance'!G3)</f>
        <v/>
      </c>
    </row>
    <row r="38">
      <c r="A38" s="40">
        <f>IF('Security &amp; Compliance'!A4="","",'Security &amp; Compliance'!A4)</f>
        <v/>
      </c>
      <c r="B38" s="40">
        <f>IF('Security &amp; Compliance'!B4="","",'Security &amp; Compliance'!B4)</f>
        <v/>
      </c>
      <c r="C38" s="40">
        <f>IF('Security &amp; Compliance'!C4="","",'Security &amp; Compliance'!C4)</f>
        <v/>
      </c>
      <c r="D38" s="40">
        <f>IF('Security &amp; Compliance'!D4="","",'Security &amp; Compliance'!D4)</f>
        <v/>
      </c>
      <c r="E38" s="40">
        <f>IF('Security &amp; Compliance'!E4="","",'Security &amp; Compliance'!E4)</f>
        <v/>
      </c>
      <c r="F38" s="39">
        <f>IF('Security &amp; Compliance'!F4="","",'Security &amp; Compliance'!F4)</f>
        <v/>
      </c>
      <c r="G38" s="40">
        <f>IF('Security &amp; Compliance'!G4="","",'Security &amp; Compliance'!G4)</f>
        <v/>
      </c>
    </row>
    <row r="39">
      <c r="A39" s="38">
        <f>IF('Security &amp; Compliance'!A5="","",'Security &amp; Compliance'!A5)</f>
        <v/>
      </c>
      <c r="B39" s="38">
        <f>IF('Security &amp; Compliance'!B5="","",'Security &amp; Compliance'!B5)</f>
        <v/>
      </c>
      <c r="C39" s="38">
        <f>IF('Security &amp; Compliance'!C5="","",'Security &amp; Compliance'!C5)</f>
        <v/>
      </c>
      <c r="D39" s="38">
        <f>IF('Security &amp; Compliance'!D5="","",'Security &amp; Compliance'!D5)</f>
        <v/>
      </c>
      <c r="E39" s="38">
        <f>IF('Security &amp; Compliance'!E5="","",'Security &amp; Compliance'!E5)</f>
        <v/>
      </c>
      <c r="F39" s="39">
        <f>IF('Security &amp; Compliance'!F5="","",'Security &amp; Compliance'!F5)</f>
        <v/>
      </c>
      <c r="G39" s="38">
        <f>IF('Security &amp; Compliance'!G5="","",'Security &amp; Compliance'!G5)</f>
        <v/>
      </c>
    </row>
    <row r="40">
      <c r="A40" s="40">
        <f>IF('Security &amp; Compliance'!A6="","",'Security &amp; Compliance'!A6)</f>
        <v/>
      </c>
      <c r="B40" s="40">
        <f>IF('Security &amp; Compliance'!B6="","",'Security &amp; Compliance'!B6)</f>
        <v/>
      </c>
      <c r="C40" s="40">
        <f>IF('Security &amp; Compliance'!C6="","",'Security &amp; Compliance'!C6)</f>
        <v/>
      </c>
      <c r="D40" s="40">
        <f>IF('Security &amp; Compliance'!D6="","",'Security &amp; Compliance'!D6)</f>
        <v/>
      </c>
      <c r="E40" s="40">
        <f>IF('Security &amp; Compliance'!E6="","",'Security &amp; Compliance'!E6)</f>
        <v/>
      </c>
      <c r="F40" s="39">
        <f>IF('Security &amp; Compliance'!F6="","",'Security &amp; Compliance'!F6)</f>
        <v/>
      </c>
      <c r="G40" s="40">
        <f>IF('Security &amp; Compliance'!G6="","",'Security &amp; Compliance'!G6)</f>
        <v/>
      </c>
    </row>
    <row r="41">
      <c r="A41" s="38">
        <f>IF('Security &amp; Compliance'!A7="","",'Security &amp; Compliance'!A7)</f>
        <v/>
      </c>
      <c r="B41" s="38">
        <f>IF('Security &amp; Compliance'!B7="","",'Security &amp; Compliance'!B7)</f>
        <v/>
      </c>
      <c r="C41" s="38">
        <f>IF('Security &amp; Compliance'!C7="","",'Security &amp; Compliance'!C7)</f>
        <v/>
      </c>
      <c r="D41" s="38">
        <f>IF('Security &amp; Compliance'!D7="","",'Security &amp; Compliance'!D7)</f>
        <v/>
      </c>
      <c r="E41" s="38">
        <f>IF('Security &amp; Compliance'!E7="","",'Security &amp; Compliance'!E7)</f>
        <v/>
      </c>
      <c r="F41" s="39">
        <f>IF('Security &amp; Compliance'!F7="","",'Security &amp; Compliance'!F7)</f>
        <v/>
      </c>
      <c r="G41" s="38">
        <f>IF('Security &amp; Compliance'!G7="","",'Security &amp; Compliance'!G7)</f>
        <v/>
      </c>
    </row>
    <row r="42">
      <c r="A42" s="40">
        <f>IF('Security &amp; Compliance'!A8="","",'Security &amp; Compliance'!A8)</f>
        <v/>
      </c>
      <c r="B42" s="40">
        <f>IF('Security &amp; Compliance'!B8="","",'Security &amp; Compliance'!B8)</f>
        <v/>
      </c>
      <c r="C42" s="40">
        <f>IF('Security &amp; Compliance'!C8="","",'Security &amp; Compliance'!C8)</f>
        <v/>
      </c>
      <c r="D42" s="40">
        <f>IF('Security &amp; Compliance'!D8="","",'Security &amp; Compliance'!D8)</f>
        <v/>
      </c>
      <c r="E42" s="40">
        <f>IF('Security &amp; Compliance'!E8="","",'Security &amp; Compliance'!E8)</f>
        <v/>
      </c>
      <c r="F42" s="39">
        <f>IF('Security &amp; Compliance'!F8="","",'Security &amp; Compliance'!F8)</f>
        <v/>
      </c>
      <c r="G42" s="40">
        <f>IF('Security &amp; Compliance'!G8="","",'Security &amp; Compliance'!G8)</f>
        <v/>
      </c>
    </row>
    <row r="43">
      <c r="A43" s="38">
        <f>IF('Security &amp; Compliance'!A9="","",'Security &amp; Compliance'!A9)</f>
        <v/>
      </c>
      <c r="B43" s="38">
        <f>IF('Security &amp; Compliance'!B9="","",'Security &amp; Compliance'!B9)</f>
        <v/>
      </c>
      <c r="C43" s="38">
        <f>IF('Security &amp; Compliance'!C9="","",'Security &amp; Compliance'!C9)</f>
        <v/>
      </c>
      <c r="D43" s="38">
        <f>IF('Security &amp; Compliance'!D9="","",'Security &amp; Compliance'!D9)</f>
        <v/>
      </c>
      <c r="E43" s="38">
        <f>IF('Security &amp; Compliance'!E9="","",'Security &amp; Compliance'!E9)</f>
        <v/>
      </c>
      <c r="F43" s="39">
        <f>IF('Security &amp; Compliance'!F9="","",'Security &amp; Compliance'!F9)</f>
        <v/>
      </c>
      <c r="G43" s="38">
        <f>IF('Security &amp; Compliance'!G9="","",'Security &amp; Compliance'!G9)</f>
        <v/>
      </c>
    </row>
    <row r="44">
      <c r="A44" s="40">
        <f>IF('Security &amp; Compliance'!A10="","",'Security &amp; Compliance'!A10)</f>
        <v/>
      </c>
      <c r="B44" s="40">
        <f>IF('Security &amp; Compliance'!B10="","",'Security &amp; Compliance'!B10)</f>
        <v/>
      </c>
      <c r="C44" s="40">
        <f>IF('Security &amp; Compliance'!C10="","",'Security &amp; Compliance'!C10)</f>
        <v/>
      </c>
      <c r="D44" s="40">
        <f>IF('Security &amp; Compliance'!D10="","",'Security &amp; Compliance'!D10)</f>
        <v/>
      </c>
      <c r="E44" s="40">
        <f>IF('Security &amp; Compliance'!E10="","",'Security &amp; Compliance'!E10)</f>
        <v/>
      </c>
      <c r="F44" s="39">
        <f>IF('Security &amp; Compliance'!F10="","",'Security &amp; Compliance'!F10)</f>
        <v/>
      </c>
      <c r="G44" s="40">
        <f>IF('Security &amp; Compliance'!G10="","",'Security &amp; Compliance'!G10)</f>
        <v/>
      </c>
    </row>
    <row r="45">
      <c r="A45" s="38">
        <f>IF('Operations &amp; Support'!A2="","",'Operations &amp; Support'!A2)</f>
        <v/>
      </c>
      <c r="B45" s="38">
        <f>IF('Operations &amp; Support'!B2="","",'Operations &amp; Support'!B2)</f>
        <v/>
      </c>
      <c r="C45" s="38">
        <f>IF('Operations &amp; Support'!C2="","",'Operations &amp; Support'!C2)</f>
        <v/>
      </c>
      <c r="D45" s="38">
        <f>IF('Operations &amp; Support'!D2="","",'Operations &amp; Support'!D2)</f>
        <v/>
      </c>
      <c r="E45" s="38">
        <f>IF('Operations &amp; Support'!E2="","",'Operations &amp; Support'!E2)</f>
        <v/>
      </c>
      <c r="F45" s="39">
        <f>IF('Operations &amp; Support'!F2="","",'Operations &amp; Support'!F2)</f>
        <v/>
      </c>
      <c r="G45" s="38">
        <f>IF('Operations &amp; Support'!G2="","",'Operations &amp; Support'!G2)</f>
        <v/>
      </c>
    </row>
    <row r="46">
      <c r="A46" s="40">
        <f>IF('Operations &amp; Support'!A3="","",'Operations &amp; Support'!A3)</f>
        <v/>
      </c>
      <c r="B46" s="40">
        <f>IF('Operations &amp; Support'!B3="","",'Operations &amp; Support'!B3)</f>
        <v/>
      </c>
      <c r="C46" s="40">
        <f>IF('Operations &amp; Support'!C3="","",'Operations &amp; Support'!C3)</f>
        <v/>
      </c>
      <c r="D46" s="40">
        <f>IF('Operations &amp; Support'!D3="","",'Operations &amp; Support'!D3)</f>
        <v/>
      </c>
      <c r="E46" s="40">
        <f>IF('Operations &amp; Support'!E3="","",'Operations &amp; Support'!E3)</f>
        <v/>
      </c>
      <c r="F46" s="39">
        <f>IF('Operations &amp; Support'!F3="","",'Operations &amp; Support'!F3)</f>
        <v/>
      </c>
      <c r="G46" s="40">
        <f>IF('Operations &amp; Support'!G3="","",'Operations &amp; Support'!G3)</f>
        <v/>
      </c>
    </row>
    <row r="47">
      <c r="A47" s="38">
        <f>IF('Operations &amp; Support'!A4="","",'Operations &amp; Support'!A4)</f>
        <v/>
      </c>
      <c r="B47" s="38">
        <f>IF('Operations &amp; Support'!B4="","",'Operations &amp; Support'!B4)</f>
        <v/>
      </c>
      <c r="C47" s="38">
        <f>IF('Operations &amp; Support'!C4="","",'Operations &amp; Support'!C4)</f>
        <v/>
      </c>
      <c r="D47" s="38">
        <f>IF('Operations &amp; Support'!D4="","",'Operations &amp; Support'!D4)</f>
        <v/>
      </c>
      <c r="E47" s="38">
        <f>IF('Operations &amp; Support'!E4="","",'Operations &amp; Support'!E4)</f>
        <v/>
      </c>
      <c r="F47" s="39">
        <f>IF('Operations &amp; Support'!F4="","",'Operations &amp; Support'!F4)</f>
        <v/>
      </c>
      <c r="G47" s="38">
        <f>IF('Operations &amp; Support'!G4="","",'Operations &amp; Support'!G4)</f>
        <v/>
      </c>
    </row>
    <row r="48">
      <c r="A48" s="40">
        <f>IF('Operations &amp; Support'!A5="","",'Operations &amp; Support'!A5)</f>
        <v/>
      </c>
      <c r="B48" s="40">
        <f>IF('Operations &amp; Support'!B5="","",'Operations &amp; Support'!B5)</f>
        <v/>
      </c>
      <c r="C48" s="40">
        <f>IF('Operations &amp; Support'!C5="","",'Operations &amp; Support'!C5)</f>
        <v/>
      </c>
      <c r="D48" s="40">
        <f>IF('Operations &amp; Support'!D5="","",'Operations &amp; Support'!D5)</f>
        <v/>
      </c>
      <c r="E48" s="40">
        <f>IF('Operations &amp; Support'!E5="","",'Operations &amp; Support'!E5)</f>
        <v/>
      </c>
      <c r="F48" s="39">
        <f>IF('Operations &amp; Support'!F5="","",'Operations &amp; Support'!F5)</f>
        <v/>
      </c>
      <c r="G48" s="40">
        <f>IF('Operations &amp; Support'!G5="","",'Operations &amp; Support'!G5)</f>
        <v/>
      </c>
    </row>
    <row r="49">
      <c r="A49" s="38">
        <f>IF('Operations &amp; Support'!A6="","",'Operations &amp; Support'!A6)</f>
        <v/>
      </c>
      <c r="B49" s="38">
        <f>IF('Operations &amp; Support'!B6="","",'Operations &amp; Support'!B6)</f>
        <v/>
      </c>
      <c r="C49" s="38">
        <f>IF('Operations &amp; Support'!C6="","",'Operations &amp; Support'!C6)</f>
        <v/>
      </c>
      <c r="D49" s="38">
        <f>IF('Operations &amp; Support'!D6="","",'Operations &amp; Support'!D6)</f>
        <v/>
      </c>
      <c r="E49" s="38">
        <f>IF('Operations &amp; Support'!E6="","",'Operations &amp; Support'!E6)</f>
        <v/>
      </c>
      <c r="F49" s="39">
        <f>IF('Operations &amp; Support'!F6="","",'Operations &amp; Support'!F6)</f>
        <v/>
      </c>
      <c r="G49" s="38">
        <f>IF('Operations &amp; Support'!G6="","",'Operations &amp; Support'!G6)</f>
        <v/>
      </c>
    </row>
    <row r="50">
      <c r="A50" s="40">
        <f>IF('Operations &amp; Support'!A7="","",'Operations &amp; Support'!A7)</f>
        <v/>
      </c>
      <c r="B50" s="40">
        <f>IF('Operations &amp; Support'!B7="","",'Operations &amp; Support'!B7)</f>
        <v/>
      </c>
      <c r="C50" s="40">
        <f>IF('Operations &amp; Support'!C7="","",'Operations &amp; Support'!C7)</f>
        <v/>
      </c>
      <c r="D50" s="40">
        <f>IF('Operations &amp; Support'!D7="","",'Operations &amp; Support'!D7)</f>
        <v/>
      </c>
      <c r="E50" s="40">
        <f>IF('Operations &amp; Support'!E7="","",'Operations &amp; Support'!E7)</f>
        <v/>
      </c>
      <c r="F50" s="39">
        <f>IF('Operations &amp; Support'!F7="","",'Operations &amp; Support'!F7)</f>
        <v/>
      </c>
      <c r="G50" s="40">
        <f>IF('Operations &amp; Support'!G7="","",'Operations &amp; Support'!G7)</f>
        <v/>
      </c>
    </row>
    <row r="51">
      <c r="A51" s="38">
        <f>IF('Operations &amp; Support'!A8="","",'Operations &amp; Support'!A8)</f>
        <v/>
      </c>
      <c r="B51" s="38">
        <f>IF('Operations &amp; Support'!B8="","",'Operations &amp; Support'!B8)</f>
        <v/>
      </c>
      <c r="C51" s="38">
        <f>IF('Operations &amp; Support'!C8="","",'Operations &amp; Support'!C8)</f>
        <v/>
      </c>
      <c r="D51" s="38">
        <f>IF('Operations &amp; Support'!D8="","",'Operations &amp; Support'!D8)</f>
        <v/>
      </c>
      <c r="E51" s="38">
        <f>IF('Operations &amp; Support'!E8="","",'Operations &amp; Support'!E8)</f>
        <v/>
      </c>
      <c r="F51" s="39">
        <f>IF('Operations &amp; Support'!F8="","",'Operations &amp; Support'!F8)</f>
        <v/>
      </c>
      <c r="G51" s="38">
        <f>IF('Operations &amp; Support'!G8="","",'Operations &amp; Support'!G8)</f>
        <v/>
      </c>
    </row>
    <row r="52">
      <c r="A52" s="40">
        <f>IF('Operations &amp; Support'!A9="","",'Operations &amp; Support'!A9)</f>
        <v/>
      </c>
      <c r="B52" s="40">
        <f>IF('Operations &amp; Support'!B9="","",'Operations &amp; Support'!B9)</f>
        <v/>
      </c>
      <c r="C52" s="40">
        <f>IF('Operations &amp; Support'!C9="","",'Operations &amp; Support'!C9)</f>
        <v/>
      </c>
      <c r="D52" s="40">
        <f>IF('Operations &amp; Support'!D9="","",'Operations &amp; Support'!D9)</f>
        <v/>
      </c>
      <c r="E52" s="40">
        <f>IF('Operations &amp; Support'!E9="","",'Operations &amp; Support'!E9)</f>
        <v/>
      </c>
      <c r="F52" s="39">
        <f>IF('Operations &amp; Support'!F9="","",'Operations &amp; Support'!F9)</f>
        <v/>
      </c>
      <c r="G52" s="40">
        <f>IF('Operations &amp; Support'!G9="","",'Operations &amp; Support'!G9)</f>
        <v/>
      </c>
    </row>
    <row r="53">
      <c r="A53" s="38">
        <f>IF('Implementation Planning'!A2="","",'Implementation Planning'!A2)</f>
        <v/>
      </c>
      <c r="B53" s="38">
        <f>IF('Implementation Planning'!B2="","",'Implementation Planning'!B2)</f>
        <v/>
      </c>
      <c r="C53" s="38">
        <f>IF('Implementation Planning'!C2="","",'Implementation Planning'!C2)</f>
        <v/>
      </c>
      <c r="D53" s="38">
        <f>IF('Implementation Planning'!D2="","",'Implementation Planning'!D2)</f>
        <v/>
      </c>
      <c r="E53" s="38">
        <f>IF('Implementation Planning'!E2="","",'Implementation Planning'!E2)</f>
        <v/>
      </c>
      <c r="F53" s="39">
        <f>IF('Implementation Planning'!F2="","",'Implementation Planning'!F2)</f>
        <v/>
      </c>
      <c r="G53" s="38">
        <f>IF('Implementation Planning'!G2="","",'Implementation Planning'!G2)</f>
        <v/>
      </c>
    </row>
    <row r="54">
      <c r="A54" s="40">
        <f>IF('Implementation Planning'!A3="","",'Implementation Planning'!A3)</f>
        <v/>
      </c>
      <c r="B54" s="40">
        <f>IF('Implementation Planning'!B3="","",'Implementation Planning'!B3)</f>
        <v/>
      </c>
      <c r="C54" s="40">
        <f>IF('Implementation Planning'!C3="","",'Implementation Planning'!C3)</f>
        <v/>
      </c>
      <c r="D54" s="40">
        <f>IF('Implementation Planning'!D3="","",'Implementation Planning'!D3)</f>
        <v/>
      </c>
      <c r="E54" s="40">
        <f>IF('Implementation Planning'!E3="","",'Implementation Planning'!E3)</f>
        <v/>
      </c>
      <c r="F54" s="39">
        <f>IF('Implementation Planning'!F3="","",'Implementation Planning'!F3)</f>
        <v/>
      </c>
      <c r="G54" s="40">
        <f>IF('Implementation Planning'!G3="","",'Implementation Planning'!G3)</f>
        <v/>
      </c>
    </row>
    <row r="55">
      <c r="A55" s="38">
        <f>IF('Implementation Planning'!A4="","",'Implementation Planning'!A4)</f>
        <v/>
      </c>
      <c r="B55" s="38">
        <f>IF('Implementation Planning'!B4="","",'Implementation Planning'!B4)</f>
        <v/>
      </c>
      <c r="C55" s="38">
        <f>IF('Implementation Planning'!C4="","",'Implementation Planning'!C4)</f>
        <v/>
      </c>
      <c r="D55" s="38">
        <f>IF('Implementation Planning'!D4="","",'Implementation Planning'!D4)</f>
        <v/>
      </c>
      <c r="E55" s="38">
        <f>IF('Implementation Planning'!E4="","",'Implementation Planning'!E4)</f>
        <v/>
      </c>
      <c r="F55" s="39">
        <f>IF('Implementation Planning'!F4="","",'Implementation Planning'!F4)</f>
        <v/>
      </c>
      <c r="G55" s="38">
        <f>IF('Implementation Planning'!G4="","",'Implementation Planning'!G4)</f>
        <v/>
      </c>
    </row>
    <row r="56">
      <c r="A56" s="40">
        <f>IF('Implementation Planning'!A5="","",'Implementation Planning'!A5)</f>
        <v/>
      </c>
      <c r="B56" s="40">
        <f>IF('Implementation Planning'!B5="","",'Implementation Planning'!B5)</f>
        <v/>
      </c>
      <c r="C56" s="40">
        <f>IF('Implementation Planning'!C5="","",'Implementation Planning'!C5)</f>
        <v/>
      </c>
      <c r="D56" s="40">
        <f>IF('Implementation Planning'!D5="","",'Implementation Planning'!D5)</f>
        <v/>
      </c>
      <c r="E56" s="40">
        <f>IF('Implementation Planning'!E5="","",'Implementation Planning'!E5)</f>
        <v/>
      </c>
      <c r="F56" s="39">
        <f>IF('Implementation Planning'!F5="","",'Implementation Planning'!F5)</f>
        <v/>
      </c>
      <c r="G56" s="40">
        <f>IF('Implementation Planning'!G5="","",'Implementation Planning'!G5)</f>
        <v/>
      </c>
    </row>
    <row r="57">
      <c r="A57" s="38">
        <f>IF('Implementation Planning'!A6="","",'Implementation Planning'!A6)</f>
        <v/>
      </c>
      <c r="B57" s="38">
        <f>IF('Implementation Planning'!B6="","",'Implementation Planning'!B6)</f>
        <v/>
      </c>
      <c r="C57" s="38">
        <f>IF('Implementation Planning'!C6="","",'Implementation Planning'!C6)</f>
        <v/>
      </c>
      <c r="D57" s="38">
        <f>IF('Implementation Planning'!D6="","",'Implementation Planning'!D6)</f>
        <v/>
      </c>
      <c r="E57" s="38">
        <f>IF('Implementation Planning'!E6="","",'Implementation Planning'!E6)</f>
        <v/>
      </c>
      <c r="F57" s="39">
        <f>IF('Implementation Planning'!F6="","",'Implementation Planning'!F6)</f>
        <v/>
      </c>
      <c r="G57" s="38">
        <f>IF('Implementation Planning'!G6="","",'Implementation Planning'!G6)</f>
        <v/>
      </c>
    </row>
    <row r="58">
      <c r="A58" s="40">
        <f>IF('Implementation Planning'!A7="","",'Implementation Planning'!A7)</f>
        <v/>
      </c>
      <c r="B58" s="40">
        <f>IF('Implementation Planning'!B7="","",'Implementation Planning'!B7)</f>
        <v/>
      </c>
      <c r="C58" s="40">
        <f>IF('Implementation Planning'!C7="","",'Implementation Planning'!C7)</f>
        <v/>
      </c>
      <c r="D58" s="40">
        <f>IF('Implementation Planning'!D7="","",'Implementation Planning'!D7)</f>
        <v/>
      </c>
      <c r="E58" s="40">
        <f>IF('Implementation Planning'!E7="","",'Implementation Planning'!E7)</f>
        <v/>
      </c>
      <c r="F58" s="39">
        <f>IF('Implementation Planning'!F7="","",'Implementation Planning'!F7)</f>
        <v/>
      </c>
      <c r="G58" s="40">
        <f>IF('Implementation Planning'!G7="","",'Implementation Planning'!G7)</f>
        <v/>
      </c>
    </row>
    <row r="59">
      <c r="A59" s="38">
        <f>IF('Implementation Planning'!A8="","",'Implementation Planning'!A8)</f>
        <v/>
      </c>
      <c r="B59" s="38">
        <f>IF('Implementation Planning'!B8="","",'Implementation Planning'!B8)</f>
        <v/>
      </c>
      <c r="C59" s="38">
        <f>IF('Implementation Planning'!C8="","",'Implementation Planning'!C8)</f>
        <v/>
      </c>
      <c r="D59" s="38">
        <f>IF('Implementation Planning'!D8="","",'Implementation Planning'!D8)</f>
        <v/>
      </c>
      <c r="E59" s="38">
        <f>IF('Implementation Planning'!E8="","",'Implementation Planning'!E8)</f>
        <v/>
      </c>
      <c r="F59" s="39">
        <f>IF('Implementation Planning'!F8="","",'Implementation Planning'!F8)</f>
        <v/>
      </c>
      <c r="G59" s="38">
        <f>IF('Implementation Planning'!G8="","",'Implementation Planning'!G8)</f>
        <v/>
      </c>
    </row>
    <row r="60">
      <c r="A60" s="40">
        <f>IF('Implementation Planning'!A9="","",'Implementation Planning'!A9)</f>
        <v/>
      </c>
      <c r="B60" s="40">
        <f>IF('Implementation Planning'!B9="","",'Implementation Planning'!B9)</f>
        <v/>
      </c>
      <c r="C60" s="40">
        <f>IF('Implementation Planning'!C9="","",'Implementation Planning'!C9)</f>
        <v/>
      </c>
      <c r="D60" s="40">
        <f>IF('Implementation Planning'!D9="","",'Implementation Planning'!D9)</f>
        <v/>
      </c>
      <c r="E60" s="40">
        <f>IF('Implementation Planning'!E9="","",'Implementation Planning'!E9)</f>
        <v/>
      </c>
      <c r="F60" s="39">
        <f>IF('Implementation Planning'!F9="","",'Implementation Planning'!F9)</f>
        <v/>
      </c>
      <c r="G60" s="40">
        <f>IF('Implementation Planning'!G9="","",'Implementation Planning'!G9)</f>
        <v/>
      </c>
    </row>
    <row r="61">
      <c r="A61" s="38">
        <f>IF('Implementation Planning'!A10="","",'Implementation Planning'!A10)</f>
        <v/>
      </c>
      <c r="B61" s="38">
        <f>IF('Implementation Planning'!B10="","",'Implementation Planning'!B10)</f>
        <v/>
      </c>
      <c r="C61" s="38">
        <f>IF('Implementation Planning'!C10="","",'Implementation Planning'!C10)</f>
        <v/>
      </c>
      <c r="D61" s="38">
        <f>IF('Implementation Planning'!D10="","",'Implementation Planning'!D10)</f>
        <v/>
      </c>
      <c r="E61" s="38">
        <f>IF('Implementation Planning'!E10="","",'Implementation Planning'!E10)</f>
        <v/>
      </c>
      <c r="F61" s="39">
        <f>IF('Implementation Planning'!F10="","",'Implementation Planning'!F10)</f>
        <v/>
      </c>
      <c r="G61" s="38">
        <f>IF('Implementation Planning'!G10="","",'Implementation Planning'!G10)</f>
        <v/>
      </c>
    </row>
    <row r="62">
      <c r="A62" s="40">
        <f>IF('Implementation Planning'!A11="","",'Implementation Planning'!A11)</f>
        <v/>
      </c>
      <c r="B62" s="40">
        <f>IF('Implementation Planning'!B11="","",'Implementation Planning'!B11)</f>
        <v/>
      </c>
      <c r="C62" s="40">
        <f>IF('Implementation Planning'!C11="","",'Implementation Planning'!C11)</f>
        <v/>
      </c>
      <c r="D62" s="40">
        <f>IF('Implementation Planning'!D11="","",'Implementation Planning'!D11)</f>
        <v/>
      </c>
      <c r="E62" s="40">
        <f>IF('Implementation Planning'!E11="","",'Implementation Planning'!E11)</f>
        <v/>
      </c>
      <c r="F62" s="39">
        <f>IF('Implementation Planning'!F11="","",'Implementation Planning'!F11)</f>
        <v/>
      </c>
      <c r="G62" s="40">
        <f>IF('Implementation Planning'!G11="","",'Implementation Planning'!G11)</f>
        <v/>
      </c>
    </row>
    <row r="63">
      <c r="A63" s="38">
        <f>IF('Risk &amp; Constraints'!A2="","",'Risk &amp; Constraints'!A2)</f>
        <v/>
      </c>
      <c r="B63" s="38">
        <f>IF('Risk &amp; Constraints'!B2="","",'Risk &amp; Constraints'!B2)</f>
        <v/>
      </c>
      <c r="C63" s="38">
        <f>IF('Risk &amp; Constraints'!C2="","",'Risk &amp; Constraints'!C2)</f>
        <v/>
      </c>
      <c r="D63" s="38">
        <f>IF('Risk &amp; Constraints'!D2="","",'Risk &amp; Constraints'!D2)</f>
        <v/>
      </c>
      <c r="E63" s="38">
        <f>IF('Risk &amp; Constraints'!E2="","",'Risk &amp; Constraints'!E2)</f>
        <v/>
      </c>
      <c r="F63" s="39">
        <f>IF('Risk &amp; Constraints'!F2="","",'Risk &amp; Constraints'!F2)</f>
        <v/>
      </c>
      <c r="G63" s="38">
        <f>IF('Risk &amp; Constraints'!G2="","",'Risk &amp; Constraints'!G2)</f>
        <v/>
      </c>
    </row>
    <row r="64">
      <c r="A64" s="40">
        <f>IF('Risk &amp; Constraints'!A3="","",'Risk &amp; Constraints'!A3)</f>
        <v/>
      </c>
      <c r="B64" s="40">
        <f>IF('Risk &amp; Constraints'!B3="","",'Risk &amp; Constraints'!B3)</f>
        <v/>
      </c>
      <c r="C64" s="40">
        <f>IF('Risk &amp; Constraints'!C3="","",'Risk &amp; Constraints'!C3)</f>
        <v/>
      </c>
      <c r="D64" s="40">
        <f>IF('Risk &amp; Constraints'!D3="","",'Risk &amp; Constraints'!D3)</f>
        <v/>
      </c>
      <c r="E64" s="40">
        <f>IF('Risk &amp; Constraints'!E3="","",'Risk &amp; Constraints'!E3)</f>
        <v/>
      </c>
      <c r="F64" s="39">
        <f>IF('Risk &amp; Constraints'!F3="","",'Risk &amp; Constraints'!F3)</f>
        <v/>
      </c>
      <c r="G64" s="40">
        <f>IF('Risk &amp; Constraints'!G3="","",'Risk &amp; Constraints'!G3)</f>
        <v/>
      </c>
    </row>
    <row r="65">
      <c r="A65" s="38">
        <f>IF('Risk &amp; Constraints'!A4="","",'Risk &amp; Constraints'!A4)</f>
        <v/>
      </c>
      <c r="B65" s="38">
        <f>IF('Risk &amp; Constraints'!B4="","",'Risk &amp; Constraints'!B4)</f>
        <v/>
      </c>
      <c r="C65" s="38">
        <f>IF('Risk &amp; Constraints'!C4="","",'Risk &amp; Constraints'!C4)</f>
        <v/>
      </c>
      <c r="D65" s="38">
        <f>IF('Risk &amp; Constraints'!D4="","",'Risk &amp; Constraints'!D4)</f>
        <v/>
      </c>
      <c r="E65" s="38">
        <f>IF('Risk &amp; Constraints'!E4="","",'Risk &amp; Constraints'!E4)</f>
        <v/>
      </c>
      <c r="F65" s="39">
        <f>IF('Risk &amp; Constraints'!F4="","",'Risk &amp; Constraints'!F4)</f>
        <v/>
      </c>
      <c r="G65" s="38">
        <f>IF('Risk &amp; Constraints'!G4="","",'Risk &amp; Constraints'!G4)</f>
        <v/>
      </c>
    </row>
    <row r="66">
      <c r="A66" s="40">
        <f>IF('Risk &amp; Constraints'!A5="","",'Risk &amp; Constraints'!A5)</f>
        <v/>
      </c>
      <c r="B66" s="40">
        <f>IF('Risk &amp; Constraints'!B5="","",'Risk &amp; Constraints'!B5)</f>
        <v/>
      </c>
      <c r="C66" s="40">
        <f>IF('Risk &amp; Constraints'!C5="","",'Risk &amp; Constraints'!C5)</f>
        <v/>
      </c>
      <c r="D66" s="40">
        <f>IF('Risk &amp; Constraints'!D5="","",'Risk &amp; Constraints'!D5)</f>
        <v/>
      </c>
      <c r="E66" s="40">
        <f>IF('Risk &amp; Constraints'!E5="","",'Risk &amp; Constraints'!E5)</f>
        <v/>
      </c>
      <c r="F66" s="39">
        <f>IF('Risk &amp; Constraints'!F5="","",'Risk &amp; Constraints'!F5)</f>
        <v/>
      </c>
      <c r="G66" s="40">
        <f>IF('Risk &amp; Constraints'!G5="","",'Risk &amp; Constraints'!G5)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7" t="inlineStr">
        <is>
          <t>Question ID</t>
        </is>
      </c>
      <c r="B1" s="37" t="inlineStr">
        <is>
          <t>Category</t>
        </is>
      </c>
      <c r="C1" s="37" t="inlineStr">
        <is>
          <t>Sub-Category</t>
        </is>
      </c>
      <c r="D1" s="37" t="inlineStr">
        <is>
          <t>Question</t>
        </is>
      </c>
      <c r="E1" s="37" t="inlineStr">
        <is>
          <t>Guidance</t>
        </is>
      </c>
      <c r="F1" s="37" t="inlineStr">
        <is>
          <t>Customer Response</t>
        </is>
      </c>
      <c r="G1" s="37" t="inlineStr">
        <is>
          <t>Notes</t>
        </is>
      </c>
    </row>
    <row r="2">
      <c r="A2" s="40" t="inlineStr">
        <is>
          <t>BUS-001</t>
        </is>
      </c>
      <c r="B2" s="40" t="inlineStr">
        <is>
          <t>Business Requirements</t>
        </is>
      </c>
      <c r="C2" s="40" t="inlineStr">
        <is>
          <t>Business Drivers</t>
        </is>
      </c>
      <c r="D2" s="40" t="inlineStr">
        <is>
          <t>What are the primary business challenges driving the AI recommendation initiative?</t>
        </is>
      </c>
      <c r="E2" s="40" t="inlineStr">
        <is>
          <t>Describe the top pain points — e.g., poor content discovery, high churn, low engagement with new uploads</t>
        </is>
      </c>
      <c r="F2" s="39" t="n"/>
      <c r="G2" s="40" t="inlineStr">
        <is>
          <t>Understanding root-cause drivers ensures the technical solution targets real business outcomes</t>
        </is>
      </c>
    </row>
    <row r="3">
      <c r="A3" s="38" t="inlineStr">
        <is>
          <t>BUS-002</t>
        </is>
      </c>
      <c r="B3" s="38" t="inlineStr">
        <is>
          <t>Business Requirements</t>
        </is>
      </c>
      <c r="C3" s="38" t="inlineStr">
        <is>
          <t>Business Drivers</t>
        </is>
      </c>
      <c r="D3" s="38" t="inlineStr">
        <is>
          <t>How are users currently discovering new songs or podcasts within the ANP Streaming app?</t>
        </is>
      </c>
      <c r="E3" s="38" t="inlineStr">
        <is>
          <t>Manual search, editor-curated playlists, word-of-mouth, social sharing, etc.</t>
        </is>
      </c>
      <c r="F3" s="39" t="n"/>
      <c r="G3" s="38" t="inlineStr">
        <is>
          <t>Establishes the baseline experience the AI solution must improve upon</t>
        </is>
      </c>
    </row>
    <row r="4">
      <c r="A4" s="40" t="inlineStr">
        <is>
          <t>BUS-003</t>
        </is>
      </c>
      <c r="B4" s="40" t="inlineStr">
        <is>
          <t>Business Requirements</t>
        </is>
      </c>
      <c r="C4" s="40" t="inlineStr">
        <is>
          <t>Success Criteria</t>
        </is>
      </c>
      <c r="D4" s="40" t="inlineStr">
        <is>
          <t>What measurable outcomes define success for this project?</t>
        </is>
      </c>
      <c r="E4" s="40" t="inlineStr">
        <is>
          <t>Examples: 20% increase in playlist engagement, 50% reduction in manual tagging time, improved user retention rate</t>
        </is>
      </c>
      <c r="F4" s="39" t="n"/>
      <c r="G4" s="40" t="inlineStr">
        <is>
          <t>Critical for scoping the solution and evaluating post-launch performance</t>
        </is>
      </c>
    </row>
    <row r="5">
      <c r="A5" s="38" t="inlineStr">
        <is>
          <t>BUS-004</t>
        </is>
      </c>
      <c r="B5" s="38" t="inlineStr">
        <is>
          <t>Business Requirements</t>
        </is>
      </c>
      <c r="C5" s="38" t="inlineStr">
        <is>
          <t>Success Criteria</t>
        </is>
      </c>
      <c r="D5" s="38" t="inlineStr">
        <is>
          <t>How will you measure the quality of mood classification applied to new uploads?</t>
        </is>
      </c>
      <c r="E5" s="38" t="inlineStr">
        <is>
          <t>Accuracy threshold, manual spot-check cadence, user feedback loop, A/B testing</t>
        </is>
      </c>
      <c r="F5" s="39" t="n"/>
      <c r="G5" s="38" t="inlineStr">
        <is>
          <t>Drives model evaluation strategy and any human-review workflow requirements</t>
        </is>
      </c>
    </row>
    <row r="6">
      <c r="A6" s="40" t="inlineStr">
        <is>
          <t>BUS-005</t>
        </is>
      </c>
      <c r="B6" s="40" t="inlineStr">
        <is>
          <t>Business Requirements</t>
        </is>
      </c>
      <c r="C6" s="40" t="inlineStr">
        <is>
          <t>Timeline</t>
        </is>
      </c>
      <c r="D6" s="40" t="inlineStr">
        <is>
          <t>Is the 4–6 week engagement timeline fixed or flexible?</t>
        </is>
      </c>
      <c r="E6" s="40" t="inlineStr">
        <is>
          <t>Identify any hard deadlines — e.g., product launch date, marketing campaign, investor demo</t>
        </is>
      </c>
      <c r="F6" s="39" t="n"/>
      <c r="G6" s="40" t="inlineStr">
        <is>
          <t>Tight timelines may require scope reduction or additional resources</t>
        </is>
      </c>
    </row>
    <row r="7">
      <c r="A7" s="38" t="inlineStr">
        <is>
          <t>BUS-006</t>
        </is>
      </c>
      <c r="B7" s="38" t="inlineStr">
        <is>
          <t>Business Requirements</t>
        </is>
      </c>
      <c r="C7" s="38" t="inlineStr">
        <is>
          <t>Timeline</t>
        </is>
      </c>
      <c r="D7" s="38" t="inlineStr">
        <is>
          <t>What are the three review milestones and expected feedback turnaround?</t>
        </is>
      </c>
      <c r="E7" s="38" t="inlineStr">
        <is>
          <t>Confirm the three-phase approach: discovery/architecture, build, integration/handoff</t>
        </is>
      </c>
      <c r="F7" s="39" t="n"/>
      <c r="G7" s="38" t="inlineStr">
        <is>
          <t>Validates phased delivery plan and aligns expectations on review cycles</t>
        </is>
      </c>
    </row>
    <row r="8">
      <c r="A8" s="40" t="inlineStr">
        <is>
          <t>BUS-007</t>
        </is>
      </c>
      <c r="B8" s="40" t="inlineStr">
        <is>
          <t>Business Requirements</t>
        </is>
      </c>
      <c r="C8" s="40" t="inlineStr">
        <is>
          <t>Budget</t>
        </is>
      </c>
      <c r="D8" s="40" t="inlineStr">
        <is>
          <t>Is the ~$15,000 professional-services budget fixed or is there flexibility for scope changes?</t>
        </is>
      </c>
      <c r="E8" s="40" t="inlineStr">
        <is>
          <t>Clarify approval process for change orders and budget authority</t>
        </is>
      </c>
      <c r="F8" s="39" t="n"/>
      <c r="G8" s="40" t="inlineStr">
        <is>
          <t>Scope management and change-order planning</t>
        </is>
      </c>
    </row>
    <row r="9">
      <c r="A9" s="38" t="inlineStr">
        <is>
          <t>BUS-008</t>
        </is>
      </c>
      <c r="B9" s="38" t="inlineStr">
        <is>
          <t>Business Requirements</t>
        </is>
      </c>
      <c r="C9" s="38" t="inlineStr">
        <is>
          <t>Budget</t>
        </is>
      </c>
      <c r="D9" s="38" t="inlineStr">
        <is>
          <t>Are there any active AWS funding programs (MAP credits, APN credits, Activate credits) that should be applied to this engagement?</t>
        </is>
      </c>
      <c r="E9" s="38" t="inlineStr">
        <is>
          <t>Check AWS Migration Acceleration Program or Startup credits available to ANP</t>
        </is>
      </c>
      <c r="F9" s="39" t="n"/>
      <c r="G9" s="38" t="inlineStr">
        <is>
          <t>Could offset AWS build and ongoing infrastructure costs significantly</t>
        </is>
      </c>
    </row>
    <row r="10">
      <c r="A10" s="40" t="inlineStr">
        <is>
          <t>BUS-009</t>
        </is>
      </c>
      <c r="B10" s="40" t="inlineStr">
        <is>
          <t>Business Requirements</t>
        </is>
      </c>
      <c r="C10" s="40" t="inlineStr">
        <is>
          <t>Stakeholders</t>
        </is>
      </c>
      <c r="D10" s="40" t="inlineStr">
        <is>
          <t>Who are the key stakeholders who must approve architecture decisions and deliverables?</t>
        </is>
      </c>
      <c r="E10" s="40" t="inlineStr">
        <is>
          <t>Confirm Lilly Goyah as executive sponsor; identify any technical approvers or board members</t>
        </is>
      </c>
      <c r="F10" s="39" t="n"/>
      <c r="G10" s="40" t="inlineStr">
        <is>
          <t>Prevents last-minute escalations and approval delays</t>
        </is>
      </c>
    </row>
    <row r="11">
      <c r="A11" s="38" t="inlineStr">
        <is>
          <t>BUS-010</t>
        </is>
      </c>
      <c r="B11" s="38" t="inlineStr">
        <is>
          <t>Business Requirements</t>
        </is>
      </c>
      <c r="C11" s="38" t="inlineStr">
        <is>
          <t>Stakeholders</t>
        </is>
      </c>
      <c r="D11" s="38" t="inlineStr">
        <is>
          <t>What is the involvement level of ANP's technical point of contact during the engagement?</t>
        </is>
      </c>
      <c r="E11" s="38" t="inlineStr">
        <is>
          <t>Hours per week available, responsibilities (data access, API testing, catalog export)</t>
        </is>
      </c>
      <c r="F11" s="39" t="n"/>
      <c r="G11" s="38" t="inlineStr">
        <is>
          <t>Determines how much ANP-side effort is needed and where blockers may arise</t>
        </is>
      </c>
    </row>
    <row r="12">
      <c r="A12" s="40" t="inlineStr">
        <is>
          <t>BUS-011</t>
        </is>
      </c>
      <c r="B12" s="40" t="inlineStr">
        <is>
          <t>Business Requirements</t>
        </is>
      </c>
      <c r="C12" s="40" t="inlineStr">
        <is>
          <t>Business Drivers</t>
        </is>
      </c>
      <c r="D12" s="40" t="inlineStr">
        <is>
          <t>Are there faith-based content guidelines or editorial policies that the AI must respect when classifying or recommending content?</t>
        </is>
      </c>
      <c r="E12" s="40" t="inlineStr">
        <is>
          <t>E.g., mood labels must align with Christian values; certain content categories must never be recommended together</t>
        </is>
      </c>
      <c r="F12" s="39" t="n"/>
      <c r="G12" s="40" t="inlineStr">
        <is>
          <t>May require custom label taxonomy or post-processing filters on AI outputs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7" t="inlineStr">
        <is>
          <t>Question ID</t>
        </is>
      </c>
      <c r="B1" s="37" t="inlineStr">
        <is>
          <t>Category</t>
        </is>
      </c>
      <c r="C1" s="37" t="inlineStr">
        <is>
          <t>Sub-Category</t>
        </is>
      </c>
      <c r="D1" s="37" t="inlineStr">
        <is>
          <t>Question</t>
        </is>
      </c>
      <c r="E1" s="37" t="inlineStr">
        <is>
          <t>Guidance</t>
        </is>
      </c>
      <c r="F1" s="37" t="inlineStr">
        <is>
          <t>Customer Response</t>
        </is>
      </c>
      <c r="G1" s="37" t="inlineStr">
        <is>
          <t>Notes</t>
        </is>
      </c>
    </row>
    <row r="2">
      <c r="A2" s="40" t="inlineStr">
        <is>
          <t>TECH-001</t>
        </is>
      </c>
      <c r="B2" s="40" t="inlineStr">
        <is>
          <t>Technical Requirements</t>
        </is>
      </c>
      <c r="C2" s="40" t="inlineStr">
        <is>
          <t>Current Infrastructure</t>
        </is>
      </c>
      <c r="D2" s="40" t="inlineStr">
        <is>
          <t>What is the current structure and size of the Firebase catalog?</t>
        </is>
      </c>
      <c r="E2" s="40" t="inlineStr">
        <is>
          <t>Approximate number of songs and podcasts; fields available: titles, artists, tags, lyric/transcript text, upload date</t>
        </is>
      </c>
      <c r="F2" s="39" t="n"/>
      <c r="G2" s="40" t="inlineStr">
        <is>
          <t>Primary input data for both the classifier and recommendation engine</t>
        </is>
      </c>
    </row>
    <row r="3">
      <c r="A3" s="38" t="inlineStr">
        <is>
          <t>TECH-002</t>
        </is>
      </c>
      <c r="B3" s="38" t="inlineStr">
        <is>
          <t>Technical Requirements</t>
        </is>
      </c>
      <c r="C3" s="38" t="inlineStr">
        <is>
          <t>Current Infrastructure</t>
        </is>
      </c>
      <c r="D3" s="38" t="inlineStr">
        <is>
          <t>In what format is lyric and transcript text stored in Firebase?</t>
        </is>
      </c>
      <c r="E3" s="38" t="inlineStr">
        <is>
          <t>Plain text, HTML, structured JSON, third-party captions (e.g., Rev.ai), character encoding</t>
        </is>
      </c>
      <c r="F3" s="39" t="n"/>
      <c r="G3" s="38" t="inlineStr">
        <is>
          <t>Impacts text pre-processing pipeline design and NLP service selection</t>
        </is>
      </c>
    </row>
    <row r="4">
      <c r="A4" s="40" t="inlineStr">
        <is>
          <t>TECH-003</t>
        </is>
      </c>
      <c r="B4" s="40" t="inlineStr">
        <is>
          <t>Technical Requirements</t>
        </is>
      </c>
      <c r="C4" s="40" t="inlineStr">
        <is>
          <t>Current Infrastructure</t>
        </is>
      </c>
      <c r="D4" s="40" t="inlineStr">
        <is>
          <t>What is the average and maximum length of lyric or transcript text per item?</t>
        </is>
      </c>
      <c r="E4" s="40" t="inlineStr">
        <is>
          <t>Character count or word count ranges; are podcasts full transcripts or summaries?</t>
        </is>
      </c>
      <c r="F4" s="39" t="n"/>
      <c r="G4" s="40" t="inlineStr">
        <is>
          <t>Drives token-limit considerations for LLM-based classification and API payload sizing</t>
        </is>
      </c>
    </row>
    <row r="5">
      <c r="A5" s="38" t="inlineStr">
        <is>
          <t>TECH-004</t>
        </is>
      </c>
      <c r="B5" s="38" t="inlineStr">
        <is>
          <t>Technical Requirements</t>
        </is>
      </c>
      <c r="C5" s="38" t="inlineStr">
        <is>
          <t>Current Infrastructure</t>
        </is>
      </c>
      <c r="D5" s="38" t="inlineStr">
        <is>
          <t>How does the FlutterFlow app currently authenticate with Firebase — and what auth mechanism should be used for the new AWS REST API?</t>
        </is>
      </c>
      <c r="E5" s="38" t="inlineStr">
        <is>
          <t>Firebase Auth (JWT), API key, OAuth 2.0, AWS Cognito — identify what the app can pass today</t>
        </is>
      </c>
      <c r="F5" s="39" t="n"/>
      <c r="G5" s="38" t="inlineStr">
        <is>
          <t>Authentication design determines API Gateway authorizer type and security posture</t>
        </is>
      </c>
    </row>
    <row r="6">
      <c r="A6" s="40" t="inlineStr">
        <is>
          <t>TECH-005</t>
        </is>
      </c>
      <c r="B6" s="40" t="inlineStr">
        <is>
          <t>Technical Requirements</t>
        </is>
      </c>
      <c r="C6" s="40" t="inlineStr">
        <is>
          <t>API Design</t>
        </is>
      </c>
      <c r="D6" s="40" t="inlineStr">
        <is>
          <t>What HTTP method and payload structure does the mood-classification endpoint need to accept?</t>
        </is>
      </c>
      <c r="E6" s="40" t="inlineStr">
        <is>
          <t>POST with JSON body containing lyric/transcript text; confirm field names expected by the app team</t>
        </is>
      </c>
      <c r="F6" s="39" t="n"/>
      <c r="G6" s="40" t="inlineStr">
        <is>
          <t>API contract definition required before build phase begins</t>
        </is>
      </c>
    </row>
    <row r="7">
      <c r="A7" s="38" t="inlineStr">
        <is>
          <t>TECH-006</t>
        </is>
      </c>
      <c r="B7" s="38" t="inlineStr">
        <is>
          <t>Technical Requirements</t>
        </is>
      </c>
      <c r="C7" s="38" t="inlineStr">
        <is>
          <t>API Design</t>
        </is>
      </c>
      <c r="D7" s="38" t="inlineStr">
        <is>
          <t>What HTTP method and payload structure does the personalized playlist endpoint need to accept?</t>
        </is>
      </c>
      <c r="E7" s="38" t="inlineStr">
        <is>
          <t>POST or GET with mood label and recent listening history (track IDs, timestamps); confirm array size limits</t>
        </is>
      </c>
      <c r="F7" s="39" t="n"/>
      <c r="G7" s="38" t="inlineStr">
        <is>
          <t>Drives request validation logic and Lambda payload design</t>
        </is>
      </c>
    </row>
    <row r="8">
      <c r="A8" s="40" t="inlineStr">
        <is>
          <t>TECH-007</t>
        </is>
      </c>
      <c r="B8" s="40" t="inlineStr">
        <is>
          <t>Technical Requirements</t>
        </is>
      </c>
      <c r="C8" s="40" t="inlineStr">
        <is>
          <t>API Design</t>
        </is>
      </c>
      <c r="D8" s="40" t="inlineStr">
        <is>
          <t>What response format and fields does the FlutterFlow app expect from each endpoint?</t>
        </is>
      </c>
      <c r="E8" s="40" t="inlineStr">
        <is>
          <t>JSON structure: mood label + confidence score for classifier; ordered track IDs + metadata for playlist</t>
        </is>
      </c>
      <c r="F8" s="39" t="n"/>
      <c r="G8" s="40" t="inlineStr">
        <is>
          <t>API contract must be finalised before FlutterFlow integration to avoid rework</t>
        </is>
      </c>
    </row>
    <row r="9">
      <c r="A9" s="38" t="inlineStr">
        <is>
          <t>TECH-008</t>
        </is>
      </c>
      <c r="B9" s="38" t="inlineStr">
        <is>
          <t>Technical Requirements</t>
        </is>
      </c>
      <c r="C9" s="38" t="inlineStr">
        <is>
          <t>Cloud Platform</t>
        </is>
      </c>
      <c r="D9" s="38" t="inlineStr">
        <is>
          <t>Are there any AWS region preferences or restrictions for deploying the solution?</t>
        </is>
      </c>
      <c r="E9" s="38" t="inlineStr">
        <is>
          <t>Primary region (e.g., us-east-1, us-west-2); any data-residency requirements</t>
        </is>
      </c>
      <c r="F9" s="39" t="n"/>
      <c r="G9" s="38" t="inlineStr">
        <is>
          <t>Region selection impacts latency to Firebase and AWS service availability</t>
        </is>
      </c>
    </row>
    <row r="10">
      <c r="A10" s="40" t="inlineStr">
        <is>
          <t>TECH-009</t>
        </is>
      </c>
      <c r="B10" s="40" t="inlineStr">
        <is>
          <t>Technical Requirements</t>
        </is>
      </c>
      <c r="C10" s="40" t="inlineStr">
        <is>
          <t>Cloud Platform</t>
        </is>
      </c>
      <c r="D10" s="40" t="inlineStr">
        <is>
          <t>Does ANP already have an AWS account, or will a new account be created for this engagement?</t>
        </is>
      </c>
      <c r="E10" s="40" t="inlineStr">
        <is>
          <t>Confirm account ID and that nClouds has admin IAM access; single account or multi-account (dev/prod)</t>
        </is>
      </c>
      <c r="F10" s="39" t="n"/>
      <c r="G10" s="40" t="inlineStr">
        <is>
          <t>Account setup is a Day-1 prerequisite; multi-account adds complexity</t>
        </is>
      </c>
    </row>
    <row r="11">
      <c r="A11" s="38" t="inlineStr">
        <is>
          <t>TECH-010</t>
        </is>
      </c>
      <c r="B11" s="38" t="inlineStr">
        <is>
          <t>Technical Requirements</t>
        </is>
      </c>
      <c r="C11" s="38" t="inlineStr">
        <is>
          <t>AI/ML Requirements</t>
        </is>
      </c>
      <c r="D11" s="38" t="inlineStr">
        <is>
          <t>Which mood or emotion taxonomy should the classifier use?</t>
        </is>
      </c>
      <c r="E11" s="38" t="inlineStr">
        <is>
          <t>Predefined label set (e.g., Joyful, Peaceful, Reflective, Uplifting, Lament) vs. open-ended generation</t>
        </is>
      </c>
      <c r="F11" s="39" t="n"/>
      <c r="G11" s="38" t="inlineStr">
        <is>
          <t>Custom label set may be required to align with ANP's faith-based content philosophy</t>
        </is>
      </c>
    </row>
    <row r="12">
      <c r="A12" s="40" t="inlineStr">
        <is>
          <t>TECH-011</t>
        </is>
      </c>
      <c r="B12" s="40" t="inlineStr">
        <is>
          <t>Technical Requirements</t>
        </is>
      </c>
      <c r="C12" s="40" t="inlineStr">
        <is>
          <t>AI/ML Requirements</t>
        </is>
      </c>
      <c r="D12" s="40" t="inlineStr">
        <is>
          <t>What AWS AI/ML services are preferred or approved for this solution?</t>
        </is>
      </c>
      <c r="E12" s="40" t="inlineStr">
        <is>
          <t>Amazon Bedrock (foundation models), Amazon Comprehend, custom SageMaker model, or combination</t>
        </is>
      </c>
      <c r="F12" s="39" t="n"/>
      <c r="G12" s="40" t="inlineStr">
        <is>
          <t>Service selection drives cost, latency, accuracy, and compliance posture</t>
        </is>
      </c>
    </row>
    <row r="13">
      <c r="A13" s="38" t="inlineStr">
        <is>
          <t>TECH-012</t>
        </is>
      </c>
      <c r="B13" s="38" t="inlineStr">
        <is>
          <t>Technical Requirements</t>
        </is>
      </c>
      <c r="C13" s="38" t="inlineStr">
        <is>
          <t>AI/ML Requirements</t>
        </is>
      </c>
      <c r="D13" s="38" t="inlineStr">
        <is>
          <t>Is there an existing labeled dataset of songs/podcasts with mood tags that can be used to validate or fine-tune the classifier?</t>
        </is>
      </c>
      <c r="E13" s="38" t="inlineStr">
        <is>
          <t>Number of labeled examples, label quality, who created the labels</t>
        </is>
      </c>
      <c r="F13" s="39" t="n"/>
      <c r="G13" s="38" t="inlineStr">
        <is>
          <t>Determines whether zero-shot, few-shot, or fine-tuned approach is most appropriate</t>
        </is>
      </c>
    </row>
    <row r="14">
      <c r="A14" s="40" t="inlineStr">
        <is>
          <t>TECH-013</t>
        </is>
      </c>
      <c r="B14" s="40" t="inlineStr">
        <is>
          <t>Technical Requirements</t>
        </is>
      </c>
      <c r="C14" s="40" t="inlineStr">
        <is>
          <t>AI/ML Requirements</t>
        </is>
      </c>
      <c r="D14" s="40" t="inlineStr">
        <is>
          <t>What is the expected volume of new uploads per day/week that require mood classification?</t>
        </is>
      </c>
      <c r="E14" s="40" t="inlineStr">
        <is>
          <t>Current upload rate and projected growth rate over 12 months</t>
        </is>
      </c>
      <c r="F14" s="39" t="n"/>
      <c r="G14" s="40" t="inlineStr">
        <is>
          <t>Drives throughput sizing for the classification pipeline and cost projection</t>
        </is>
      </c>
    </row>
    <row r="15">
      <c r="A15" s="38" t="inlineStr">
        <is>
          <t>TECH-014</t>
        </is>
      </c>
      <c r="B15" s="38" t="inlineStr">
        <is>
          <t>Technical Requirements</t>
        </is>
      </c>
      <c r="C15" s="38" t="inlineStr">
        <is>
          <t>AI/ML Requirements</t>
        </is>
      </c>
      <c r="D15" s="38" t="inlineStr">
        <is>
          <t>What listening-history signals are available per user for generating recommendations?</t>
        </is>
      </c>
      <c r="E15" s="38" t="inlineStr">
        <is>
          <t>Track plays, skips, likes, playlist saves, session duration — and how far back history is retained</t>
        </is>
      </c>
      <c r="F15" s="39" t="n"/>
      <c r="G15" s="38" t="inlineStr">
        <is>
          <t>Determines recommendation algorithm complexity and cold-start handling strategy</t>
        </is>
      </c>
    </row>
    <row r="16">
      <c r="A16" s="40" t="inlineStr">
        <is>
          <t>TECH-015</t>
        </is>
      </c>
      <c r="B16" s="40" t="inlineStr">
        <is>
          <t>Technical Requirements</t>
        </is>
      </c>
      <c r="C16" s="40" t="inlineStr">
        <is>
          <t>Performance</t>
        </is>
      </c>
      <c r="D16" s="40" t="inlineStr">
        <is>
          <t>What is the maximum acceptable latency for the playlist recommendation endpoint?</t>
        </is>
      </c>
      <c r="E16" s="40" t="inlineStr">
        <is>
          <t>Target p95 response time — e.g., under 500 ms, under 2 seconds</t>
        </is>
      </c>
      <c r="F16" s="39" t="n"/>
      <c r="G16" s="40" t="inlineStr">
        <is>
          <t>Drives architecture choice: synchronous Lambda vs. pre-computed recommendations cached in DynamoDB or ElastiCache</t>
        </is>
      </c>
    </row>
    <row r="17">
      <c r="A17" s="38" t="inlineStr">
        <is>
          <t>TECH-016</t>
        </is>
      </c>
      <c r="B17" s="38" t="inlineStr">
        <is>
          <t>Technical Requirements</t>
        </is>
      </c>
      <c r="C17" s="38" t="inlineStr">
        <is>
          <t>Performance</t>
        </is>
      </c>
      <c r="D17" s="38" t="inlineStr">
        <is>
          <t>What is the maximum acceptable latency for the mood-classification endpoint?</t>
        </is>
      </c>
      <c r="E17" s="38" t="inlineStr">
        <is>
          <t>Acceptable if synchronous (user waiting) or can it be asynchronous (background job)?</t>
        </is>
      </c>
      <c r="F17" s="39" t="n"/>
      <c r="G17" s="38" t="inlineStr">
        <is>
          <t>Async classification allows cheaper batch processing; sync requires low-latency LLM or cached results</t>
        </is>
      </c>
    </row>
    <row r="18">
      <c r="A18" s="40" t="inlineStr">
        <is>
          <t>TECH-017</t>
        </is>
      </c>
      <c r="B18" s="40" t="inlineStr">
        <is>
          <t>Technical Requirements</t>
        </is>
      </c>
      <c r="C18" s="40" t="inlineStr">
        <is>
          <t>Performance</t>
        </is>
      </c>
      <c r="D18" s="40" t="inlineStr">
        <is>
          <t>What is the expected number of concurrent API users at launch and within 12 months?</t>
        </is>
      </c>
      <c r="E18" s="40" t="inlineStr">
        <is>
          <t>Concurrent sessions peak estimate — used for Lambda concurrency and API Gateway throttling settings</t>
        </is>
      </c>
      <c r="F18" s="39" t="n"/>
      <c r="G18" s="40" t="inlineStr">
        <is>
          <t>Right-sizes auto-scaling configuration and reserved concurrency allocation</t>
        </is>
      </c>
    </row>
    <row r="19">
      <c r="A19" s="38" t="inlineStr">
        <is>
          <t>TECH-018</t>
        </is>
      </c>
      <c r="B19" s="38" t="inlineStr">
        <is>
          <t>Technical Requirements</t>
        </is>
      </c>
      <c r="C19" s="38" t="inlineStr">
        <is>
          <t>Integration</t>
        </is>
      </c>
      <c r="D19" s="38" t="inlineStr">
        <is>
          <t>How will Firebase listening-history data be made available to the AWS recommendation endpoint?</t>
        </is>
      </c>
      <c r="E19" s="38" t="inlineStr">
        <is>
          <t>Direct Firebase REST query at call time, periodic sync to DynamoDB, or webhook-driven replication</t>
        </is>
      </c>
      <c r="F19" s="39" t="n"/>
      <c r="G19" s="38" t="inlineStr">
        <is>
          <t>Integration pattern choice affects latency, cost, and data freshness</t>
        </is>
      </c>
    </row>
    <row r="20">
      <c r="A20" s="40" t="inlineStr">
        <is>
          <t>TECH-019</t>
        </is>
      </c>
      <c r="B20" s="40" t="inlineStr">
        <is>
          <t>Technical Requirements</t>
        </is>
      </c>
      <c r="C20" s="40" t="inlineStr">
        <is>
          <t>Integration</t>
        </is>
      </c>
      <c r="D20" s="40" t="inlineStr">
        <is>
          <t>Does the solution need to write mood labels back to Firebase after classification?</t>
        </is>
      </c>
      <c r="E20" s="40" t="inlineStr">
        <is>
          <t>Confirm whether AWS will push labels to Firebase via REST or whether the app team pulls from AWS</t>
        </is>
      </c>
      <c r="F20" s="39" t="n"/>
      <c r="G20" s="40" t="inlineStr">
        <is>
          <t>Bidirectional integration increases scope; clarify data-ownership boundaries</t>
        </is>
      </c>
    </row>
    <row r="21">
      <c r="A21" s="38" t="inlineStr">
        <is>
          <t>TECH-020</t>
        </is>
      </c>
      <c r="B21" s="38" t="inlineStr">
        <is>
          <t>Technical Requirements</t>
        </is>
      </c>
      <c r="C21" s="38" t="inlineStr">
        <is>
          <t>Integration</t>
        </is>
      </c>
      <c r="D21" s="38" t="inlineStr">
        <is>
          <t>Are there any third-party services (CDN, analytics, CMS) that must be considered in the API design?</t>
        </is>
      </c>
      <c r="E21" s="38" t="inlineStr">
        <is>
          <t>e.g., Cloudflare, Segment, Contentful — any that sit between FlutterFlow and the new API</t>
        </is>
      </c>
      <c r="F21" s="39" t="n"/>
      <c r="G21" s="38" t="inlineStr">
        <is>
          <t>Identifies potential routing, CORS, or token-passthrough issues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7" t="inlineStr">
        <is>
          <t>Question ID</t>
        </is>
      </c>
      <c r="B1" s="37" t="inlineStr">
        <is>
          <t>Category</t>
        </is>
      </c>
      <c r="C1" s="37" t="inlineStr">
        <is>
          <t>Sub-Category</t>
        </is>
      </c>
      <c r="D1" s="37" t="inlineStr">
        <is>
          <t>Question</t>
        </is>
      </c>
      <c r="E1" s="37" t="inlineStr">
        <is>
          <t>Guidance</t>
        </is>
      </c>
      <c r="F1" s="37" t="inlineStr">
        <is>
          <t>Customer Response</t>
        </is>
      </c>
      <c r="G1" s="37" t="inlineStr">
        <is>
          <t>Notes</t>
        </is>
      </c>
    </row>
    <row r="2">
      <c r="A2" s="40" t="inlineStr">
        <is>
          <t>SEC-001</t>
        </is>
      </c>
      <c r="B2" s="40" t="inlineStr">
        <is>
          <t>Security &amp; Compliance</t>
        </is>
      </c>
      <c r="C2" s="40" t="inlineStr">
        <is>
          <t>Compliance Frameworks</t>
        </is>
      </c>
      <c r="D2" s="40" t="inlineStr">
        <is>
          <t>Are there any compliance frameworks that must be satisfied for handling user data?</t>
        </is>
      </c>
      <c r="E2" s="40" t="inlineStr">
        <is>
          <t>CCPA, COPPA (if users under 13), GDPR (if serving EU users), SOC 2 plans — specify applicability</t>
        </is>
      </c>
      <c r="F2" s="39" t="n"/>
      <c r="G2" s="40" t="inlineStr">
        <is>
          <t>Faith-based app may have minor-aged users; COPPA has strict data-handling rules</t>
        </is>
      </c>
    </row>
    <row r="3">
      <c r="A3" s="38" t="inlineStr">
        <is>
          <t>SEC-002</t>
        </is>
      </c>
      <c r="B3" s="38" t="inlineStr">
        <is>
          <t>Security &amp; Compliance</t>
        </is>
      </c>
      <c r="C3" s="38" t="inlineStr">
        <is>
          <t>Data Classification</t>
        </is>
      </c>
      <c r="D3" s="38" t="inlineStr">
        <is>
          <t>What is the sensitivity level of the data the API will process?</t>
        </is>
      </c>
      <c r="E3" s="38" t="inlineStr">
        <is>
          <t>Lyric/transcript text (content), user listening history (behavioral PII), account identifiers</t>
        </is>
      </c>
      <c r="F3" s="39" t="n"/>
      <c r="G3" s="38" t="inlineStr">
        <is>
          <t>Determines encryption, logging, and retention requirements</t>
        </is>
      </c>
    </row>
    <row r="4">
      <c r="A4" s="40" t="inlineStr">
        <is>
          <t>SEC-003</t>
        </is>
      </c>
      <c r="B4" s="40" t="inlineStr">
        <is>
          <t>Security &amp; Compliance</t>
        </is>
      </c>
      <c r="C4" s="40" t="inlineStr">
        <is>
          <t>Authentication</t>
        </is>
      </c>
      <c r="D4" s="40" t="inlineStr">
        <is>
          <t>What authentication mechanism will secure the new AWS REST API from the FlutterFlow app?</t>
        </is>
      </c>
      <c r="E4" s="40" t="inlineStr">
        <is>
          <t>API key, AWS Cognito JWT, Firebase Auth token verified by Lambda authorizer, IAM SigV4</t>
        </is>
      </c>
      <c r="F4" s="39" t="n"/>
      <c r="G4" s="40" t="inlineStr">
        <is>
          <t>Unauthorized access to the recommendation API could expose user behavioral data</t>
        </is>
      </c>
    </row>
    <row r="5">
      <c r="A5" s="38" t="inlineStr">
        <is>
          <t>SEC-004</t>
        </is>
      </c>
      <c r="B5" s="38" t="inlineStr">
        <is>
          <t>Security &amp; Compliance</t>
        </is>
      </c>
      <c r="C5" s="38" t="inlineStr">
        <is>
          <t>Authentication</t>
        </is>
      </c>
      <c r="D5" s="38" t="inlineStr">
        <is>
          <t>Will the API be accessible only from the mobile app, or also from a web dashboard or admin tooling?</t>
        </is>
      </c>
      <c r="E5" s="38" t="inlineStr">
        <is>
          <t>Identify all consumers of the API and their auth capabilities</t>
        </is>
      </c>
      <c r="F5" s="39" t="n"/>
      <c r="G5" s="38" t="inlineStr">
        <is>
          <t>Multiple consumers may require different authorizer strategies per endpoint</t>
        </is>
      </c>
    </row>
    <row r="6">
      <c r="A6" s="40" t="inlineStr">
        <is>
          <t>SEC-005</t>
        </is>
      </c>
      <c r="B6" s="40" t="inlineStr">
        <is>
          <t>Security &amp; Compliance</t>
        </is>
      </c>
      <c r="C6" s="40" t="inlineStr">
        <is>
          <t>Encryption</t>
        </is>
      </c>
      <c r="D6" s="40" t="inlineStr">
        <is>
          <t>Are there requirements for encrypting data at rest and in transit?</t>
        </is>
      </c>
      <c r="E6" s="40" t="inlineStr">
        <is>
          <t>TLS 1.2+ in transit (API Gateway default); at-rest encryption for DynamoDB, S3, CloudWatch Logs</t>
        </is>
      </c>
      <c r="F6" s="39" t="n"/>
      <c r="G6" s="40" t="inlineStr">
        <is>
          <t>Baseline AWS encryption should be confirmed and documented for any compliance audit</t>
        </is>
      </c>
    </row>
    <row r="7">
      <c r="A7" s="38" t="inlineStr">
        <is>
          <t>SEC-006</t>
        </is>
      </c>
      <c r="B7" s="38" t="inlineStr">
        <is>
          <t>Security &amp; Compliance</t>
        </is>
      </c>
      <c r="C7" s="38" t="inlineStr">
        <is>
          <t>Data Residency</t>
        </is>
      </c>
      <c r="D7" s="38" t="inlineStr">
        <is>
          <t>Are there restrictions on where user behavioral data (listening history) may be stored or processed?</t>
        </is>
      </c>
      <c r="E7" s="38" t="inlineStr">
        <is>
          <t>US-only, specific AWS regions, or no restriction</t>
        </is>
      </c>
      <c r="F7" s="39" t="n"/>
      <c r="G7" s="38" t="inlineStr">
        <is>
          <t>Data residency requirements constrain region selection and cross-region replication</t>
        </is>
      </c>
    </row>
    <row r="8">
      <c r="A8" s="40" t="inlineStr">
        <is>
          <t>SEC-007</t>
        </is>
      </c>
      <c r="B8" s="40" t="inlineStr">
        <is>
          <t>Security &amp; Compliance</t>
        </is>
      </c>
      <c r="C8" s="40" t="inlineStr">
        <is>
          <t>Audit Logging</t>
        </is>
      </c>
      <c r="D8" s="40" t="inlineStr">
        <is>
          <t>What audit logging is required for API calls and AI model invocations?</t>
        </is>
      </c>
      <c r="E8" s="40" t="inlineStr">
        <is>
          <t>CloudTrail for AWS API actions; custom access logs in API Gateway; Bedrock/model invocation logs</t>
        </is>
      </c>
      <c r="F8" s="39" t="n"/>
      <c r="G8" s="40" t="inlineStr">
        <is>
          <t>Logging scope affects storage costs and compliance evidence availability</t>
        </is>
      </c>
    </row>
    <row r="9">
      <c r="A9" s="38" t="inlineStr">
        <is>
          <t>SEC-008</t>
        </is>
      </c>
      <c r="B9" s="38" t="inlineStr">
        <is>
          <t>Security &amp; Compliance</t>
        </is>
      </c>
      <c r="C9" s="38" t="inlineStr">
        <is>
          <t>IAM &amp; Access Control</t>
        </is>
      </c>
      <c r="D9" s="38" t="inlineStr">
        <is>
          <t>Who within ANP and nClouds needs access to the AWS account, and at what permission level?</t>
        </is>
      </c>
      <c r="E9" s="38" t="inlineStr">
        <is>
          <t>Admin, developer, read-only — separate roles for build phase vs. steady-state operations</t>
        </is>
      </c>
      <c r="F9" s="39" t="n"/>
      <c r="G9" s="38" t="inlineStr">
        <is>
          <t>Least-privilege IAM design; important for handoff and ongoing operations</t>
        </is>
      </c>
    </row>
    <row r="10">
      <c r="A10" s="40" t="inlineStr">
        <is>
          <t>SEC-009</t>
        </is>
      </c>
      <c r="B10" s="40" t="inlineStr">
        <is>
          <t>Security &amp; Compliance</t>
        </is>
      </c>
      <c r="C10" s="40" t="inlineStr">
        <is>
          <t>Vulnerability Management</t>
        </is>
      </c>
      <c r="D10" s="40" t="inlineStr">
        <is>
          <t>Are there requirements for code scanning, dependency audits, or penetration testing before go-live?</t>
        </is>
      </c>
      <c r="E10" s="40" t="inlineStr">
        <is>
          <t>SAST tools, OWASP checks, third-party pen test, AWS Inspector</t>
        </is>
      </c>
      <c r="F10" s="39" t="n"/>
      <c r="G10" s="40" t="inlineStr">
        <is>
          <t>Determines additional pre-launch security activities and timeline impact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7" t="inlineStr">
        <is>
          <t>Question ID</t>
        </is>
      </c>
      <c r="B1" s="37" t="inlineStr">
        <is>
          <t>Category</t>
        </is>
      </c>
      <c r="C1" s="37" t="inlineStr">
        <is>
          <t>Sub-Category</t>
        </is>
      </c>
      <c r="D1" s="37" t="inlineStr">
        <is>
          <t>Question</t>
        </is>
      </c>
      <c r="E1" s="37" t="inlineStr">
        <is>
          <t>Guidance</t>
        </is>
      </c>
      <c r="F1" s="37" t="inlineStr">
        <is>
          <t>Customer Response</t>
        </is>
      </c>
      <c r="G1" s="37" t="inlineStr">
        <is>
          <t>Notes</t>
        </is>
      </c>
    </row>
    <row r="2">
      <c r="A2" s="40" t="inlineStr">
        <is>
          <t>OPS-001</t>
        </is>
      </c>
      <c r="B2" s="40" t="inlineStr">
        <is>
          <t>Operations &amp; Support</t>
        </is>
      </c>
      <c r="C2" s="40" t="inlineStr">
        <is>
          <t>RTO</t>
        </is>
      </c>
      <c r="D2" s="40" t="inlineStr">
        <is>
          <t>What is the maximum acceptable downtime for the AI recommendation API?</t>
        </is>
      </c>
      <c r="E2" s="40" t="inlineStr">
        <is>
          <t>Hours per incident; is the API non-critical (app degrades gracefully) or business-critical?</t>
        </is>
      </c>
      <c r="F2" s="39" t="n"/>
      <c r="G2" s="40" t="inlineStr">
        <is>
          <t>Determines need for multi-AZ Lambda, API Gateway redundancy, and health-check alerting</t>
        </is>
      </c>
    </row>
    <row r="3">
      <c r="A3" s="38" t="inlineStr">
        <is>
          <t>OPS-002</t>
        </is>
      </c>
      <c r="B3" s="38" t="inlineStr">
        <is>
          <t>Operations &amp; Support</t>
        </is>
      </c>
      <c r="C3" s="38" t="inlineStr">
        <is>
          <t>RPO</t>
        </is>
      </c>
      <c r="D3" s="38" t="inlineStr">
        <is>
          <t>What is the maximum acceptable data loss for listening-history or classification data?</t>
        </is>
      </c>
      <c r="E3" s="38" t="inlineStr">
        <is>
          <t>RPO in hours; impacts DynamoDB backup frequency and Point-in-Time Recovery (PITR) settings</t>
        </is>
      </c>
      <c r="F3" s="39" t="n"/>
      <c r="G3" s="38" t="inlineStr">
        <is>
          <t>Drives backup strategy cost and complexity</t>
        </is>
      </c>
    </row>
    <row r="4">
      <c r="A4" s="40" t="inlineStr">
        <is>
          <t>OPS-003</t>
        </is>
      </c>
      <c r="B4" s="40" t="inlineStr">
        <is>
          <t>Operations &amp; Support</t>
        </is>
      </c>
      <c r="C4" s="40" t="inlineStr">
        <is>
          <t>Monitoring</t>
        </is>
      </c>
      <c r="D4" s="40" t="inlineStr">
        <is>
          <t>What monitoring and alerting is required post-launch?</t>
        </is>
      </c>
      <c r="E4" s="40" t="inlineStr">
        <is>
          <t>CloudWatch dashboards, Lambda error-rate alarms, latency alarms, cost anomaly alerts</t>
        </is>
      </c>
      <c r="F4" s="39" t="n"/>
      <c r="G4" s="40" t="inlineStr">
        <is>
          <t>Defines observability stack scope and who receives alerts (ANP vs. nClouds NOC)</t>
        </is>
      </c>
    </row>
    <row r="5">
      <c r="A5" s="38" t="inlineStr">
        <is>
          <t>OPS-004</t>
        </is>
      </c>
      <c r="B5" s="38" t="inlineStr">
        <is>
          <t>Operations &amp; Support</t>
        </is>
      </c>
      <c r="C5" s="38" t="inlineStr">
        <is>
          <t>Support Coverage</t>
        </is>
      </c>
      <c r="D5" s="38" t="inlineStr">
        <is>
          <t>What support coverage is required for the AWS environment after handoff?</t>
        </is>
      </c>
      <c r="E5" s="38" t="inlineStr">
        <is>
          <t>Business hours only, 24x7 on-call, managed services via nClouds, or self-managed by ANP</t>
        </is>
      </c>
      <c r="F5" s="39" t="n"/>
      <c r="G5" s="38" t="inlineStr">
        <is>
          <t>Determines whether a managed-services SOW is needed post-project</t>
        </is>
      </c>
    </row>
    <row r="6">
      <c r="A6" s="40" t="inlineStr">
        <is>
          <t>OPS-005</t>
        </is>
      </c>
      <c r="B6" s="40" t="inlineStr">
        <is>
          <t>Operations &amp; Support</t>
        </is>
      </c>
      <c r="C6" s="40" t="inlineStr">
        <is>
          <t>Maintenance</t>
        </is>
      </c>
      <c r="D6" s="40" t="inlineStr">
        <is>
          <t>Are there preferred maintenance windows for Lambda deployments and infrastructure updates?</t>
        </is>
      </c>
      <c r="E6" s="40" t="inlineStr">
        <is>
          <t>Days/times with lowest app usage; weekend nights typical for streaming apps</t>
        </is>
      </c>
      <c r="F6" s="39" t="n"/>
      <c r="G6" s="40" t="inlineStr">
        <is>
          <t>Impacts CI/CD pipeline deployment gates and change-management process</t>
        </is>
      </c>
    </row>
    <row r="7">
      <c r="A7" s="38" t="inlineStr">
        <is>
          <t>OPS-006</t>
        </is>
      </c>
      <c r="B7" s="38" t="inlineStr">
        <is>
          <t>Operations &amp; Support</t>
        </is>
      </c>
      <c r="C7" s="38" t="inlineStr">
        <is>
          <t>Capacity Planning</t>
        </is>
      </c>
      <c r="D7" s="38" t="inlineStr">
        <is>
          <t>How do you expect the user base and catalog size to grow over the next 12 months?</t>
        </is>
      </c>
      <c r="E7" s="38" t="inlineStr">
        <is>
          <t>Active users, monthly uploads, API call volume projections</t>
        </is>
      </c>
      <c r="F7" s="39" t="n"/>
      <c r="G7" s="38" t="inlineStr">
        <is>
          <t>Ensures auto-scaling policies and cost estimates remain valid at scale</t>
        </is>
      </c>
    </row>
    <row r="8">
      <c r="A8" s="40" t="inlineStr">
        <is>
          <t>OPS-007</t>
        </is>
      </c>
      <c r="B8" s="40" t="inlineStr">
        <is>
          <t>Operations &amp; Support</t>
        </is>
      </c>
      <c r="C8" s="40" t="inlineStr">
        <is>
          <t>Logging</t>
        </is>
      </c>
      <c r="D8" s="40" t="inlineStr">
        <is>
          <t>What log retention period is required for API and application logs?</t>
        </is>
      </c>
      <c r="E8" s="40" t="inlineStr">
        <is>
          <t>30 days, 90 days, 1 year — driven by compliance or internal policy</t>
        </is>
      </c>
      <c r="F8" s="39" t="n"/>
      <c r="G8" s="40" t="inlineStr">
        <is>
          <t>CloudWatch Logs retention setting; longer retention increases storage cost</t>
        </is>
      </c>
    </row>
    <row r="9">
      <c r="A9" s="38" t="inlineStr">
        <is>
          <t>OPS-008</t>
        </is>
      </c>
      <c r="B9" s="38" t="inlineStr">
        <is>
          <t>Operations &amp; Support</t>
        </is>
      </c>
      <c r="C9" s="38" t="inlineStr">
        <is>
          <t>Training</t>
        </is>
      </c>
      <c r="D9" s="38" t="inlineStr">
        <is>
          <t>What operational training or runbook documentation is required at handoff?</t>
        </is>
      </c>
      <c r="E9" s="38" t="inlineStr">
        <is>
          <t>Admin guide, incident-response runbook, API onboarding guide for app team</t>
        </is>
      </c>
      <c r="F9" s="39" t="n"/>
      <c r="G9" s="38" t="inlineStr">
        <is>
          <t>Defines documentation deliverables for Phase 3 of the engagement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7" t="inlineStr">
        <is>
          <t>Question ID</t>
        </is>
      </c>
      <c r="B1" s="37" t="inlineStr">
        <is>
          <t>Category</t>
        </is>
      </c>
      <c r="C1" s="37" t="inlineStr">
        <is>
          <t>Sub-Category</t>
        </is>
      </c>
      <c r="D1" s="37" t="inlineStr">
        <is>
          <t>Question</t>
        </is>
      </c>
      <c r="E1" s="37" t="inlineStr">
        <is>
          <t>Guidance</t>
        </is>
      </c>
      <c r="F1" s="37" t="inlineStr">
        <is>
          <t>Customer Response</t>
        </is>
      </c>
      <c r="G1" s="37" t="inlineStr">
        <is>
          <t>Notes</t>
        </is>
      </c>
    </row>
    <row r="2">
      <c r="A2" s="40" t="inlineStr">
        <is>
          <t>IMPL-001</t>
        </is>
      </c>
      <c r="B2" s="40" t="inlineStr">
        <is>
          <t>Implementation Planning</t>
        </is>
      </c>
      <c r="C2" s="40" t="inlineStr">
        <is>
          <t>Migration Approach</t>
        </is>
      </c>
      <c r="D2" s="40" t="inlineStr">
        <is>
          <t>Is this a greenfield AWS deployment with no existing AWS workloads to migrate?</t>
        </is>
      </c>
      <c r="E2" s="40" t="inlineStr">
        <is>
          <t>Confirm no legacy AWS services need to be decommissioned or migrated</t>
        </is>
      </c>
      <c r="F2" s="39" t="n"/>
      <c r="G2" s="40" t="inlineStr">
        <is>
          <t>Greenfield simplifies environment setup; confirms no migration risk</t>
        </is>
      </c>
    </row>
    <row r="3">
      <c r="A3" s="38" t="inlineStr">
        <is>
          <t>IMPL-002</t>
        </is>
      </c>
      <c r="B3" s="38" t="inlineStr">
        <is>
          <t>Implementation Planning</t>
        </is>
      </c>
      <c r="C3" s="38" t="inlineStr">
        <is>
          <t>Data Preparation</t>
        </is>
      </c>
      <c r="D3" s="38" t="inlineStr">
        <is>
          <t>How will the existing Firebase catalog be made available for initial mood classification of the back-catalog?</t>
        </is>
      </c>
      <c r="E3" s="38" t="inlineStr">
        <is>
          <t>One-time bulk export (JSON/CSV), Firebase REST API batch pull, or manual sample for testing only</t>
        </is>
      </c>
      <c r="F3" s="39" t="n"/>
      <c r="G3" s="38" t="inlineStr">
        <is>
          <t>Back-catalog tagging scope directly impacts Phase 2 build timeline and cost</t>
        </is>
      </c>
    </row>
    <row r="4">
      <c r="A4" s="40" t="inlineStr">
        <is>
          <t>IMPL-003</t>
        </is>
      </c>
      <c r="B4" s="40" t="inlineStr">
        <is>
          <t>Implementation Planning</t>
        </is>
      </c>
      <c r="C4" s="40" t="inlineStr">
        <is>
          <t>Data Preparation</t>
        </is>
      </c>
      <c r="D4" s="40" t="inlineStr">
        <is>
          <t>How many existing catalog items require back-fill mood classification at launch?</t>
        </is>
      </c>
      <c r="E4" s="40" t="inlineStr">
        <is>
          <t>Total count of songs and podcasts needing initial labeling</t>
        </is>
      </c>
      <c r="F4" s="39" t="n"/>
      <c r="G4" s="40" t="inlineStr">
        <is>
          <t>Large back-catalogs may require a batch-processing pipeline (Step Functions + Bedrock) rather than on-demand</t>
        </is>
      </c>
    </row>
    <row r="5">
      <c r="A5" s="38" t="inlineStr">
        <is>
          <t>IMPL-004</t>
        </is>
      </c>
      <c r="B5" s="38" t="inlineStr">
        <is>
          <t>Implementation Planning</t>
        </is>
      </c>
      <c r="C5" s="38" t="inlineStr">
        <is>
          <t>Downtime Tolerance</t>
        </is>
      </c>
      <c r="D5" s="38" t="inlineStr">
        <is>
          <t>Is any downtime acceptable on the Firebase/FlutterFlow app side during API integration?</t>
        </is>
      </c>
      <c r="E5" s="38" t="inlineStr">
        <is>
          <t>Integration is additive (new endpoints), so likely zero downtime — confirm with app team</t>
        </is>
      </c>
      <c r="F5" s="39" t="n"/>
      <c r="G5" s="38" t="inlineStr">
        <is>
          <t>Confirms low-risk integration approach and no maintenance window needed for Phase 3</t>
        </is>
      </c>
    </row>
    <row r="6">
      <c r="A6" s="40" t="inlineStr">
        <is>
          <t>IMPL-005</t>
        </is>
      </c>
      <c r="B6" s="40" t="inlineStr">
        <is>
          <t>Implementation Planning</t>
        </is>
      </c>
      <c r="C6" s="40" t="inlineStr">
        <is>
          <t>Resource Availability</t>
        </is>
      </c>
      <c r="D6" s="40" t="inlineStr">
        <is>
          <t>What is the availability of ANP's technical point of contact during the 4–6 week engagement?</t>
        </is>
      </c>
      <c r="E6" s="40" t="inlineStr">
        <is>
          <t>Hours per week, specific unavailability (holidays, competing projects)</t>
        </is>
      </c>
      <c r="F6" s="39" t="n"/>
      <c r="G6" s="40" t="inlineStr">
        <is>
          <t>Resource gaps are a primary schedule risk for a short engagement</t>
        </is>
      </c>
    </row>
    <row r="7">
      <c r="A7" s="38" t="inlineStr">
        <is>
          <t>IMPL-006</t>
        </is>
      </c>
      <c r="B7" s="38" t="inlineStr">
        <is>
          <t>Implementation Planning</t>
        </is>
      </c>
      <c r="C7" s="38" t="inlineStr">
        <is>
          <t>Resource Availability</t>
        </is>
      </c>
      <c r="D7" s="38" t="inlineStr">
        <is>
          <t>Will ANP's technical contact own API testing and UAT, or will nClouds provide test scripts?</t>
        </is>
      </c>
      <c r="E7" s="38" t="inlineStr">
        <is>
          <t>Define UAT responsibilities: who writes test cases, who executes, who signs off</t>
        </is>
      </c>
      <c r="F7" s="39" t="n"/>
      <c r="G7" s="38" t="inlineStr">
        <is>
          <t>UAT ownership affects Phase 3 duration and go-live readiness criteria</t>
        </is>
      </c>
    </row>
    <row r="8">
      <c r="A8" s="40" t="inlineStr">
        <is>
          <t>IMPL-007</t>
        </is>
      </c>
      <c r="B8" s="40" t="inlineStr">
        <is>
          <t>Implementation Planning</t>
        </is>
      </c>
      <c r="C8" s="40" t="inlineStr">
        <is>
          <t>Environment Strategy</t>
        </is>
      </c>
      <c r="D8" s="40" t="inlineStr">
        <is>
          <t>Is a separate development/staging environment required, or will a single AWS environment be used?</t>
        </is>
      </c>
      <c r="E8" s="40" t="inlineStr">
        <is>
          <t>Dev + Prod vs. single environment; impacts cost and deployment pipeline complexity</t>
        </is>
      </c>
      <c r="F8" s="39" t="n"/>
      <c r="G8" s="40" t="inlineStr">
        <is>
          <t>Separate environments add ~$50–200/month in base costs but reduce production risk</t>
        </is>
      </c>
    </row>
    <row r="9">
      <c r="A9" s="38" t="inlineStr">
        <is>
          <t>IMPL-008</t>
        </is>
      </c>
      <c r="B9" s="38" t="inlineStr">
        <is>
          <t>Implementation Planning</t>
        </is>
      </c>
      <c r="C9" s="38" t="inlineStr">
        <is>
          <t>API Documentation</t>
        </is>
      </c>
      <c r="D9" s="38" t="inlineStr">
        <is>
          <t>What format and level of detail is required for the API documentation delivered at handoff?</t>
        </is>
      </c>
      <c r="E9" s="38" t="inlineStr">
        <is>
          <t>OpenAPI/Swagger spec, Postman collection, README, Confluence page, or all of the above</t>
        </is>
      </c>
      <c r="F9" s="39" t="n"/>
      <c r="G9" s="38" t="inlineStr">
        <is>
          <t>Documentation format must be consumable by the FlutterFlow app team without nClouds involvement</t>
        </is>
      </c>
    </row>
    <row r="10">
      <c r="A10" s="40" t="inlineStr">
        <is>
          <t>IMPL-009</t>
        </is>
      </c>
      <c r="B10" s="40" t="inlineStr">
        <is>
          <t>Implementation Planning</t>
        </is>
      </c>
      <c r="C10" s="40" t="inlineStr">
        <is>
          <t>Go-Live Criteria</t>
        </is>
      </c>
      <c r="D10" s="40" t="inlineStr">
        <is>
          <t>What are the go/no-go criteria for production launch of the new API endpoints?</t>
        </is>
      </c>
      <c r="E10" s="40" t="inlineStr">
        <is>
          <t>Performance benchmarks met, security review passed, UAT sign-off, documentation complete</t>
        </is>
      </c>
      <c r="F10" s="39" t="n"/>
      <c r="G10" s="40" t="inlineStr">
        <is>
          <t>Defines exit criteria for the engagement and final acceptance conditions</t>
        </is>
      </c>
    </row>
    <row r="11">
      <c r="A11" s="38" t="inlineStr">
        <is>
          <t>IMPL-010</t>
        </is>
      </c>
      <c r="B11" s="38" t="inlineStr">
        <is>
          <t>Implementation Planning</t>
        </is>
      </c>
      <c r="C11" s="38" t="inlineStr">
        <is>
          <t>Knowledge Transfer</t>
        </is>
      </c>
      <c r="D11" s="38" t="inlineStr">
        <is>
          <t>What knowledge transfer sessions are required for the ANP team at handoff?</t>
        </is>
      </c>
      <c r="E11" s="38" t="inlineStr">
        <is>
          <t>Architecture walkthrough, ops runbook walkthrough, live demo, recorded session</t>
        </is>
      </c>
      <c r="F11" s="39" t="n"/>
      <c r="G11" s="38" t="inlineStr">
        <is>
          <t>Ensures ANP can operate and maintain the solution independently after engagement closes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7" t="inlineStr">
        <is>
          <t>Question ID</t>
        </is>
      </c>
      <c r="B1" s="37" t="inlineStr">
        <is>
          <t>Category</t>
        </is>
      </c>
      <c r="C1" s="37" t="inlineStr">
        <is>
          <t>Sub-Category</t>
        </is>
      </c>
      <c r="D1" s="37" t="inlineStr">
        <is>
          <t>Question</t>
        </is>
      </c>
      <c r="E1" s="37" t="inlineStr">
        <is>
          <t>Guidance</t>
        </is>
      </c>
      <c r="F1" s="37" t="inlineStr">
        <is>
          <t>Customer Response</t>
        </is>
      </c>
      <c r="G1" s="37" t="inlineStr">
        <is>
          <t>Notes</t>
        </is>
      </c>
    </row>
    <row r="2">
      <c r="A2" s="40" t="inlineStr">
        <is>
          <t>RISK-001</t>
        </is>
      </c>
      <c r="B2" s="40" t="inlineStr">
        <is>
          <t>Risk &amp; Constraints</t>
        </is>
      </c>
      <c r="C2" s="40" t="inlineStr">
        <is>
          <t>Dependencies</t>
        </is>
      </c>
      <c r="D2" s="40" t="inlineStr">
        <is>
          <t>Are there any dependencies on Firebase APIs or FlutterFlow plugin updates that could block integration?</t>
        </is>
      </c>
      <c r="E2" s="40" t="inlineStr">
        <is>
          <t>Firebase REST API rate limits, FlutterFlow HTTP package version, CORS policy constraints</t>
        </is>
      </c>
      <c r="F2" s="39" t="n"/>
      <c r="G2" s="40" t="inlineStr">
        <is>
          <t>Third-party platform constraints are outside nClouds control and could delay Phase 3</t>
        </is>
      </c>
    </row>
    <row r="3">
      <c r="A3" s="38" t="inlineStr">
        <is>
          <t>RISK-002</t>
        </is>
      </c>
      <c r="B3" s="38" t="inlineStr">
        <is>
          <t>Risk &amp; Constraints</t>
        </is>
      </c>
      <c r="C3" s="38" t="inlineStr">
        <is>
          <t>Constraints</t>
        </is>
      </c>
      <c r="D3" s="38" t="inlineStr">
        <is>
          <t>Are there any technology restrictions that would prevent use of specific AWS AI services (e.g., Bedrock, Comprehend)?</t>
        </is>
      </c>
      <c r="E3" s="38" t="inlineStr">
        <is>
          <t>Legal, procurement, or faith-based policy restrictions on specific foundation model providers</t>
        </is>
      </c>
      <c r="F3" s="39" t="n"/>
      <c r="G3" s="38" t="inlineStr">
        <is>
          <t>Some organizations prohibit use of certain LLM providers for ethical or doctrinal reasons</t>
        </is>
      </c>
    </row>
    <row r="4">
      <c r="A4" s="40" t="inlineStr">
        <is>
          <t>RISK-003</t>
        </is>
      </c>
      <c r="B4" s="40" t="inlineStr">
        <is>
          <t>Risk &amp; Constraints</t>
        </is>
      </c>
      <c r="C4" s="40" t="inlineStr">
        <is>
          <t>Risks</t>
        </is>
      </c>
      <c r="D4" s="40" t="inlineStr">
        <is>
          <t>What is the fallback behavior if the AI recommendation or classification endpoint is unavailable?</t>
        </is>
      </c>
      <c r="E4" s="40" t="inlineStr">
        <is>
          <t>App shows generic playlist, last-known recommendations, or error message to user</t>
        </is>
      </c>
      <c r="F4" s="39" t="n"/>
      <c r="G4" s="40" t="inlineStr">
        <is>
          <t>Graceful degradation design is critical for user experience and should be spec'd in Phase 1</t>
        </is>
      </c>
    </row>
    <row r="5">
      <c r="A5" s="38" t="inlineStr">
        <is>
          <t>RISK-004</t>
        </is>
      </c>
      <c r="B5" s="38" t="inlineStr">
        <is>
          <t>Risk &amp; Constraints</t>
        </is>
      </c>
      <c r="C5" s="38" t="inlineStr">
        <is>
          <t>Assumptions</t>
        </is>
      </c>
      <c r="D5" s="38" t="inlineStr">
        <is>
          <t>Are there any assumptions about the quality or completeness of lyric and transcript text in Firebase?</t>
        </is>
      </c>
      <c r="E5" s="38" t="inlineStr">
        <is>
          <t>Missing transcripts, non-English content, very short or low-quality text — prevalence estimate</t>
        </is>
      </c>
      <c r="F5" s="39" t="n"/>
      <c r="G5" s="38" t="inlineStr">
        <is>
          <t>Poor text quality is the top risk to classifier accuracy; may require a data-quality remediation step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2026-06-08T23:48:46Z</dcterms:modified>
  <cp:lastModifiedBy>Kishan Siram</cp:lastModifiedBy>
</cp:coreProperties>
</file>