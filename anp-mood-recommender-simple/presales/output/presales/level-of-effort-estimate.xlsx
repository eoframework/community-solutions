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cope Assumptions" sheetId="2" state="visible" r:id="rId2"/>
    <sheet xmlns:r="http://schemas.openxmlformats.org/officeDocument/2006/relationships" name="Estimate Settings" sheetId="3" state="visible" r:id="rId3"/>
    <sheet xmlns:r="http://schemas.openxmlformats.org/officeDocument/2006/relationships" name="LOE" sheetId="4" state="visible" r:id="rId4"/>
    <sheet xmlns:r="http://schemas.openxmlformats.org/officeDocument/2006/relationships" name="Credits" sheetId="5" state="visible" r:id="rId5"/>
  </sheets>
  <definedNames>
    <definedName name="_xlnm._FilterDatabase" localSheetId="1" hidden="1">'Scope Assumptions'!$A$2:$G$9</definedName>
    <definedName name="_xlnm._FilterDatabase" localSheetId="2" hidden="1">'Estimate Settings'!$A$2:$D$8</definedName>
    <definedName name="_xlnm._FilterDatabase" localSheetId="3" hidden="1">'LOE'!$A$2:$K$36</definedName>
    <definedName name="_xlnm._FilterDatabase" localSheetId="4" hidden="1">'Credits'!$A$2:$C$5</definedName>
  </definedNames>
  <calcPr calcId="124519" calcMode="auto" fullCalcOnLoad="1" calcOnSave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0.0"/>
    <numFmt numFmtId="166" formatCode="$#,##0"/>
  </numFmts>
  <fonts count="20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family val="2"/>
      <color rgb="FF5D6D7E"/>
      <sz val="12"/>
      <u val="single"/>
    </font>
    <font>
      <name val="Calibri"/>
      <b val="1"/>
      <color rgb="FF2C3E50"/>
      <sz val="12"/>
    </font>
    <font>
      <name val="Calibri"/>
      <b val="1"/>
      <color rgb="FFFFFFFF"/>
      <sz val="12"/>
    </font>
    <font>
      <name val="Calibri"/>
      <color rgb="00FF0000"/>
      <sz val="12"/>
    </font>
    <font>
      <name val="Calibri"/>
      <color rgb="FF2C3E50"/>
      <sz val="11"/>
    </font>
    <font>
      <name val="Calibri"/>
      <b val="1"/>
      <color rgb="FF2C3E50"/>
      <sz val="11"/>
    </font>
    <font>
      <name val="Calibri"/>
      <b val="1"/>
      <color rgb="FFCC0000"/>
      <sz val="11"/>
    </font>
  </fonts>
  <fills count="12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2CC"/>
        <bgColor rgb="00FFF2CC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4" fillId="5" borderId="2" applyAlignment="1" pivotButton="0" quotePrefix="0" xfId="0">
      <alignment horizontal="right" vertical="center" wrapText="1" indent="1"/>
    </xf>
    <xf numFmtId="0" fontId="5" fillId="3" borderId="1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/>
    </xf>
    <xf numFmtId="0" fontId="9" fillId="8" borderId="4" applyAlignment="1" pivotButton="0" quotePrefix="0" xfId="0">
      <alignment horizontal="center" vertical="center"/>
    </xf>
    <xf numFmtId="9" fontId="9" fillId="8" borderId="4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0" fillId="4" borderId="2" applyAlignment="1" pivotButton="0" quotePrefix="0" xfId="0">
      <alignment horizontal="right" wrapText="1"/>
    </xf>
    <xf numFmtId="164" fontId="10" fillId="0" borderId="2" applyAlignment="1" pivotButton="0" quotePrefix="0" xfId="0">
      <alignment horizontal="right" wrapText="1"/>
    </xf>
    <xf numFmtId="164" fontId="10" fillId="4" borderId="2" applyAlignment="1" pivotButton="0" quotePrefix="0" xfId="0">
      <alignment horizontal="right" wrapText="1" indent="1"/>
    </xf>
    <xf numFmtId="164" fontId="10" fillId="0" borderId="2" applyAlignment="1" pivotButton="0" quotePrefix="0" xfId="0">
      <alignment horizontal="right" wrapText="1" indent="1"/>
    </xf>
    <xf numFmtId="164" fontId="12" fillId="5" borderId="2" applyAlignment="1" pivotButton="0" quotePrefix="0" xfId="0">
      <alignment horizontal="right" wrapText="1" indent="1"/>
    </xf>
    <xf numFmtId="0" fontId="10" fillId="4" borderId="2" applyAlignment="1" pivotButton="0" quotePrefix="0" xfId="0">
      <alignment horizontal="right" vertical="center" wrapText="1"/>
    </xf>
    <xf numFmtId="0" fontId="10" fillId="0" borderId="2" applyAlignment="1" pivotButton="0" quotePrefix="0" xfId="0">
      <alignment horizontal="right" vertical="center" wrapText="1"/>
    </xf>
    <xf numFmtId="0" fontId="4" fillId="5" borderId="2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left" vertical="center" wrapText="1" indent="1"/>
    </xf>
    <xf numFmtId="0" fontId="10" fillId="4" borderId="2" applyAlignment="1" pivotButton="0" quotePrefix="0" xfId="0">
      <alignment horizontal="left" vertical="center" wrapText="1" indent="1"/>
    </xf>
    <xf numFmtId="0" fontId="10" fillId="0" borderId="2" applyAlignment="1" pivotButton="0" quotePrefix="0" xfId="0">
      <alignment horizontal="left" vertical="center" wrapText="1" indent="1"/>
    </xf>
    <xf numFmtId="0" fontId="11" fillId="6" borderId="4" applyAlignment="1" pivotButton="0" quotePrefix="0" xfId="0">
      <alignment horizontal="left" vertical="center" wrapText="1" indent="1"/>
    </xf>
    <xf numFmtId="0" fontId="6" fillId="9" borderId="3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4" fillId="5" borderId="0" applyAlignment="1" pivotButton="0" quotePrefix="0" xfId="0">
      <alignment horizontal="center" vertical="center"/>
    </xf>
    <xf numFmtId="0" fontId="15" fillId="3" borderId="5" applyAlignment="1" pivotButton="0" quotePrefix="0" xfId="0">
      <alignment horizontal="center" vertical="center" wrapText="1"/>
    </xf>
    <xf numFmtId="0" fontId="14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left" vertical="center" wrapText="1" indent="1"/>
    </xf>
    <xf numFmtId="0" fontId="14" fillId="11" borderId="5" applyAlignment="1" pivotButton="0" quotePrefix="0" xfId="0">
      <alignment horizontal="left" vertical="center" wrapText="1" indent="1"/>
    </xf>
    <xf numFmtId="0" fontId="2" fillId="11" borderId="5" applyAlignment="1" pivotButton="0" quotePrefix="0" xfId="0">
      <alignment horizontal="left" vertical="center" wrapText="1" indent="1"/>
    </xf>
    <xf numFmtId="165" fontId="2" fillId="4" borderId="5" applyAlignment="1" pivotButton="0" quotePrefix="0" xfId="0">
      <alignment horizontal="center" vertical="center" wrapText="1"/>
    </xf>
    <xf numFmtId="165" fontId="2" fillId="11" borderId="5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left" vertical="center"/>
    </xf>
    <xf numFmtId="0" fontId="18" fillId="4" borderId="5" applyAlignment="1" pivotButton="0" quotePrefix="0" xfId="0">
      <alignment horizontal="left" vertical="center" wrapText="1" indent="1"/>
    </xf>
    <xf numFmtId="0" fontId="17" fillId="4" borderId="5" applyAlignment="1" pivotButton="0" quotePrefix="0" xfId="0">
      <alignment horizontal="left" vertical="center" wrapText="1" indent="1"/>
    </xf>
    <xf numFmtId="3" fontId="17" fillId="4" borderId="5" applyAlignment="1" pivotButton="0" quotePrefix="0" xfId="0">
      <alignment horizontal="right" vertical="center" wrapText="1"/>
    </xf>
    <xf numFmtId="165" fontId="17" fillId="4" borderId="5" applyAlignment="1" pivotButton="0" quotePrefix="0" xfId="0">
      <alignment horizontal="center" vertical="center" wrapText="1"/>
    </xf>
    <xf numFmtId="0" fontId="17" fillId="4" borderId="5" applyAlignment="1" pivotButton="0" quotePrefix="0" xfId="0">
      <alignment horizontal="right" vertical="center" wrapText="1"/>
    </xf>
    <xf numFmtId="166" fontId="17" fillId="4" borderId="5" applyAlignment="1" pivotButton="0" quotePrefix="0" xfId="0">
      <alignment horizontal="right" vertical="center" wrapText="1"/>
    </xf>
    <xf numFmtId="0" fontId="18" fillId="11" borderId="5" applyAlignment="1" pivotButton="0" quotePrefix="0" xfId="0">
      <alignment horizontal="left" vertical="center" wrapText="1" indent="1"/>
    </xf>
    <xf numFmtId="0" fontId="17" fillId="11" borderId="5" applyAlignment="1" pivotButton="0" quotePrefix="0" xfId="0">
      <alignment horizontal="left" vertical="center" wrapText="1" indent="1"/>
    </xf>
    <xf numFmtId="3" fontId="17" fillId="11" borderId="5" applyAlignment="1" pivotButton="0" quotePrefix="0" xfId="0">
      <alignment horizontal="right" vertical="center" wrapText="1"/>
    </xf>
    <xf numFmtId="165" fontId="17" fillId="11" borderId="5" applyAlignment="1" pivotButton="0" quotePrefix="0" xfId="0">
      <alignment horizontal="center" vertical="center" wrapText="1"/>
    </xf>
    <xf numFmtId="0" fontId="17" fillId="11" borderId="5" applyAlignment="1" pivotButton="0" quotePrefix="0" xfId="0">
      <alignment horizontal="right" vertical="center" wrapText="1"/>
    </xf>
    <xf numFmtId="166" fontId="17" fillId="11" borderId="5" applyAlignment="1" pivotButton="0" quotePrefix="0" xfId="0">
      <alignment horizontal="right" vertical="center" wrapText="1"/>
    </xf>
    <xf numFmtId="0" fontId="19" fillId="5" borderId="5" applyAlignment="1" pivotButton="0" quotePrefix="0" xfId="0">
      <alignment horizontal="left" vertical="center" wrapText="1"/>
    </xf>
    <xf numFmtId="0" fontId="19" fillId="5" borderId="5" applyAlignment="1" pivotButton="0" quotePrefix="0" xfId="0">
      <alignment horizontal="right" vertical="center" wrapText="1"/>
    </xf>
    <xf numFmtId="166" fontId="2" fillId="4" borderId="5" applyAlignment="1" pivotButton="0" quotePrefix="0" xfId="0">
      <alignment horizontal="right" vertical="center" wrapText="1"/>
    </xf>
    <xf numFmtId="166" fontId="2" fillId="11" borderId="5" applyAlignment="1" pivotButton="0" quotePrefix="0" xfId="0">
      <alignment horizontal="right" vertical="center" wrapText="1"/>
    </xf>
    <xf numFmtId="0" fontId="4" fillId="5" borderId="5" applyAlignment="1" pivotButton="0" quotePrefix="0" xfId="0">
      <alignment horizontal="left" vertical="center" wrapText="1"/>
    </xf>
    <xf numFmtId="166" fontId="4" fillId="5" borderId="5" applyAlignment="1" pivotButton="0" quotePrefix="0" xfId="0">
      <alignment horizontal="right" vertical="center" wrapText="1"/>
    </xf>
    <xf numFmtId="0" fontId="4" fillId="5" borderId="5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708214" cy="365379"/>
    <pic>
      <nvPicPr>
        <cNvPr id="2" name="Imag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09550" y="2032000"/>
          <a:ext cx="1708214" cy="36537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tabSelected="1" workbookViewId="0">
      <selection activeCell="C6" sqref="C6:C7"/>
    </sheetView>
  </sheetViews>
  <sheetFormatPr baseColWidth="8" defaultRowHeight="14.5"/>
  <cols>
    <col width="3" customWidth="1" min="1" max="1"/>
    <col width="25" customWidth="1" min="2" max="2"/>
    <col width="32.81640625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33" t="inlineStr">
        <is>
          <t>Level of Effort</t>
        </is>
      </c>
    </row>
    <row r="4" ht="18" customHeight="1"/>
    <row r="5" ht="18" customHeight="1">
      <c r="B5" s="2" t="inlineStr">
        <is>
          <t>Generated:</t>
        </is>
      </c>
      <c r="C5" s="3" t="inlineStr">
        <is>
          <t>June 08, 2026</t>
        </is>
      </c>
    </row>
    <row r="6" ht="18" customHeight="1">
      <c r="B6" s="2" t="inlineStr">
        <is>
          <t>Solution:</t>
        </is>
      </c>
      <c r="C6" s="3" t="inlineStr">
        <is>
          <t>Tmpiwfaanry</t>
        </is>
      </c>
    </row>
    <row r="7" ht="18" customHeight="1">
      <c r="B7" s="2" t="inlineStr">
        <is>
          <t>Customer:</t>
        </is>
      </c>
      <c r="C7" s="3" t="inlineStr">
        <is>
          <t>[Customer Name]</t>
        </is>
      </c>
    </row>
    <row r="8" ht="18" customHeight="1">
      <c r="B8" s="2" t="inlineStr">
        <is>
          <t>Version:</t>
        </is>
      </c>
      <c r="C8" s="3" t="inlineStr">
        <is>
          <t>1.0</t>
        </is>
      </c>
    </row>
    <row r="9" ht="18" customHeight="1">
      <c r="B9" s="2" t="inlineStr">
        <is>
          <t>Status:</t>
        </is>
      </c>
      <c r="C9" s="4" t="inlineStr">
        <is>
          <t>Draft</t>
        </is>
      </c>
    </row>
    <row r="10" ht="18" customHeight="1">
      <c r="B10" s="2" t="n"/>
      <c r="C10" s="4" t="n"/>
    </row>
    <row r="11" ht="18" customHeight="1"/>
    <row r="12" ht="30" customHeight="1">
      <c r="C12" s="32" t="inlineStr">
        <is>
          <t>eoframework.org</t>
        </is>
      </c>
    </row>
  </sheetData>
  <mergeCells count="1">
    <mergeCell ref="B3:C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30" customWidth="1" min="3" max="3"/>
    <col width="25" customWidth="1" min="4" max="4"/>
    <col width="25" customWidth="1" min="5" max="5"/>
    <col width="30" customWidth="1" min="6" max="6"/>
    <col width="40" customWidth="1" min="7" max="7"/>
  </cols>
  <sheetData>
    <row r="1" ht="32" customHeight="1">
      <c r="A1" s="34" t="inlineStr">
        <is>
          <t>SCOPE ASSUMPTIONS</t>
        </is>
      </c>
    </row>
    <row r="2" ht="32" customHeight="1">
      <c r="A2" s="35" t="inlineStr">
        <is>
          <t>Category</t>
        </is>
      </c>
      <c r="B2" s="35" t="inlineStr">
        <is>
          <t>Baseline Assumption</t>
        </is>
      </c>
      <c r="C2" s="35" t="inlineStr">
        <is>
          <t>Current Scope</t>
        </is>
      </c>
      <c r="D2" s="35" t="inlineStr">
        <is>
          <t>Small (1x)</t>
        </is>
      </c>
      <c r="E2" s="35" t="inlineStr">
        <is>
          <t>Medium (2x)</t>
        </is>
      </c>
      <c r="F2" s="35" t="inlineStr">
        <is>
          <t>Large (3x)</t>
        </is>
      </c>
      <c r="G2" s="35" t="inlineStr">
        <is>
          <t>Notes</t>
        </is>
      </c>
    </row>
    <row r="3" ht="26" customHeight="1">
      <c r="A3" s="36" t="inlineStr">
        <is>
          <t>Users / Accounts in Scope</t>
        </is>
      </c>
      <c r="B3" s="37" t="inlineStr">
        <is>
          <t>Single business unit</t>
        </is>
      </c>
      <c r="C3" s="38" t="inlineStr">
        <is>
          <t>Small faith-based streaming user base at launch</t>
        </is>
      </c>
      <c r="D3" s="37" t="inlineStr">
        <is>
          <t>&lt;500 users</t>
        </is>
      </c>
      <c r="E3" s="37" t="inlineStr">
        <is>
          <t>500-5000 users</t>
        </is>
      </c>
      <c r="F3" s="37" t="inlineStr">
        <is>
          <t>5000+ users</t>
        </is>
      </c>
      <c r="G3" s="37" t="inlineStr">
        <is>
          <t>Initial launch; growth expected post-engagement</t>
        </is>
      </c>
    </row>
    <row r="4" ht="26" customHeight="1">
      <c r="A4" s="39" t="inlineStr">
        <is>
          <t>AI Endpoints / Models</t>
        </is>
      </c>
      <c r="B4" s="40" t="inlineStr">
        <is>
          <t>1 REST API endpoint</t>
        </is>
      </c>
      <c r="C4" s="38" t="inlineStr">
        <is>
          <t>2 endpoints (mood classifier + recommendation)</t>
        </is>
      </c>
      <c r="D4" s="40" t="inlineStr">
        <is>
          <t>1-2 endpoints</t>
        </is>
      </c>
      <c r="E4" s="40" t="inlineStr">
        <is>
          <t>3-5 endpoints</t>
        </is>
      </c>
      <c r="F4" s="40" t="inlineStr">
        <is>
          <t>6+ endpoints</t>
        </is>
      </c>
      <c r="G4" s="40" t="inlineStr">
        <is>
          <t>Mood-classification and playlist recommendation endpoints</t>
        </is>
      </c>
    </row>
    <row r="5" ht="26" customHeight="1">
      <c r="A5" s="36" t="inlineStr">
        <is>
          <t>AWS Managed Services</t>
        </is>
      </c>
      <c r="B5" s="37" t="inlineStr">
        <is>
          <t>Core AI/ML services only</t>
        </is>
      </c>
      <c r="C5" s="38" t="inlineStr">
        <is>
          <t>Lambda, Bedrock, API Gateway, DynamoDB</t>
        </is>
      </c>
      <c r="D5" s="37" t="inlineStr">
        <is>
          <t>2-3 services</t>
        </is>
      </c>
      <c r="E5" s="37" t="inlineStr">
        <is>
          <t>4-6 services</t>
        </is>
      </c>
      <c r="F5" s="37" t="inlineStr">
        <is>
          <t>7+ services</t>
        </is>
      </c>
      <c r="G5" s="37" t="inlineStr">
        <is>
          <t>No self-managed ML infrastructure required</t>
        </is>
      </c>
    </row>
    <row r="6" ht="26" customHeight="1">
      <c r="A6" s="39" t="inlineStr">
        <is>
          <t>Environments</t>
        </is>
      </c>
      <c r="B6" s="40" t="inlineStr">
        <is>
          <t>Dev and Prod</t>
        </is>
      </c>
      <c r="C6" s="38" t="inlineStr">
        <is>
          <t>Dev + Prod (no dedicated QA env)</t>
        </is>
      </c>
      <c r="D6" s="40" t="inlineStr">
        <is>
          <t>Dev + Prod</t>
        </is>
      </c>
      <c r="E6" s="40" t="inlineStr">
        <is>
          <t>Dev + Staging + Prod</t>
        </is>
      </c>
      <c r="F6" s="40" t="inlineStr">
        <is>
          <t>Dev + Staging + Prod + DR</t>
        </is>
      </c>
      <c r="G6" s="40" t="inlineStr">
        <is>
          <t>Firebase remains for frontend data</t>
        </is>
      </c>
    </row>
    <row r="7" ht="26" customHeight="1">
      <c r="A7" s="36" t="inlineStr">
        <is>
          <t>Integration Points</t>
        </is>
      </c>
      <c r="B7" s="37" t="inlineStr">
        <is>
          <t>Single source system</t>
        </is>
      </c>
      <c r="C7" s="38" t="inlineStr">
        <is>
          <t>Firebase catalog (read-only) + FlutterFlow API calls</t>
        </is>
      </c>
      <c r="D7" s="37" t="inlineStr">
        <is>
          <t>1 integration</t>
        </is>
      </c>
      <c r="E7" s="37" t="inlineStr">
        <is>
          <t>2-3 integrations</t>
        </is>
      </c>
      <c r="F7" s="37" t="inlineStr">
        <is>
          <t>4+ integrations</t>
        </is>
      </c>
      <c r="G7" s="37" t="inlineStr">
        <is>
          <t>No mobile frontend changes required</t>
        </is>
      </c>
    </row>
    <row r="8" ht="26" customHeight="1">
      <c r="A8" s="39" t="inlineStr">
        <is>
          <t>Data Volume / Catalog Size</t>
        </is>
      </c>
      <c r="B8" s="40" t="inlineStr">
        <is>
          <t>Small catalog</t>
        </is>
      </c>
      <c r="C8" s="38" t="inlineStr">
        <is>
          <t>Existing catalog with lyrics and transcripts</t>
        </is>
      </c>
      <c r="D8" s="40" t="inlineStr">
        <is>
          <t>&lt;1000 tracks</t>
        </is>
      </c>
      <c r="E8" s="40" t="inlineStr">
        <is>
          <t>1000-10000 tracks</t>
        </is>
      </c>
      <c r="F8" s="40" t="inlineStr">
        <is>
          <t>10000+ tracks</t>
        </is>
      </c>
      <c r="G8" s="40" t="inlineStr">
        <is>
          <t>Existing tags and text used for mood inference</t>
        </is>
      </c>
    </row>
    <row r="9" ht="26" customHeight="1">
      <c r="A9" s="36" t="inlineStr">
        <is>
          <t>Compliance / Security</t>
        </is>
      </c>
      <c r="B9" s="37" t="inlineStr">
        <is>
          <t>Standard AWS security baseline</t>
        </is>
      </c>
      <c r="C9" s="38" t="inlineStr">
        <is>
          <t>IAM least privilege + API key auth + HTTPS only</t>
        </is>
      </c>
      <c r="D9" s="37" t="inlineStr">
        <is>
          <t>Standard baseline</t>
        </is>
      </c>
      <c r="E9" s="37" t="inlineStr">
        <is>
          <t>SOC2 alignment</t>
        </is>
      </c>
      <c r="F9" s="37" t="inlineStr">
        <is>
          <t>Full compliance audit</t>
        </is>
      </c>
      <c r="G9" s="37" t="inlineStr">
        <is>
          <t>No HIPAA or PCI requirements identified</t>
        </is>
      </c>
    </row>
  </sheetData>
  <autoFilter ref="A2:G9"/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  <col width="80" customWidth="1" min="4" max="4"/>
  </cols>
  <sheetData>
    <row r="1" ht="32" customHeight="1">
      <c r="A1" s="34" t="inlineStr">
        <is>
          <t>ESTIMATE SETTINGS</t>
        </is>
      </c>
    </row>
    <row r="2" ht="32" customHeight="1">
      <c r="A2" s="35" t="inlineStr">
        <is>
          <t>Phase</t>
        </is>
      </c>
      <c r="B2" s="35" t="inlineStr">
        <is>
          <t>Variable Name</t>
        </is>
      </c>
      <c r="C2" s="35" t="inlineStr">
        <is>
          <t>Multiplier</t>
        </is>
      </c>
      <c r="D2" s="35" t="inlineStr">
        <is>
          <t>Description / Applies To Tasks</t>
        </is>
      </c>
    </row>
    <row r="3" ht="26" customHeight="1">
      <c r="A3" s="36" t="inlineStr">
        <is>
          <t>Discovery</t>
        </is>
      </c>
      <c r="B3" s="37" t="inlineStr">
        <is>
          <t>discovery_factor</t>
        </is>
      </c>
      <c r="C3" s="41" t="n">
        <v>1</v>
      </c>
      <c r="D3" s="37" t="inlineStr">
        <is>
          <t>Baseline for stakeholder interviews and AWS architecture design</t>
        </is>
      </c>
    </row>
    <row r="4" ht="26" customHeight="1">
      <c r="A4" s="39" t="inlineStr">
        <is>
          <t>Planning</t>
        </is>
      </c>
      <c r="B4" s="40" t="inlineStr">
        <is>
          <t>planning_factor</t>
        </is>
      </c>
      <c r="C4" s="42" t="n">
        <v>1</v>
      </c>
      <c r="D4" s="40" t="inlineStr">
        <is>
          <t>Solution design and detailed technical planning for two AI endpoints</t>
        </is>
      </c>
    </row>
    <row r="5" ht="26" customHeight="1">
      <c r="A5" s="36" t="inlineStr">
        <is>
          <t>Development</t>
        </is>
      </c>
      <c r="B5" s="37" t="inlineStr">
        <is>
          <t>development_factor</t>
        </is>
      </c>
      <c r="C5" s="41" t="n">
        <v>1</v>
      </c>
      <c r="D5" s="37" t="inlineStr">
        <is>
          <t>Lambda and Bedrock implementation plus API Gateway and DynamoDB configuration</t>
        </is>
      </c>
    </row>
    <row r="6" ht="26" customHeight="1">
      <c r="A6" s="39" t="inlineStr">
        <is>
          <t>Testing</t>
        </is>
      </c>
      <c r="B6" s="40" t="inlineStr">
        <is>
          <t>testing_factor</t>
        </is>
      </c>
      <c r="C6" s="42" t="n">
        <v>1</v>
      </c>
      <c r="D6" s="40" t="inlineStr">
        <is>
          <t>Functional and integration testing of mood-classification and recommendation endpoints</t>
        </is>
      </c>
    </row>
    <row r="7" ht="26" customHeight="1">
      <c r="A7" s="36" t="inlineStr">
        <is>
          <t>Deployment</t>
        </is>
      </c>
      <c r="B7" s="37" t="inlineStr">
        <is>
          <t>deployment_factor</t>
        </is>
      </c>
      <c r="C7" s="41" t="n">
        <v>1</v>
      </c>
      <c r="D7" s="37" t="inlineStr">
        <is>
          <t>Production deployment plus API documentation and knowledge transfer</t>
        </is>
      </c>
    </row>
    <row r="8" ht="26" customHeight="1">
      <c r="A8" s="39" t="inlineStr">
        <is>
          <t>Management</t>
        </is>
      </c>
      <c r="B8" s="40" t="inlineStr">
        <is>
          <t>management_factor</t>
        </is>
      </c>
      <c r="C8" s="42" t="n">
        <v>1</v>
      </c>
      <c r="D8" s="40" t="inlineStr">
        <is>
          <t>Project management and technical leadership overhead (10% of engineering hours)</t>
        </is>
      </c>
    </row>
    <row r="10" ht="20" customHeight="1">
      <c r="A10" s="43" t="inlineStr">
        <is>
          <t>EO Sales Engineer Updates Multipliers Based on Customer Scope</t>
        </is>
      </c>
    </row>
  </sheetData>
  <autoFilter ref="A2:D8"/>
  <mergeCells count="2">
    <mergeCell ref="A1:D1"/>
    <mergeCell ref="A10:D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50" customWidth="1" min="3" max="3"/>
    <col width="15" customWidth="1" min="4" max="4"/>
    <col width="12" customWidth="1" min="5" max="5"/>
    <col width="14" customWidth="1" min="6" max="6"/>
    <col width="12" customWidth="1" min="7" max="7"/>
    <col width="12" customWidth="1" min="8" max="8"/>
    <col width="15" customWidth="1" min="9" max="9"/>
    <col width="25" customWidth="1" min="10" max="10"/>
    <col width="40" customWidth="1" min="11" max="11"/>
  </cols>
  <sheetData>
    <row r="1" ht="32" customHeight="1">
      <c r="A1" s="34" t="inlineStr">
        <is>
          <t>LEVEL OF EFFORT</t>
        </is>
      </c>
    </row>
    <row r="2" ht="32" customHeight="1">
      <c r="A2" s="35" t="inlineStr">
        <is>
          <t>Phase</t>
        </is>
      </c>
      <c r="B2" s="35" t="inlineStr">
        <is>
          <t>Work Package</t>
        </is>
      </c>
      <c r="C2" s="35" t="inlineStr">
        <is>
          <t>Task Description</t>
        </is>
      </c>
      <c r="D2" s="35" t="inlineStr">
        <is>
          <t>Resource Type</t>
        </is>
      </c>
      <c r="E2" s="35" t="inlineStr">
        <is>
          <t>Base Hours</t>
        </is>
      </c>
      <c r="F2" s="35" t="inlineStr">
        <is>
          <t>Effort Multiplier</t>
        </is>
      </c>
      <c r="G2" s="35" t="inlineStr">
        <is>
          <t>Actual Hours</t>
        </is>
      </c>
      <c r="H2" s="35" t="inlineStr">
        <is>
          <t>Rate</t>
        </is>
      </c>
      <c r="I2" s="35" t="inlineStr">
        <is>
          <t>Cost Estimate</t>
        </is>
      </c>
      <c r="J2" s="35" t="inlineStr">
        <is>
          <t>Dependencies</t>
        </is>
      </c>
      <c r="K2" s="35" t="inlineStr">
        <is>
          <t>Notes</t>
        </is>
      </c>
    </row>
    <row r="3" ht="26" customHeight="1">
      <c r="A3" s="44" t="inlineStr">
        <is>
          <t>Discovery</t>
        </is>
      </c>
      <c r="B3" s="45" t="inlineStr">
        <is>
          <t>Project Kickoff</t>
        </is>
      </c>
      <c r="C3" s="45" t="inlineStr">
        <is>
          <t>Project kickoff meeting with Lilly Goyah and nClouds team to align on goals and timeline</t>
        </is>
      </c>
      <c r="D3" s="45" t="inlineStr">
        <is>
          <t>Project Manager</t>
        </is>
      </c>
      <c r="E3" s="46" t="n">
        <v>4</v>
      </c>
      <c r="F3" s="47" t="n">
        <v>1</v>
      </c>
      <c r="G3" s="48">
        <f>E3*F3</f>
        <v/>
      </c>
      <c r="H3" s="49" t="n">
        <v>175</v>
      </c>
      <c r="I3" s="48">
        <f>TEXT(G3*H3,"$#,##0")</f>
        <v/>
      </c>
      <c r="J3" s="45" t="inlineStr"/>
      <c r="K3" s="45" t="inlineStr">
        <is>
          <t>Short engagement with single executive stakeholder</t>
        </is>
      </c>
    </row>
    <row r="4" ht="26" customHeight="1">
      <c r="A4" s="50" t="inlineStr">
        <is>
          <t>Discovery</t>
        </is>
      </c>
      <c r="B4" s="51" t="inlineStr">
        <is>
          <t>Current State Assessment</t>
        </is>
      </c>
      <c r="C4" s="51" t="inlineStr">
        <is>
          <t>Review existing Firebase catalog structure (titles, artists, lyrics, transcripts) and FlutterFlow API patterns</t>
        </is>
      </c>
      <c r="D4" s="51" t="inlineStr">
        <is>
          <t>Solution Architect</t>
        </is>
      </c>
      <c r="E4" s="52" t="n">
        <v>8</v>
      </c>
      <c r="F4" s="53" t="n">
        <v>1</v>
      </c>
      <c r="G4" s="54">
        <f>E4*F4</f>
        <v/>
      </c>
      <c r="H4" s="55" t="n">
        <v>225</v>
      </c>
      <c r="I4" s="54">
        <f>TEXT(G4*H4,"$#,##0")</f>
        <v/>
      </c>
      <c r="J4" s="51" t="inlineStr">
        <is>
          <t>Project Kickoff</t>
        </is>
      </c>
      <c r="K4" s="51" t="inlineStr">
        <is>
          <t>Read-only Firebase access; no migration in scope</t>
        </is>
      </c>
    </row>
    <row r="5" ht="26" customHeight="1">
      <c r="A5" s="44" t="inlineStr">
        <is>
          <t>Discovery</t>
        </is>
      </c>
      <c r="B5" s="45" t="inlineStr">
        <is>
          <t>Requirements Gathering</t>
        </is>
      </c>
      <c r="C5" s="45" t="inlineStr">
        <is>
          <t>Document functional requirements for mood-classification and playlist recommendation endpoints</t>
        </is>
      </c>
      <c r="D5" s="45" t="inlineStr">
        <is>
          <t>Solution Architect</t>
        </is>
      </c>
      <c r="E5" s="46" t="n">
        <v>8</v>
      </c>
      <c r="F5" s="47" t="n">
        <v>1</v>
      </c>
      <c r="G5" s="48">
        <f>E5*F5</f>
        <v/>
      </c>
      <c r="H5" s="49" t="n">
        <v>225</v>
      </c>
      <c r="I5" s="48">
        <f>TEXT(G5*H5,"$#,##0")</f>
        <v/>
      </c>
      <c r="J5" s="45" t="inlineStr">
        <is>
          <t>Current State Assessment</t>
        </is>
      </c>
      <c r="K5" s="45" t="inlineStr">
        <is>
          <t>Two endpoints confirmed; input/output schemas to be agreed</t>
        </is>
      </c>
    </row>
    <row r="6" ht="26" customHeight="1">
      <c r="A6" s="50" t="inlineStr">
        <is>
          <t>Discovery</t>
        </is>
      </c>
      <c r="B6" s="51" t="inlineStr">
        <is>
          <t>AWS Architecture Design</t>
        </is>
      </c>
      <c r="C6" s="51" t="inlineStr">
        <is>
          <t>Design AWS architecture using Lambda, Bedrock, API Gateway, and DynamoDB for both endpoints</t>
        </is>
      </c>
      <c r="D6" s="51" t="inlineStr">
        <is>
          <t>Solution Architect</t>
        </is>
      </c>
      <c r="E6" s="52" t="n">
        <v>16</v>
      </c>
      <c r="F6" s="53" t="n">
        <v>1</v>
      </c>
      <c r="G6" s="54">
        <f>E6*F6</f>
        <v/>
      </c>
      <c r="H6" s="55" t="n">
        <v>225</v>
      </c>
      <c r="I6" s="54">
        <f>TEXT(G6*H6,"$#,##0")</f>
        <v/>
      </c>
      <c r="J6" s="51" t="inlineStr">
        <is>
          <t>Requirements Gathering</t>
        </is>
      </c>
      <c r="K6" s="51" t="inlineStr">
        <is>
          <t>Leverage AWS managed services; no self-managed models</t>
        </is>
      </c>
    </row>
    <row r="7" ht="26" customHeight="1">
      <c r="A7" s="44" t="inlineStr">
        <is>
          <t>Discovery</t>
        </is>
      </c>
      <c r="B7" s="45" t="inlineStr">
        <is>
          <t>Data Assessment</t>
        </is>
      </c>
      <c r="C7" s="45" t="inlineStr">
        <is>
          <t>Assess catalog text data quality (lyrics and transcripts) for mood-inference readiness via Bedrock</t>
        </is>
      </c>
      <c r="D7" s="45" t="inlineStr">
        <is>
          <t>ML/AI Engineer</t>
        </is>
      </c>
      <c r="E7" s="46" t="n">
        <v>8</v>
      </c>
      <c r="F7" s="47" t="n">
        <v>1</v>
      </c>
      <c r="G7" s="48">
        <f>E7*F7</f>
        <v/>
      </c>
      <c r="H7" s="49" t="n">
        <v>250</v>
      </c>
      <c r="I7" s="48">
        <f>TEXT(G7*H7,"$#,##0")</f>
        <v/>
      </c>
      <c r="J7" s="45" t="inlineStr">
        <is>
          <t>Current State Assessment</t>
        </is>
      </c>
      <c r="K7" s="45" t="inlineStr">
        <is>
          <t>Confirm Bedrock model suitability for faith-based content</t>
        </is>
      </c>
    </row>
    <row r="8" ht="26" customHeight="1">
      <c r="A8" s="50" t="inlineStr">
        <is>
          <t>Discovery</t>
        </is>
      </c>
      <c r="B8" s="51" t="inlineStr">
        <is>
          <t>Risk Assessment</t>
        </is>
      </c>
      <c r="C8" s="51" t="inlineStr">
        <is>
          <t>Identify project risks covering data quality gaps, Firebase connectivity, and AWS account readiness</t>
        </is>
      </c>
      <c r="D8" s="51" t="inlineStr">
        <is>
          <t>Project Manager</t>
        </is>
      </c>
      <c r="E8" s="52" t="n">
        <v>4</v>
      </c>
      <c r="F8" s="53" t="n">
        <v>1</v>
      </c>
      <c r="G8" s="54">
        <f>E8*F8</f>
        <v/>
      </c>
      <c r="H8" s="55" t="n">
        <v>175</v>
      </c>
      <c r="I8" s="54">
        <f>TEXT(G8*H8,"$#,##0")</f>
        <v/>
      </c>
      <c r="J8" s="51" t="inlineStr">
        <is>
          <t>AWS Architecture Design</t>
        </is>
      </c>
      <c r="K8" s="51" t="inlineStr">
        <is>
          <t>Short timeline increases risk; mitigations documented</t>
        </is>
      </c>
    </row>
    <row r="9" ht="26" customHeight="1">
      <c r="A9" s="44" t="inlineStr">
        <is>
          <t>Discovery</t>
        </is>
      </c>
      <c r="B9" s="45" t="inlineStr">
        <is>
          <t>Discovery Summary Report</t>
        </is>
      </c>
      <c r="C9" s="45" t="inlineStr">
        <is>
          <t>Document architecture decision record and confirmed scope for client review and sign-off</t>
        </is>
      </c>
      <c r="D9" s="45" t="inlineStr">
        <is>
          <t>Solution Architect</t>
        </is>
      </c>
      <c r="E9" s="46" t="n">
        <v>6</v>
      </c>
      <c r="F9" s="47" t="n">
        <v>1</v>
      </c>
      <c r="G9" s="48">
        <f>E9*F9</f>
        <v/>
      </c>
      <c r="H9" s="49" t="n">
        <v>225</v>
      </c>
      <c r="I9" s="48">
        <f>TEXT(G9*H9,"$#,##0")</f>
        <v/>
      </c>
      <c r="J9" s="45" t="inlineStr">
        <is>
          <t>Risk Assessment</t>
        </is>
      </c>
      <c r="K9" s="45" t="inlineStr">
        <is>
          <t>Deliverable reviewed by client within 3 working days</t>
        </is>
      </c>
    </row>
    <row r="10" ht="26" customHeight="1">
      <c r="A10" s="50" t="inlineStr">
        <is>
          <t>Planning</t>
        </is>
      </c>
      <c r="B10" s="51" t="inlineStr">
        <is>
          <t>Detailed Architecture Specification</t>
        </is>
      </c>
      <c r="C10" s="51" t="inlineStr">
        <is>
          <t>Produce detailed design specs for both API endpoints including request/response schemas, auth, and error handling</t>
        </is>
      </c>
      <c r="D10" s="51" t="inlineStr">
        <is>
          <t>Solution Architect</t>
        </is>
      </c>
      <c r="E10" s="52" t="n">
        <v>12</v>
      </c>
      <c r="F10" s="53" t="n">
        <v>1</v>
      </c>
      <c r="G10" s="54">
        <f>E10*F10</f>
        <v/>
      </c>
      <c r="H10" s="55" t="n">
        <v>225</v>
      </c>
      <c r="I10" s="54">
        <f>TEXT(G10*H10,"$#,##0")</f>
        <v/>
      </c>
      <c r="J10" s="51" t="inlineStr">
        <is>
          <t>Discovery Summary Report</t>
        </is>
      </c>
      <c r="K10" s="51" t="inlineStr">
        <is>
          <t>Input to development and API documentation</t>
        </is>
      </c>
    </row>
    <row r="11" ht="26" customHeight="1">
      <c r="A11" s="44" t="inlineStr">
        <is>
          <t>Planning</t>
        </is>
      </c>
      <c r="B11" s="45" t="inlineStr">
        <is>
          <t>AWS Environment Setup</t>
        </is>
      </c>
      <c r="C11" s="45" t="inlineStr">
        <is>
          <t>Provision AWS account baseline: IAM roles, API Gateway, Lambda, and DynamoDB tables for Dev and Prod</t>
        </is>
      </c>
      <c r="D11" s="45" t="inlineStr">
        <is>
          <t>Cloud Engineer</t>
        </is>
      </c>
      <c r="E11" s="46" t="n">
        <v>12</v>
      </c>
      <c r="F11" s="47" t="n">
        <v>1</v>
      </c>
      <c r="G11" s="48">
        <f>E11*F11</f>
        <v/>
      </c>
      <c r="H11" s="49" t="n">
        <v>200</v>
      </c>
      <c r="I11" s="48">
        <f>TEXT(G11*H11,"$#,##0")</f>
        <v/>
      </c>
      <c r="J11" s="45" t="inlineStr">
        <is>
          <t>Detailed Architecture Specification</t>
        </is>
      </c>
      <c r="K11" s="45" t="inlineStr">
        <is>
          <t>IaC via CloudFormation or CDK; Dev and Prod environments</t>
        </is>
      </c>
    </row>
    <row r="12" ht="26" customHeight="1">
      <c r="A12" s="50" t="inlineStr">
        <is>
          <t>Planning</t>
        </is>
      </c>
      <c r="B12" s="51" t="inlineStr">
        <is>
          <t>Security Baseline Configuration</t>
        </is>
      </c>
      <c r="C12" s="51" t="inlineStr">
        <is>
          <t>Configure IAM least-privilege policies, API key authentication, HTTPS enforcement, and CloudWatch logging</t>
        </is>
      </c>
      <c r="D12" s="51" t="inlineStr">
        <is>
          <t>Security Engineer</t>
        </is>
      </c>
      <c r="E12" s="52" t="n">
        <v>8</v>
      </c>
      <c r="F12" s="53" t="n">
        <v>1</v>
      </c>
      <c r="G12" s="54">
        <f>E12*F12</f>
        <v/>
      </c>
      <c r="H12" s="55" t="n">
        <v>200</v>
      </c>
      <c r="I12" s="54">
        <f>TEXT(G12*H12,"$#,##0")</f>
        <v/>
      </c>
      <c r="J12" s="51" t="inlineStr">
        <is>
          <t>AWS Environment Setup</t>
        </is>
      </c>
      <c r="K12" s="51" t="inlineStr">
        <is>
          <t>Standard AWS security baseline per engagement brief</t>
        </is>
      </c>
    </row>
    <row r="13" ht="26" customHeight="1">
      <c r="A13" s="44" t="inlineStr">
        <is>
          <t>Planning</t>
        </is>
      </c>
      <c r="B13" s="45" t="inlineStr">
        <is>
          <t>Bedrock Model Selection and Prototyping</t>
        </is>
      </c>
      <c r="C13" s="45" t="inlineStr">
        <is>
          <t>Evaluate and prototype Amazon Bedrock foundation model for mood/emotion classification on faith-based content</t>
        </is>
      </c>
      <c r="D13" s="45" t="inlineStr">
        <is>
          <t>ML/AI Engineer</t>
        </is>
      </c>
      <c r="E13" s="46" t="n">
        <v>12</v>
      </c>
      <c r="F13" s="47" t="n">
        <v>1</v>
      </c>
      <c r="G13" s="48">
        <f>E13*F13</f>
        <v/>
      </c>
      <c r="H13" s="49" t="n">
        <v>250</v>
      </c>
      <c r="I13" s="48">
        <f>TEXT(G13*H13,"$#,##0")</f>
        <v/>
      </c>
      <c r="J13" s="45" t="inlineStr">
        <is>
          <t>AWS Environment Setup</t>
        </is>
      </c>
      <c r="K13" s="45" t="inlineStr">
        <is>
          <t>Select model suitable for lyric and transcript content</t>
        </is>
      </c>
    </row>
    <row r="14" ht="26" customHeight="1">
      <c r="A14" s="50" t="inlineStr">
        <is>
          <t>Development</t>
        </is>
      </c>
      <c r="B14" s="51" t="inlineStr">
        <is>
          <t>Mood Classification Endpoint</t>
        </is>
      </c>
      <c r="C14" s="51" t="inlineStr">
        <is>
          <t>Implement Lambda function invoking Bedrock to classify mood/emotion from lyrics or transcript text</t>
        </is>
      </c>
      <c r="D14" s="51" t="inlineStr">
        <is>
          <t>ML/AI Engineer</t>
        </is>
      </c>
      <c r="E14" s="52" t="n">
        <v>20</v>
      </c>
      <c r="F14" s="53" t="n">
        <v>1</v>
      </c>
      <c r="G14" s="54">
        <f>E14*F14</f>
        <v/>
      </c>
      <c r="H14" s="55" t="n">
        <v>250</v>
      </c>
      <c r="I14" s="54">
        <f>TEXT(G14*H14,"$#,##0")</f>
        <v/>
      </c>
      <c r="J14" s="51" t="inlineStr">
        <is>
          <t>Bedrock Model Selection and Prototyping</t>
        </is>
      </c>
      <c r="K14" s="51" t="inlineStr">
        <is>
          <t>POST /classify endpoint returning mood label and confidence score</t>
        </is>
      </c>
    </row>
    <row r="15" ht="26" customHeight="1">
      <c r="A15" s="44" t="inlineStr">
        <is>
          <t>Development</t>
        </is>
      </c>
      <c r="B15" s="45" t="inlineStr">
        <is>
          <t>Recommendation Endpoint</t>
        </is>
      </c>
      <c r="C15" s="45" t="inlineStr">
        <is>
          <t>Implement Lambda function querying DynamoDB to return personalized playlist by mood and listening history</t>
        </is>
      </c>
      <c r="D15" s="45" t="inlineStr">
        <is>
          <t>ML/AI Engineer</t>
        </is>
      </c>
      <c r="E15" s="46" t="n">
        <v>20</v>
      </c>
      <c r="F15" s="47" t="n">
        <v>1</v>
      </c>
      <c r="G15" s="48">
        <f>E15*F15</f>
        <v/>
      </c>
      <c r="H15" s="49" t="n">
        <v>250</v>
      </c>
      <c r="I15" s="48">
        <f>TEXT(G15*H15,"$#,##0")</f>
        <v/>
      </c>
      <c r="J15" s="45" t="inlineStr">
        <is>
          <t>Mood Classification Endpoint</t>
        </is>
      </c>
      <c r="K15" s="45" t="inlineStr">
        <is>
          <t>GET /recommend endpoint using DynamoDB for user history lookup</t>
        </is>
      </c>
    </row>
    <row r="16" ht="26" customHeight="1">
      <c r="A16" s="50" t="inlineStr">
        <is>
          <t>Development</t>
        </is>
      </c>
      <c r="B16" s="51" t="inlineStr">
        <is>
          <t>API Gateway Configuration</t>
        </is>
      </c>
      <c r="C16" s="51" t="inlineStr">
        <is>
          <t>Configure API Gateway routes, request validation, throttling, and API key authorization for both endpoints</t>
        </is>
      </c>
      <c r="D16" s="51" t="inlineStr">
        <is>
          <t>Solutions Engineer</t>
        </is>
      </c>
      <c r="E16" s="52" t="n">
        <v>12</v>
      </c>
      <c r="F16" s="53" t="n">
        <v>1</v>
      </c>
      <c r="G16" s="54">
        <f>E16*F16</f>
        <v/>
      </c>
      <c r="H16" s="55" t="n">
        <v>200</v>
      </c>
      <c r="I16" s="54">
        <f>TEXT(G16*H16,"$#,##0")</f>
        <v/>
      </c>
      <c r="J16" s="51" t="inlineStr">
        <is>
          <t>Mood Classification Endpoint</t>
        </is>
      </c>
      <c r="K16" s="51" t="inlineStr">
        <is>
          <t>REST API only; no frontend changes required</t>
        </is>
      </c>
    </row>
    <row r="17" ht="26" customHeight="1">
      <c r="A17" s="44" t="inlineStr">
        <is>
          <t>Development</t>
        </is>
      </c>
      <c r="B17" s="45" t="inlineStr">
        <is>
          <t>DynamoDB Schema and Data Load</t>
        </is>
      </c>
      <c r="C17" s="45" t="inlineStr">
        <is>
          <t>Design and provision DynamoDB tables for catalog mood tags and user listening history; load seed data from Firebase</t>
        </is>
      </c>
      <c r="D17" s="45" t="inlineStr">
        <is>
          <t>Solutions Engineer</t>
        </is>
      </c>
      <c r="E17" s="46" t="n">
        <v>10</v>
      </c>
      <c r="F17" s="47" t="n">
        <v>1</v>
      </c>
      <c r="G17" s="48">
        <f>E17*F17</f>
        <v/>
      </c>
      <c r="H17" s="49" t="n">
        <v>200</v>
      </c>
      <c r="I17" s="48">
        <f>TEXT(G17*H17,"$#,##0")</f>
        <v/>
      </c>
      <c r="J17" s="45" t="inlineStr">
        <is>
          <t>AWS Environment Setup</t>
        </is>
      </c>
      <c r="K17" s="45" t="inlineStr">
        <is>
          <t>Seed from existing Firebase catalog metadata</t>
        </is>
      </c>
    </row>
    <row r="18" ht="26" customHeight="1">
      <c r="A18" s="50" t="inlineStr">
        <is>
          <t>Development</t>
        </is>
      </c>
      <c r="B18" s="51" t="inlineStr">
        <is>
          <t>Auto-Tagging Pipeline</t>
        </is>
      </c>
      <c r="C18" s="51" t="inlineStr">
        <is>
          <t>Implement batch Lambda to auto-tag new catalog uploads with mood/emotion labels via Bedrock</t>
        </is>
      </c>
      <c r="D18" s="51" t="inlineStr">
        <is>
          <t>ML/AI Engineer</t>
        </is>
      </c>
      <c r="E18" s="52" t="n">
        <v>16</v>
      </c>
      <c r="F18" s="53" t="n">
        <v>1</v>
      </c>
      <c r="G18" s="54">
        <f>E18*F18</f>
        <v/>
      </c>
      <c r="H18" s="55" t="n">
        <v>250</v>
      </c>
      <c r="I18" s="54">
        <f>TEXT(G18*H18,"$#,##0")</f>
        <v/>
      </c>
      <c r="J18" s="51" t="inlineStr">
        <is>
          <t>Mood Classification Endpoint</t>
        </is>
      </c>
      <c r="K18" s="51" t="inlineStr">
        <is>
          <t>Triggered on new upload events; tags stored in DynamoDB</t>
        </is>
      </c>
    </row>
    <row r="19" ht="26" customHeight="1">
      <c r="A19" s="44" t="inlineStr">
        <is>
          <t>Development</t>
        </is>
      </c>
      <c r="B19" s="45" t="inlineStr">
        <is>
          <t>Monitoring and Alerting Setup</t>
        </is>
      </c>
      <c r="C19" s="45" t="inlineStr">
        <is>
          <t>Configure CloudWatch dashboards, Lambda error alarms, and API Gateway latency alerts</t>
        </is>
      </c>
      <c r="D19" s="45" t="inlineStr">
        <is>
          <t>Cloud Engineer</t>
        </is>
      </c>
      <c r="E19" s="46" t="n">
        <v>6</v>
      </c>
      <c r="F19" s="47" t="n">
        <v>1</v>
      </c>
      <c r="G19" s="48">
        <f>E19*F19</f>
        <v/>
      </c>
      <c r="H19" s="49" t="n">
        <v>200</v>
      </c>
      <c r="I19" s="48">
        <f>TEXT(G19*H19,"$#,##0")</f>
        <v/>
      </c>
      <c r="J19" s="45" t="inlineStr">
        <is>
          <t>API Gateway Configuration</t>
        </is>
      </c>
      <c r="K19" s="45" t="inlineStr">
        <is>
          <t>Operational visibility required for production handover</t>
        </is>
      </c>
    </row>
    <row r="20" ht="26" customHeight="1">
      <c r="A20" s="50" t="inlineStr">
        <is>
          <t>Development</t>
        </is>
      </c>
      <c r="B20" s="51" t="inlineStr">
        <is>
          <t>Infrastructure as Code</t>
        </is>
      </c>
      <c r="C20" s="51" t="inlineStr">
        <is>
          <t>Finalize CloudFormation/CDK templates for repeatable Dev and Prod environment deployments</t>
        </is>
      </c>
      <c r="D20" s="51" t="inlineStr">
        <is>
          <t>Cloud Engineer</t>
        </is>
      </c>
      <c r="E20" s="52" t="n">
        <v>8</v>
      </c>
      <c r="F20" s="53" t="n">
        <v>1</v>
      </c>
      <c r="G20" s="54">
        <f>E20*F20</f>
        <v/>
      </c>
      <c r="H20" s="55" t="n">
        <v>200</v>
      </c>
      <c r="I20" s="54">
        <f>TEXT(G20*H20,"$#,##0")</f>
        <v/>
      </c>
      <c r="J20" s="51" t="inlineStr">
        <is>
          <t>AWS Environment Setup</t>
        </is>
      </c>
      <c r="K20" s="51" t="inlineStr">
        <is>
          <t>Enables reproducible environment provisioning</t>
        </is>
      </c>
    </row>
    <row r="21" ht="26" customHeight="1">
      <c r="A21" s="44" t="inlineStr">
        <is>
          <t>Testing</t>
        </is>
      </c>
      <c r="B21" s="45" t="inlineStr">
        <is>
          <t>Test Plan Development</t>
        </is>
      </c>
      <c r="C21" s="45" t="inlineStr">
        <is>
          <t>Create test plan and test cases for both endpoints covering functional, edge cases, and error handling</t>
        </is>
      </c>
      <c r="D21" s="45" t="inlineStr">
        <is>
          <t>QA Engineer</t>
        </is>
      </c>
      <c r="E21" s="46" t="n">
        <v>6</v>
      </c>
      <c r="F21" s="47" t="n">
        <v>1</v>
      </c>
      <c r="G21" s="48">
        <f>E21*F21</f>
        <v/>
      </c>
      <c r="H21" s="49" t="n">
        <v>150</v>
      </c>
      <c r="I21" s="48">
        <f>TEXT(G21*H21,"$#,##0")</f>
        <v/>
      </c>
      <c r="J21" s="45" t="inlineStr">
        <is>
          <t>Detailed Architecture Specification</t>
        </is>
      </c>
      <c r="K21" s="45" t="inlineStr"/>
    </row>
    <row r="22" ht="26" customHeight="1">
      <c r="A22" s="50" t="inlineStr">
        <is>
          <t>Testing</t>
        </is>
      </c>
      <c r="B22" s="51" t="inlineStr">
        <is>
          <t>Functional Testing - Classification</t>
        </is>
      </c>
      <c r="C22" s="51" t="inlineStr">
        <is>
          <t>Execute functional tests against /classify endpoint using sample lyric and transcript data</t>
        </is>
      </c>
      <c r="D22" s="51" t="inlineStr">
        <is>
          <t>QA Engineer</t>
        </is>
      </c>
      <c r="E22" s="52" t="n">
        <v>8</v>
      </c>
      <c r="F22" s="53" t="n">
        <v>1</v>
      </c>
      <c r="G22" s="54">
        <f>E22*F22</f>
        <v/>
      </c>
      <c r="H22" s="55" t="n">
        <v>150</v>
      </c>
      <c r="I22" s="54">
        <f>TEXT(G22*H22,"$#,##0")</f>
        <v/>
      </c>
      <c r="J22" s="51" t="inlineStr">
        <is>
          <t>Mood Classification Endpoint</t>
        </is>
      </c>
      <c r="K22" s="51" t="inlineStr">
        <is>
          <t>Validate mood label accuracy and response format</t>
        </is>
      </c>
    </row>
    <row r="23" ht="26" customHeight="1">
      <c r="A23" s="44" t="inlineStr">
        <is>
          <t>Testing</t>
        </is>
      </c>
      <c r="B23" s="45" t="inlineStr">
        <is>
          <t>Functional Testing - Recommendation</t>
        </is>
      </c>
      <c r="C23" s="45" t="inlineStr">
        <is>
          <t>Execute functional tests against /recommend endpoint with varied mood and history inputs</t>
        </is>
      </c>
      <c r="D23" s="45" t="inlineStr">
        <is>
          <t>QA Engineer</t>
        </is>
      </c>
      <c r="E23" s="46" t="n">
        <v>8</v>
      </c>
      <c r="F23" s="47" t="n">
        <v>1</v>
      </c>
      <c r="G23" s="48">
        <f>E23*F23</f>
        <v/>
      </c>
      <c r="H23" s="49" t="n">
        <v>150</v>
      </c>
      <c r="I23" s="48">
        <f>TEXT(G23*H23,"$#,##0")</f>
        <v/>
      </c>
      <c r="J23" s="45" t="inlineStr">
        <is>
          <t>Recommendation Endpoint</t>
        </is>
      </c>
      <c r="K23" s="45" t="inlineStr">
        <is>
          <t>Validate playlist relevance and DynamoDB query correctness</t>
        </is>
      </c>
    </row>
    <row r="24" ht="26" customHeight="1">
      <c r="A24" s="50" t="inlineStr">
        <is>
          <t>Testing</t>
        </is>
      </c>
      <c r="B24" s="51" t="inlineStr">
        <is>
          <t>Integration Testing</t>
        </is>
      </c>
      <c r="C24" s="51" t="inlineStr">
        <is>
          <t>Test end-to-end flow from FlutterFlow API call through API Gateway to Lambda to DynamoDB and back</t>
        </is>
      </c>
      <c r="D24" s="51" t="inlineStr">
        <is>
          <t>Solutions Engineer</t>
        </is>
      </c>
      <c r="E24" s="52" t="n">
        <v>10</v>
      </c>
      <c r="F24" s="53" t="n">
        <v>1</v>
      </c>
      <c r="G24" s="54">
        <f>E24*F24</f>
        <v/>
      </c>
      <c r="H24" s="55" t="n">
        <v>200</v>
      </c>
      <c r="I24" s="54">
        <f>TEXT(G24*H24,"$#,##0")</f>
        <v/>
      </c>
      <c r="J24" s="51" t="inlineStr">
        <is>
          <t>API Gateway Configuration</t>
        </is>
      </c>
      <c r="K24" s="51" t="inlineStr">
        <is>
          <t>Confirm no frontend changes required and API key flow works</t>
        </is>
      </c>
    </row>
    <row r="25" ht="26" customHeight="1">
      <c r="A25" s="44" t="inlineStr">
        <is>
          <t>Testing</t>
        </is>
      </c>
      <c r="B25" s="45" t="inlineStr">
        <is>
          <t>Security and Auth Testing</t>
        </is>
      </c>
      <c r="C25" s="45" t="inlineStr">
        <is>
          <t>Validate IAM policies, API key enforcement, HTTPS-only access, and unauthorized request rejection</t>
        </is>
      </c>
      <c r="D25" s="45" t="inlineStr">
        <is>
          <t>Security Engineer</t>
        </is>
      </c>
      <c r="E25" s="46" t="n">
        <v>6</v>
      </c>
      <c r="F25" s="47" t="n">
        <v>1</v>
      </c>
      <c r="G25" s="48">
        <f>E25*F25</f>
        <v/>
      </c>
      <c r="H25" s="49" t="n">
        <v>200</v>
      </c>
      <c r="I25" s="48">
        <f>TEXT(G25*H25,"$#,##0")</f>
        <v/>
      </c>
      <c r="J25" s="45" t="inlineStr">
        <is>
          <t>Security Baseline Configuration</t>
        </is>
      </c>
      <c r="K25" s="45" t="inlineStr"/>
    </row>
    <row r="26" ht="26" customHeight="1">
      <c r="A26" s="50" t="inlineStr">
        <is>
          <t>Testing</t>
        </is>
      </c>
      <c r="B26" s="51" t="inlineStr">
        <is>
          <t>Model Accuracy Validation</t>
        </is>
      </c>
      <c r="C26" s="51" t="inlineStr">
        <is>
          <t>Validate Bedrock mood classification accuracy against representative faith-based content samples</t>
        </is>
      </c>
      <c r="D26" s="51" t="inlineStr">
        <is>
          <t>ML/AI Engineer</t>
        </is>
      </c>
      <c r="E26" s="52" t="n">
        <v>8</v>
      </c>
      <c r="F26" s="53" t="n">
        <v>1</v>
      </c>
      <c r="G26" s="54">
        <f>E26*F26</f>
        <v/>
      </c>
      <c r="H26" s="55" t="n">
        <v>250</v>
      </c>
      <c r="I26" s="54">
        <f>TEXT(G26*H26,"$#,##0")</f>
        <v/>
      </c>
      <c r="J26" s="51" t="inlineStr">
        <is>
          <t>Mood Classification Endpoint</t>
        </is>
      </c>
      <c r="K26" s="51" t="inlineStr">
        <is>
          <t>Accuracy threshold agreed with client before sign-off</t>
        </is>
      </c>
    </row>
    <row r="27" ht="26" customHeight="1">
      <c r="A27" s="44" t="inlineStr">
        <is>
          <t>Testing</t>
        </is>
      </c>
      <c r="B27" s="45" t="inlineStr">
        <is>
          <t>Defect Resolution</t>
        </is>
      </c>
      <c r="C27" s="45" t="inlineStr">
        <is>
          <t>Investigate and resolve defects identified during functional and integration testing cycles</t>
        </is>
      </c>
      <c r="D27" s="45" t="inlineStr">
        <is>
          <t>Solutions Engineer</t>
        </is>
      </c>
      <c r="E27" s="46" t="n">
        <v>8</v>
      </c>
      <c r="F27" s="47" t="n">
        <v>1</v>
      </c>
      <c r="G27" s="48">
        <f>E27*F27</f>
        <v/>
      </c>
      <c r="H27" s="49" t="n">
        <v>200</v>
      </c>
      <c r="I27" s="48">
        <f>TEXT(G27*H27,"$#,##0")</f>
        <v/>
      </c>
      <c r="J27" s="45" t="inlineStr">
        <is>
          <t>Functional Testing - Classification</t>
        </is>
      </c>
      <c r="K27" s="45" t="inlineStr">
        <is>
          <t>Buffer for minor rework across both endpoints</t>
        </is>
      </c>
    </row>
    <row r="28" ht="26" customHeight="1">
      <c r="A28" s="50" t="inlineStr">
        <is>
          <t>Deployment</t>
        </is>
      </c>
      <c r="B28" s="51" t="inlineStr">
        <is>
          <t>Production Deployment</t>
        </is>
      </c>
      <c r="C28" s="51" t="inlineStr">
        <is>
          <t>Deploy finalized Lambda functions, API Gateway, and DynamoDB to Prod environment via IaC</t>
        </is>
      </c>
      <c r="D28" s="51" t="inlineStr">
        <is>
          <t>Solutions Engineer</t>
        </is>
      </c>
      <c r="E28" s="52" t="n">
        <v>8</v>
      </c>
      <c r="F28" s="53" t="n">
        <v>1</v>
      </c>
      <c r="G28" s="54">
        <f>E28*F28</f>
        <v/>
      </c>
      <c r="H28" s="55" t="n">
        <v>200</v>
      </c>
      <c r="I28" s="54">
        <f>TEXT(G28*H28,"$#,##0")</f>
        <v/>
      </c>
      <c r="J28" s="51" t="inlineStr">
        <is>
          <t>Defect Resolution</t>
        </is>
      </c>
      <c r="K28" s="51" t="inlineStr">
        <is>
          <t>Zero-downtime deployment; rollback procedure documented</t>
        </is>
      </c>
    </row>
    <row r="29" ht="26" customHeight="1">
      <c r="A29" s="44" t="inlineStr">
        <is>
          <t>Deployment</t>
        </is>
      </c>
      <c r="B29" s="45" t="inlineStr">
        <is>
          <t>API Documentation</t>
        </is>
      </c>
      <c r="C29" s="45" t="inlineStr">
        <is>
          <t>Produce developer-facing API reference covering endpoint specs, auth, and request/response examples for app team</t>
        </is>
      </c>
      <c r="D29" s="45" t="inlineStr">
        <is>
          <t>Solution Architect</t>
        </is>
      </c>
      <c r="E29" s="46" t="n">
        <v>10</v>
      </c>
      <c r="F29" s="47" t="n">
        <v>1</v>
      </c>
      <c r="G29" s="48">
        <f>E29*F29</f>
        <v/>
      </c>
      <c r="H29" s="49" t="n">
        <v>225</v>
      </c>
      <c r="I29" s="48">
        <f>TEXT(G29*H29,"$#,##0")</f>
        <v/>
      </c>
      <c r="J29" s="45" t="inlineStr">
        <is>
          <t>Production Deployment</t>
        </is>
      </c>
      <c r="K29" s="45" t="inlineStr">
        <is>
          <t>Key deliverable per brief; enables FlutterFlow team to integrate</t>
        </is>
      </c>
    </row>
    <row r="30" ht="26" customHeight="1">
      <c r="A30" s="50" t="inlineStr">
        <is>
          <t>Deployment</t>
        </is>
      </c>
      <c r="B30" s="51" t="inlineStr">
        <is>
          <t>Runbook Development</t>
        </is>
      </c>
      <c r="C30" s="51" t="inlineStr">
        <is>
          <t>Create operational runbook covering monitoring, alarm response, Lambda scaling, and DynamoDB maintenance</t>
        </is>
      </c>
      <c r="D30" s="51" t="inlineStr">
        <is>
          <t>Solutions Engineer</t>
        </is>
      </c>
      <c r="E30" s="52" t="n">
        <v>6</v>
      </c>
      <c r="F30" s="53" t="n">
        <v>1</v>
      </c>
      <c r="G30" s="54">
        <f>E30*F30</f>
        <v/>
      </c>
      <c r="H30" s="55" t="n">
        <v>200</v>
      </c>
      <c r="I30" s="54">
        <f>TEXT(G30*H30,"$#,##0")</f>
        <v/>
      </c>
      <c r="J30" s="51" t="inlineStr">
        <is>
          <t>Monitoring and Alerting Setup</t>
        </is>
      </c>
      <c r="K30" s="51" t="inlineStr"/>
    </row>
    <row r="31" ht="26" customHeight="1">
      <c r="A31" s="44" t="inlineStr">
        <is>
          <t>Deployment</t>
        </is>
      </c>
      <c r="B31" s="45" t="inlineStr">
        <is>
          <t>Knowledge Transfer Session</t>
        </is>
      </c>
      <c r="C31" s="45" t="inlineStr">
        <is>
          <t>Conduct live handover session with ANP technical contact covering architecture and operational procedures</t>
        </is>
      </c>
      <c r="D31" s="45" t="inlineStr">
        <is>
          <t>Solution Architect</t>
        </is>
      </c>
      <c r="E31" s="46" t="n">
        <v>4</v>
      </c>
      <c r="F31" s="47" t="n">
        <v>1</v>
      </c>
      <c r="G31" s="48">
        <f>E31*F31</f>
        <v/>
      </c>
      <c r="H31" s="49" t="n">
        <v>225</v>
      </c>
      <c r="I31" s="48">
        <f>TEXT(G31*H31,"$#,##0")</f>
        <v/>
      </c>
      <c r="J31" s="45" t="inlineStr">
        <is>
          <t>API Documentation</t>
        </is>
      </c>
      <c r="K31" s="45" t="inlineStr">
        <is>
          <t>Single session; ANP provides one technical point of contact</t>
        </is>
      </c>
    </row>
    <row r="32" ht="26" customHeight="1">
      <c r="A32" s="50" t="inlineStr">
        <is>
          <t>Deployment</t>
        </is>
      </c>
      <c r="B32" s="51" t="inlineStr">
        <is>
          <t>Hypercare Support</t>
        </is>
      </c>
      <c r="C32" s="51" t="inlineStr">
        <is>
          <t>Provide 2-week post-go-live support for issue resolution and app team integration questions</t>
        </is>
      </c>
      <c r="D32" s="51" t="inlineStr">
        <is>
          <t>Support Engineer</t>
        </is>
      </c>
      <c r="E32" s="52" t="n">
        <v>20</v>
      </c>
      <c r="F32" s="53" t="n">
        <v>1</v>
      </c>
      <c r="G32" s="54">
        <f>E32*F32</f>
        <v/>
      </c>
      <c r="H32" s="55" t="n">
        <v>150</v>
      </c>
      <c r="I32" s="54">
        <f>TEXT(G32*H32,"$#,##0")</f>
        <v/>
      </c>
      <c r="J32" s="51" t="inlineStr">
        <is>
          <t>Production Deployment</t>
        </is>
      </c>
      <c r="K32" s="51" t="inlineStr">
        <is>
          <t>Small complexity engagement; 2-week hypercare per guidelines</t>
        </is>
      </c>
    </row>
    <row r="33" ht="26" customHeight="1">
      <c r="A33" s="44" t="inlineStr">
        <is>
          <t>Deployment</t>
        </is>
      </c>
      <c r="B33" s="45" t="inlineStr">
        <is>
          <t>Project Closeout</t>
        </is>
      </c>
      <c r="C33" s="45" t="inlineStr">
        <is>
          <t>Project retrospective, lessons learned, and final deliverables handover confirmation</t>
        </is>
      </c>
      <c r="D33" s="45" t="inlineStr">
        <is>
          <t>Project Manager</t>
        </is>
      </c>
      <c r="E33" s="46" t="n">
        <v>4</v>
      </c>
      <c r="F33" s="47" t="n">
        <v>1</v>
      </c>
      <c r="G33" s="48">
        <f>E33*F33</f>
        <v/>
      </c>
      <c r="H33" s="49" t="n">
        <v>175</v>
      </c>
      <c r="I33" s="48">
        <f>TEXT(G33*H33,"$#,##0")</f>
        <v/>
      </c>
      <c r="J33" s="45" t="inlineStr">
        <is>
          <t>Hypercare Support</t>
        </is>
      </c>
      <c r="K33" s="45" t="inlineStr"/>
    </row>
    <row r="34" ht="26" customHeight="1">
      <c r="A34" s="50" t="inlineStr">
        <is>
          <t>Management</t>
        </is>
      </c>
      <c r="B34" s="51" t="inlineStr">
        <is>
          <t>Technical Leadership</t>
        </is>
      </c>
      <c r="C34" s="51" t="inlineStr">
        <is>
          <t>EO Quarterback technical oversight across all phases of the engagement</t>
        </is>
      </c>
      <c r="D34" s="51" t="inlineStr">
        <is>
          <t>Solutions Engineer</t>
        </is>
      </c>
      <c r="E34" s="54">
        <f>ROUND(SUM($G$4:$G$38)*0.10,0)</f>
        <v/>
      </c>
      <c r="F34" s="53" t="n">
        <v>1</v>
      </c>
      <c r="G34" s="54">
        <f>E34*F34</f>
        <v/>
      </c>
      <c r="H34" s="55" t="n">
        <v>200</v>
      </c>
      <c r="I34" s="54">
        <f>TEXT(G34*H34,"$#,##0")</f>
        <v/>
      </c>
      <c r="J34" s="51" t="inlineStr"/>
      <c r="K34" s="51" t="inlineStr">
        <is>
          <t>10% of engineering hours; anti-circular reference pattern</t>
        </is>
      </c>
    </row>
    <row r="35" ht="26" customHeight="1">
      <c r="A35" s="44" t="inlineStr">
        <is>
          <t>Management</t>
        </is>
      </c>
      <c r="B35" s="45" t="inlineStr">
        <is>
          <t>Project Management</t>
        </is>
      </c>
      <c r="C35" s="45" t="inlineStr">
        <is>
          <t>Project coordination, status reporting, and stakeholder communication with Lilly Goyah</t>
        </is>
      </c>
      <c r="D35" s="45" t="inlineStr">
        <is>
          <t>Project Manager</t>
        </is>
      </c>
      <c r="E35" s="48">
        <f>ROUND(SUM($G$4:$G$38)*0.10,0)</f>
        <v/>
      </c>
      <c r="F35" s="47" t="n">
        <v>1</v>
      </c>
      <c r="G35" s="48">
        <f>E35*F35</f>
        <v/>
      </c>
      <c r="H35" s="49" t="n">
        <v>175</v>
      </c>
      <c r="I35" s="48">
        <f>TEXT(G35*H35,"$#,##0")</f>
        <v/>
      </c>
      <c r="J35" s="45" t="inlineStr"/>
      <c r="K35" s="45" t="inlineStr">
        <is>
          <t>10% of engineering hours; anti-circular reference pattern</t>
        </is>
      </c>
    </row>
    <row r="36" ht="26" customHeight="1">
      <c r="A36" s="56" t="inlineStr"/>
      <c r="B36" s="56" t="inlineStr"/>
      <c r="C36" s="56" t="inlineStr"/>
      <c r="D36" s="56" t="inlineStr"/>
      <c r="E36" s="56" t="inlineStr"/>
      <c r="F36" s="57" t="inlineStr">
        <is>
          <t>TOTAL HOURS</t>
        </is>
      </c>
      <c r="G36" s="57">
        <f>SUM($G$4:$G$41)</f>
        <v/>
      </c>
      <c r="H36" s="57" t="inlineStr">
        <is>
          <t>TOTAL COST</t>
        </is>
      </c>
      <c r="I36" s="57">
        <f>TEXT(SUMPRODUCT($G$4:$G$41,$H$4:$H$41),"$#,##0")</f>
        <v/>
      </c>
      <c r="J36" s="56" t="inlineStr"/>
      <c r="K36" s="56" t="inlineStr"/>
    </row>
  </sheetData>
  <autoFilter ref="A2:K36"/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00" customWidth="1" min="3" max="3"/>
  </cols>
  <sheetData>
    <row r="1" ht="32" customHeight="1">
      <c r="A1" s="34" t="inlineStr">
        <is>
          <t>CREDITS</t>
        </is>
      </c>
    </row>
    <row r="2" ht="32" customHeight="1">
      <c r="A2" s="35" t="inlineStr">
        <is>
          <t>Credit Type</t>
        </is>
      </c>
      <c r="B2" s="35" t="inlineStr">
        <is>
          <t>Credit Amount</t>
        </is>
      </c>
      <c r="C2" s="35" t="inlineStr">
        <is>
          <t>Credit Comments</t>
        </is>
      </c>
    </row>
    <row r="3" ht="26" customHeight="1">
      <c r="A3" s="36" t="inlineStr">
        <is>
          <t>AWS Partner Services Credit</t>
        </is>
      </c>
      <c r="B3" s="58" t="n">
        <v>-10000</v>
      </c>
      <c r="C3" s="37" t="inlineStr">
        <is>
          <t>AWS Partner Network (APN) credit for solution architecture and implementation services; applicable as nClouds is an AWS Advanced Consulting Partner delivering a qualified AI/ML workload</t>
        </is>
      </c>
    </row>
    <row r="4" ht="26" customHeight="1">
      <c r="A4" s="39" t="inlineStr">
        <is>
          <t>AWS Partner Funding Credit</t>
        </is>
      </c>
      <c r="B4" s="59" t="n">
        <v>-5000</v>
      </c>
      <c r="C4" s="40" t="inlineStr">
        <is>
          <t>AWS Partner Funding (APF) credit applied toward professional services for qualified AI/ML build engagements; subject to AWS funding approval prior to project start</t>
        </is>
      </c>
    </row>
    <row r="5" ht="26" customHeight="1">
      <c r="A5" s="60" t="inlineStr">
        <is>
          <t>TOTAL</t>
        </is>
      </c>
      <c r="B5" s="61">
        <f>TEXT(SUMPRODUCT($G$4:$G$41,$H$4:$H$41)-15000,"$#,##0")</f>
        <v/>
      </c>
      <c r="C5" s="62" t="inlineStr">
        <is>
          <t>Total professional services cost after AWS Partner and funding credits applied (Year 1 only)</t>
        </is>
      </c>
    </row>
  </sheetData>
  <autoFilter ref="A2:C5"/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2026-06-08T23:48:46Z</dcterms:modified>
  <cp:lastModifiedBy>Kishan Siram</cp:lastModifiedBy>
</cp:coreProperties>
</file>