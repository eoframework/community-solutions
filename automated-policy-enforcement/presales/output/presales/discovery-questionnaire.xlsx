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5" fillId="7" borderId="5" applyAlignment="1" pivotButton="0" quotePrefix="0" xfId="0">
      <alignment horizontal="center" vertical="center"/>
    </xf>
    <xf numFmtId="0" fontId="15" fillId="8" borderId="5" applyAlignment="1" pivotButton="0" quotePrefix="0" xfId="0">
      <alignment horizontal="center" vertical="center"/>
    </xf>
    <xf numFmtId="9" fontId="15" fillId="8" borderId="5" applyAlignment="1" pivotButton="0" quotePrefix="0" xfId="0">
      <alignment horizontal="center" vertical="center"/>
    </xf>
    <xf numFmtId="0" fontId="14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Discovery Questionnaire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09, 2026</t>
        </is>
      </c>
    </row>
    <row r="6" ht="18" customHeight="1">
      <c r="B6" s="2" t="inlineStr">
        <is>
          <t>Solution:</t>
        </is>
      </c>
      <c r="C6" s="3" t="inlineStr">
        <is>
          <t>Tmppnqxy2Bn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4" t="inlineStr">
        <is>
          <t>Total Questions</t>
        </is>
      </c>
      <c r="B1" s="34" t="inlineStr">
        <is>
          <t>Answered</t>
        </is>
      </c>
      <c r="C1" s="34" t="inlineStr">
        <is>
          <t>Remaining</t>
        </is>
      </c>
      <c r="D1" s="34" t="inlineStr">
        <is>
          <t>% Complete</t>
        </is>
      </c>
    </row>
    <row r="2" ht="26" customHeight="1">
      <c r="A2" s="35" t="n">
        <v>67</v>
      </c>
      <c r="B2" s="35">
        <f>SUMPRODUCT(--(LEN(F5:F71)&gt;0))</f>
        <v/>
      </c>
      <c r="C2" s="35">
        <f>A2-B2</f>
        <v/>
      </c>
      <c r="D2" s="36">
        <f>B2/A2</f>
        <v/>
      </c>
    </row>
    <row r="4" ht="32" customHeight="1">
      <c r="A4" s="37" t="inlineStr">
        <is>
          <t>Question ID</t>
        </is>
      </c>
      <c r="B4" s="37" t="inlineStr">
        <is>
          <t>Category</t>
        </is>
      </c>
      <c r="C4" s="37" t="inlineStr">
        <is>
          <t>Sub-Category</t>
        </is>
      </c>
      <c r="D4" s="37" t="inlineStr">
        <is>
          <t>Question</t>
        </is>
      </c>
      <c r="E4" s="37" t="inlineStr">
        <is>
          <t>Guidance</t>
        </is>
      </c>
      <c r="F4" s="37" t="inlineStr">
        <is>
          <t>Customer Response</t>
        </is>
      </c>
      <c r="G4" s="37" t="inlineStr">
        <is>
          <t>Notes</t>
        </is>
      </c>
    </row>
    <row r="5">
      <c r="A5" s="38">
        <f>IF('Business Requirements'!A2="","",'Business Requirements'!A2)</f>
        <v/>
      </c>
      <c r="B5" s="38">
        <f>IF('Business Requirements'!B2="","",'Business Requirements'!B2)</f>
        <v/>
      </c>
      <c r="C5" s="38">
        <f>IF('Business Requirements'!C2="","",'Business Requirements'!C2)</f>
        <v/>
      </c>
      <c r="D5" s="38">
        <f>IF('Business Requirements'!D2="","",'Business Requirements'!D2)</f>
        <v/>
      </c>
      <c r="E5" s="38">
        <f>IF('Business Requirements'!E2="","",'Business Requirements'!E2)</f>
        <v/>
      </c>
      <c r="F5" s="39">
        <f>IF('Business Requirements'!F2="","",'Business Requirements'!F2)</f>
        <v/>
      </c>
      <c r="G5" s="38">
        <f>IF('Business Requirements'!G2="","",'Business Requirements'!G2)</f>
        <v/>
      </c>
    </row>
    <row r="6">
      <c r="A6" s="40">
        <f>IF('Business Requirements'!A3="","",'Business Requirements'!A3)</f>
        <v/>
      </c>
      <c r="B6" s="40">
        <f>IF('Business Requirements'!B3="","",'Business Requirements'!B3)</f>
        <v/>
      </c>
      <c r="C6" s="40">
        <f>IF('Business Requirements'!C3="","",'Business Requirements'!C3)</f>
        <v/>
      </c>
      <c r="D6" s="40">
        <f>IF('Business Requirements'!D3="","",'Business Requirements'!D3)</f>
        <v/>
      </c>
      <c r="E6" s="40">
        <f>IF('Business Requirements'!E3="","",'Business Requirements'!E3)</f>
        <v/>
      </c>
      <c r="F6" s="39">
        <f>IF('Business Requirements'!F3="","",'Business Requirements'!F3)</f>
        <v/>
      </c>
      <c r="G6" s="40">
        <f>IF('Business Requirements'!G3="","",'Business Requirements'!G3)</f>
        <v/>
      </c>
    </row>
    <row r="7">
      <c r="A7" s="38">
        <f>IF('Business Requirements'!A4="","",'Business Requirements'!A4)</f>
        <v/>
      </c>
      <c r="B7" s="38">
        <f>IF('Business Requirements'!B4="","",'Business Requirements'!B4)</f>
        <v/>
      </c>
      <c r="C7" s="38">
        <f>IF('Business Requirements'!C4="","",'Business Requirements'!C4)</f>
        <v/>
      </c>
      <c r="D7" s="38">
        <f>IF('Business Requirements'!D4="","",'Business Requirements'!D4)</f>
        <v/>
      </c>
      <c r="E7" s="38">
        <f>IF('Business Requirements'!E4="","",'Business Requirements'!E4)</f>
        <v/>
      </c>
      <c r="F7" s="39">
        <f>IF('Business Requirements'!F4="","",'Business Requirements'!F4)</f>
        <v/>
      </c>
      <c r="G7" s="38">
        <f>IF('Business Requirements'!G4="","",'Business Requirements'!G4)</f>
        <v/>
      </c>
    </row>
    <row r="8">
      <c r="A8" s="40">
        <f>IF('Business Requirements'!A5="","",'Business Requirements'!A5)</f>
        <v/>
      </c>
      <c r="B8" s="40">
        <f>IF('Business Requirements'!B5="","",'Business Requirements'!B5)</f>
        <v/>
      </c>
      <c r="C8" s="40">
        <f>IF('Business Requirements'!C5="","",'Business Requirements'!C5)</f>
        <v/>
      </c>
      <c r="D8" s="40">
        <f>IF('Business Requirements'!D5="","",'Business Requirements'!D5)</f>
        <v/>
      </c>
      <c r="E8" s="40">
        <f>IF('Business Requirements'!E5="","",'Business Requirements'!E5)</f>
        <v/>
      </c>
      <c r="F8" s="39">
        <f>IF('Business Requirements'!F5="","",'Business Requirements'!F5)</f>
        <v/>
      </c>
      <c r="G8" s="40">
        <f>IF('Business Requirements'!G5="","",'Business Requirements'!G5)</f>
        <v/>
      </c>
    </row>
    <row r="9">
      <c r="A9" s="38">
        <f>IF('Business Requirements'!A6="","",'Business Requirements'!A6)</f>
        <v/>
      </c>
      <c r="B9" s="38">
        <f>IF('Business Requirements'!B6="","",'Business Requirements'!B6)</f>
        <v/>
      </c>
      <c r="C9" s="38">
        <f>IF('Business Requirements'!C6="","",'Business Requirements'!C6)</f>
        <v/>
      </c>
      <c r="D9" s="38">
        <f>IF('Business Requirements'!D6="","",'Business Requirements'!D6)</f>
        <v/>
      </c>
      <c r="E9" s="38">
        <f>IF('Business Requirements'!E6="","",'Business Requirements'!E6)</f>
        <v/>
      </c>
      <c r="F9" s="39">
        <f>IF('Business Requirements'!F6="","",'Business Requirements'!F6)</f>
        <v/>
      </c>
      <c r="G9" s="38">
        <f>IF('Business Requirements'!G6="","",'Business Requirements'!G6)</f>
        <v/>
      </c>
    </row>
    <row r="10">
      <c r="A10" s="40">
        <f>IF('Business Requirements'!A7="","",'Business Requirements'!A7)</f>
        <v/>
      </c>
      <c r="B10" s="40">
        <f>IF('Business Requirements'!B7="","",'Business Requirements'!B7)</f>
        <v/>
      </c>
      <c r="C10" s="40">
        <f>IF('Business Requirements'!C7="","",'Business Requirements'!C7)</f>
        <v/>
      </c>
      <c r="D10" s="40">
        <f>IF('Business Requirements'!D7="","",'Business Requirements'!D7)</f>
        <v/>
      </c>
      <c r="E10" s="40">
        <f>IF('Business Requirements'!E7="","",'Business Requirements'!E7)</f>
        <v/>
      </c>
      <c r="F10" s="39">
        <f>IF('Business Requirements'!F7="","",'Business Requirements'!F7)</f>
        <v/>
      </c>
      <c r="G10" s="40">
        <f>IF('Business Requirements'!G7="","",'Business Requirements'!G7)</f>
        <v/>
      </c>
    </row>
    <row r="11">
      <c r="A11" s="38">
        <f>IF('Business Requirements'!A8="","",'Business Requirements'!A8)</f>
        <v/>
      </c>
      <c r="B11" s="38">
        <f>IF('Business Requirements'!B8="","",'Business Requirements'!B8)</f>
        <v/>
      </c>
      <c r="C11" s="38">
        <f>IF('Business Requirements'!C8="","",'Business Requirements'!C8)</f>
        <v/>
      </c>
      <c r="D11" s="38">
        <f>IF('Business Requirements'!D8="","",'Business Requirements'!D8)</f>
        <v/>
      </c>
      <c r="E11" s="38">
        <f>IF('Business Requirements'!E8="","",'Business Requirements'!E8)</f>
        <v/>
      </c>
      <c r="F11" s="39">
        <f>IF('Business Requirements'!F8="","",'Business Requirements'!F8)</f>
        <v/>
      </c>
      <c r="G11" s="38">
        <f>IF('Business Requirements'!G8="","",'Business Requirements'!G8)</f>
        <v/>
      </c>
    </row>
    <row r="12">
      <c r="A12" s="40">
        <f>IF('Business Requirements'!A9="","",'Business Requirements'!A9)</f>
        <v/>
      </c>
      <c r="B12" s="40">
        <f>IF('Business Requirements'!B9="","",'Business Requirements'!B9)</f>
        <v/>
      </c>
      <c r="C12" s="40">
        <f>IF('Business Requirements'!C9="","",'Business Requirements'!C9)</f>
        <v/>
      </c>
      <c r="D12" s="40">
        <f>IF('Business Requirements'!D9="","",'Business Requirements'!D9)</f>
        <v/>
      </c>
      <c r="E12" s="40">
        <f>IF('Business Requirements'!E9="","",'Business Requirements'!E9)</f>
        <v/>
      </c>
      <c r="F12" s="39">
        <f>IF('Business Requirements'!F9="","",'Business Requirements'!F9)</f>
        <v/>
      </c>
      <c r="G12" s="40">
        <f>IF('Business Requirements'!G9="","",'Business Requirements'!G9)</f>
        <v/>
      </c>
    </row>
    <row r="13">
      <c r="A13" s="38">
        <f>IF('Business Requirements'!A10="","",'Business Requirements'!A10)</f>
        <v/>
      </c>
      <c r="B13" s="38">
        <f>IF('Business Requirements'!B10="","",'Business Requirements'!B10)</f>
        <v/>
      </c>
      <c r="C13" s="38">
        <f>IF('Business Requirements'!C10="","",'Business Requirements'!C10)</f>
        <v/>
      </c>
      <c r="D13" s="38">
        <f>IF('Business Requirements'!D10="","",'Business Requirements'!D10)</f>
        <v/>
      </c>
      <c r="E13" s="38">
        <f>IF('Business Requirements'!E10="","",'Business Requirements'!E10)</f>
        <v/>
      </c>
      <c r="F13" s="39">
        <f>IF('Business Requirements'!F10="","",'Business Requirements'!F10)</f>
        <v/>
      </c>
      <c r="G13" s="38">
        <f>IF('Business Requirements'!G10="","",'Business Requirements'!G10)</f>
        <v/>
      </c>
    </row>
    <row r="14">
      <c r="A14" s="40">
        <f>IF('Business Requirements'!A11="","",'Business Requirements'!A11)</f>
        <v/>
      </c>
      <c r="B14" s="40">
        <f>IF('Business Requirements'!B11="","",'Business Requirements'!B11)</f>
        <v/>
      </c>
      <c r="C14" s="40">
        <f>IF('Business Requirements'!C11="","",'Business Requirements'!C11)</f>
        <v/>
      </c>
      <c r="D14" s="40">
        <f>IF('Business Requirements'!D11="","",'Business Requirements'!D11)</f>
        <v/>
      </c>
      <c r="E14" s="40">
        <f>IF('Business Requirements'!E11="","",'Business Requirements'!E11)</f>
        <v/>
      </c>
      <c r="F14" s="39">
        <f>IF('Business Requirements'!F11="","",'Business Requirements'!F11)</f>
        <v/>
      </c>
      <c r="G14" s="40">
        <f>IF('Business Requirements'!G11="","",'Business Requirements'!G11)</f>
        <v/>
      </c>
    </row>
    <row r="15">
      <c r="A15" s="38">
        <f>IF('Business Requirements'!A12="","",'Business Requirements'!A12)</f>
        <v/>
      </c>
      <c r="B15" s="38">
        <f>IF('Business Requirements'!B12="","",'Business Requirements'!B12)</f>
        <v/>
      </c>
      <c r="C15" s="38">
        <f>IF('Business Requirements'!C12="","",'Business Requirements'!C12)</f>
        <v/>
      </c>
      <c r="D15" s="38">
        <f>IF('Business Requirements'!D12="","",'Business Requirements'!D12)</f>
        <v/>
      </c>
      <c r="E15" s="38">
        <f>IF('Business Requirements'!E12="","",'Business Requirements'!E12)</f>
        <v/>
      </c>
      <c r="F15" s="39">
        <f>IF('Business Requirements'!F12="","",'Business Requirements'!F12)</f>
        <v/>
      </c>
      <c r="G15" s="38">
        <f>IF('Business Requirements'!G12="","",'Business Requirements'!G12)</f>
        <v/>
      </c>
    </row>
    <row r="16">
      <c r="A16" s="40">
        <f>IF('Business Requirements'!A13="","",'Business Requirements'!A13)</f>
        <v/>
      </c>
      <c r="B16" s="40">
        <f>IF('Business Requirements'!B13="","",'Business Requirements'!B13)</f>
        <v/>
      </c>
      <c r="C16" s="40">
        <f>IF('Business Requirements'!C13="","",'Business Requirements'!C13)</f>
        <v/>
      </c>
      <c r="D16" s="40">
        <f>IF('Business Requirements'!D13="","",'Business Requirements'!D13)</f>
        <v/>
      </c>
      <c r="E16" s="40">
        <f>IF('Business Requirements'!E13="","",'Business Requirements'!E13)</f>
        <v/>
      </c>
      <c r="F16" s="39">
        <f>IF('Business Requirements'!F13="","",'Business Requirements'!F13)</f>
        <v/>
      </c>
      <c r="G16" s="40">
        <f>IF('Business Requirements'!G13="","",'Business Requirements'!G13)</f>
        <v/>
      </c>
    </row>
    <row r="17">
      <c r="A17" s="38">
        <f>IF('Technical Requirements'!A2="","",'Technical Requirements'!A2)</f>
        <v/>
      </c>
      <c r="B17" s="38">
        <f>IF('Technical Requirements'!B2="","",'Technical Requirements'!B2)</f>
        <v/>
      </c>
      <c r="C17" s="38">
        <f>IF('Technical Requirements'!C2="","",'Technical Requirements'!C2)</f>
        <v/>
      </c>
      <c r="D17" s="38">
        <f>IF('Technical Requirements'!D2="","",'Technical Requirements'!D2)</f>
        <v/>
      </c>
      <c r="E17" s="38">
        <f>IF('Technical Requirements'!E2="","",'Technical Requirements'!E2)</f>
        <v/>
      </c>
      <c r="F17" s="39">
        <f>IF('Technical Requirements'!F2="","",'Technical Requirements'!F2)</f>
        <v/>
      </c>
      <c r="G17" s="38">
        <f>IF('Technical Requirements'!G2="","",'Technical Requirements'!G2)</f>
        <v/>
      </c>
    </row>
    <row r="18">
      <c r="A18" s="40">
        <f>IF('Technical Requirements'!A3="","",'Technical Requirements'!A3)</f>
        <v/>
      </c>
      <c r="B18" s="40">
        <f>IF('Technical Requirements'!B3="","",'Technical Requirements'!B3)</f>
        <v/>
      </c>
      <c r="C18" s="40">
        <f>IF('Technical Requirements'!C3="","",'Technical Requirements'!C3)</f>
        <v/>
      </c>
      <c r="D18" s="40">
        <f>IF('Technical Requirements'!D3="","",'Technical Requirements'!D3)</f>
        <v/>
      </c>
      <c r="E18" s="40">
        <f>IF('Technical Requirements'!E3="","",'Technical Requirements'!E3)</f>
        <v/>
      </c>
      <c r="F18" s="39">
        <f>IF('Technical Requirements'!F3="","",'Technical Requirements'!F3)</f>
        <v/>
      </c>
      <c r="G18" s="40">
        <f>IF('Technical Requirements'!G3="","",'Technical Requirements'!G3)</f>
        <v/>
      </c>
    </row>
    <row r="19">
      <c r="A19" s="38">
        <f>IF('Technical Requirements'!A4="","",'Technical Requirements'!A4)</f>
        <v/>
      </c>
      <c r="B19" s="38">
        <f>IF('Technical Requirements'!B4="","",'Technical Requirements'!B4)</f>
        <v/>
      </c>
      <c r="C19" s="38">
        <f>IF('Technical Requirements'!C4="","",'Technical Requirements'!C4)</f>
        <v/>
      </c>
      <c r="D19" s="38">
        <f>IF('Technical Requirements'!D4="","",'Technical Requirements'!D4)</f>
        <v/>
      </c>
      <c r="E19" s="38">
        <f>IF('Technical Requirements'!E4="","",'Technical Requirements'!E4)</f>
        <v/>
      </c>
      <c r="F19" s="39">
        <f>IF('Technical Requirements'!F4="","",'Technical Requirements'!F4)</f>
        <v/>
      </c>
      <c r="G19" s="38">
        <f>IF('Technical Requirements'!G4="","",'Technical Requirements'!G4)</f>
        <v/>
      </c>
    </row>
    <row r="20">
      <c r="A20" s="40">
        <f>IF('Technical Requirements'!A5="","",'Technical Requirements'!A5)</f>
        <v/>
      </c>
      <c r="B20" s="40">
        <f>IF('Technical Requirements'!B5="","",'Technical Requirements'!B5)</f>
        <v/>
      </c>
      <c r="C20" s="40">
        <f>IF('Technical Requirements'!C5="","",'Technical Requirements'!C5)</f>
        <v/>
      </c>
      <c r="D20" s="40">
        <f>IF('Technical Requirements'!D5="","",'Technical Requirements'!D5)</f>
        <v/>
      </c>
      <c r="E20" s="40">
        <f>IF('Technical Requirements'!E5="","",'Technical Requirements'!E5)</f>
        <v/>
      </c>
      <c r="F20" s="39">
        <f>IF('Technical Requirements'!F5="","",'Technical Requirements'!F5)</f>
        <v/>
      </c>
      <c r="G20" s="40">
        <f>IF('Technical Requirements'!G5="","",'Technical Requirements'!G5)</f>
        <v/>
      </c>
    </row>
    <row r="21">
      <c r="A21" s="38">
        <f>IF('Technical Requirements'!A6="","",'Technical Requirements'!A6)</f>
        <v/>
      </c>
      <c r="B21" s="38">
        <f>IF('Technical Requirements'!B6="","",'Technical Requirements'!B6)</f>
        <v/>
      </c>
      <c r="C21" s="38">
        <f>IF('Technical Requirements'!C6="","",'Technical Requirements'!C6)</f>
        <v/>
      </c>
      <c r="D21" s="38">
        <f>IF('Technical Requirements'!D6="","",'Technical Requirements'!D6)</f>
        <v/>
      </c>
      <c r="E21" s="38">
        <f>IF('Technical Requirements'!E6="","",'Technical Requirements'!E6)</f>
        <v/>
      </c>
      <c r="F21" s="39">
        <f>IF('Technical Requirements'!F6="","",'Technical Requirements'!F6)</f>
        <v/>
      </c>
      <c r="G21" s="38">
        <f>IF('Technical Requirements'!G6="","",'Technical Requirements'!G6)</f>
        <v/>
      </c>
    </row>
    <row r="22">
      <c r="A22" s="40">
        <f>IF('Technical Requirements'!A7="","",'Technical Requirements'!A7)</f>
        <v/>
      </c>
      <c r="B22" s="40">
        <f>IF('Technical Requirements'!B7="","",'Technical Requirements'!B7)</f>
        <v/>
      </c>
      <c r="C22" s="40">
        <f>IF('Technical Requirements'!C7="","",'Technical Requirements'!C7)</f>
        <v/>
      </c>
      <c r="D22" s="40">
        <f>IF('Technical Requirements'!D7="","",'Technical Requirements'!D7)</f>
        <v/>
      </c>
      <c r="E22" s="40">
        <f>IF('Technical Requirements'!E7="","",'Technical Requirements'!E7)</f>
        <v/>
      </c>
      <c r="F22" s="39">
        <f>IF('Technical Requirements'!F7="","",'Technical Requirements'!F7)</f>
        <v/>
      </c>
      <c r="G22" s="40">
        <f>IF('Technical Requirements'!G7="","",'Technical Requirements'!G7)</f>
        <v/>
      </c>
    </row>
    <row r="23">
      <c r="A23" s="38">
        <f>IF('Technical Requirements'!A8="","",'Technical Requirements'!A8)</f>
        <v/>
      </c>
      <c r="B23" s="38">
        <f>IF('Technical Requirements'!B8="","",'Technical Requirements'!B8)</f>
        <v/>
      </c>
      <c r="C23" s="38">
        <f>IF('Technical Requirements'!C8="","",'Technical Requirements'!C8)</f>
        <v/>
      </c>
      <c r="D23" s="38">
        <f>IF('Technical Requirements'!D8="","",'Technical Requirements'!D8)</f>
        <v/>
      </c>
      <c r="E23" s="38">
        <f>IF('Technical Requirements'!E8="","",'Technical Requirements'!E8)</f>
        <v/>
      </c>
      <c r="F23" s="39">
        <f>IF('Technical Requirements'!F8="","",'Technical Requirements'!F8)</f>
        <v/>
      </c>
      <c r="G23" s="38">
        <f>IF('Technical Requirements'!G8="","",'Technical Requirements'!G8)</f>
        <v/>
      </c>
    </row>
    <row r="24">
      <c r="A24" s="40">
        <f>IF('Technical Requirements'!A9="","",'Technical Requirements'!A9)</f>
        <v/>
      </c>
      <c r="B24" s="40">
        <f>IF('Technical Requirements'!B9="","",'Technical Requirements'!B9)</f>
        <v/>
      </c>
      <c r="C24" s="40">
        <f>IF('Technical Requirements'!C9="","",'Technical Requirements'!C9)</f>
        <v/>
      </c>
      <c r="D24" s="40">
        <f>IF('Technical Requirements'!D9="","",'Technical Requirements'!D9)</f>
        <v/>
      </c>
      <c r="E24" s="40">
        <f>IF('Technical Requirements'!E9="","",'Technical Requirements'!E9)</f>
        <v/>
      </c>
      <c r="F24" s="39">
        <f>IF('Technical Requirements'!F9="","",'Technical Requirements'!F9)</f>
        <v/>
      </c>
      <c r="G24" s="40">
        <f>IF('Technical Requirements'!G9="","",'Technical Requirements'!G9)</f>
        <v/>
      </c>
    </row>
    <row r="25">
      <c r="A25" s="38">
        <f>IF('Technical Requirements'!A10="","",'Technical Requirements'!A10)</f>
        <v/>
      </c>
      <c r="B25" s="38">
        <f>IF('Technical Requirements'!B10="","",'Technical Requirements'!B10)</f>
        <v/>
      </c>
      <c r="C25" s="38">
        <f>IF('Technical Requirements'!C10="","",'Technical Requirements'!C10)</f>
        <v/>
      </c>
      <c r="D25" s="38">
        <f>IF('Technical Requirements'!D10="","",'Technical Requirements'!D10)</f>
        <v/>
      </c>
      <c r="E25" s="38">
        <f>IF('Technical Requirements'!E10="","",'Technical Requirements'!E10)</f>
        <v/>
      </c>
      <c r="F25" s="39">
        <f>IF('Technical Requirements'!F10="","",'Technical Requirements'!F10)</f>
        <v/>
      </c>
      <c r="G25" s="38">
        <f>IF('Technical Requirements'!G10="","",'Technical Requirements'!G10)</f>
        <v/>
      </c>
    </row>
    <row r="26">
      <c r="A26" s="40">
        <f>IF('Technical Requirements'!A11="","",'Technical Requirements'!A11)</f>
        <v/>
      </c>
      <c r="B26" s="40">
        <f>IF('Technical Requirements'!B11="","",'Technical Requirements'!B11)</f>
        <v/>
      </c>
      <c r="C26" s="40">
        <f>IF('Technical Requirements'!C11="","",'Technical Requirements'!C11)</f>
        <v/>
      </c>
      <c r="D26" s="40">
        <f>IF('Technical Requirements'!D11="","",'Technical Requirements'!D11)</f>
        <v/>
      </c>
      <c r="E26" s="40">
        <f>IF('Technical Requirements'!E11="","",'Technical Requirements'!E11)</f>
        <v/>
      </c>
      <c r="F26" s="39">
        <f>IF('Technical Requirements'!F11="","",'Technical Requirements'!F11)</f>
        <v/>
      </c>
      <c r="G26" s="40">
        <f>IF('Technical Requirements'!G11="","",'Technical Requirements'!G11)</f>
        <v/>
      </c>
    </row>
    <row r="27">
      <c r="A27" s="38">
        <f>IF('Technical Requirements'!A12="","",'Technical Requirements'!A12)</f>
        <v/>
      </c>
      <c r="B27" s="38">
        <f>IF('Technical Requirements'!B12="","",'Technical Requirements'!B12)</f>
        <v/>
      </c>
      <c r="C27" s="38">
        <f>IF('Technical Requirements'!C12="","",'Technical Requirements'!C12)</f>
        <v/>
      </c>
      <c r="D27" s="38">
        <f>IF('Technical Requirements'!D12="","",'Technical Requirements'!D12)</f>
        <v/>
      </c>
      <c r="E27" s="38">
        <f>IF('Technical Requirements'!E12="","",'Technical Requirements'!E12)</f>
        <v/>
      </c>
      <c r="F27" s="39">
        <f>IF('Technical Requirements'!F12="","",'Technical Requirements'!F12)</f>
        <v/>
      </c>
      <c r="G27" s="38">
        <f>IF('Technical Requirements'!G12="","",'Technical Requirements'!G12)</f>
        <v/>
      </c>
    </row>
    <row r="28">
      <c r="A28" s="40">
        <f>IF('Technical Requirements'!A13="","",'Technical Requirements'!A13)</f>
        <v/>
      </c>
      <c r="B28" s="40">
        <f>IF('Technical Requirements'!B13="","",'Technical Requirements'!B13)</f>
        <v/>
      </c>
      <c r="C28" s="40">
        <f>IF('Technical Requirements'!C13="","",'Technical Requirements'!C13)</f>
        <v/>
      </c>
      <c r="D28" s="40">
        <f>IF('Technical Requirements'!D13="","",'Technical Requirements'!D13)</f>
        <v/>
      </c>
      <c r="E28" s="40">
        <f>IF('Technical Requirements'!E13="","",'Technical Requirements'!E13)</f>
        <v/>
      </c>
      <c r="F28" s="39">
        <f>IF('Technical Requirements'!F13="","",'Technical Requirements'!F13)</f>
        <v/>
      </c>
      <c r="G28" s="40">
        <f>IF('Technical Requirements'!G13="","",'Technical Requirements'!G13)</f>
        <v/>
      </c>
    </row>
    <row r="29">
      <c r="A29" s="38">
        <f>IF('Technical Requirements'!A14="","",'Technical Requirements'!A14)</f>
        <v/>
      </c>
      <c r="B29" s="38">
        <f>IF('Technical Requirements'!B14="","",'Technical Requirements'!B14)</f>
        <v/>
      </c>
      <c r="C29" s="38">
        <f>IF('Technical Requirements'!C14="","",'Technical Requirements'!C14)</f>
        <v/>
      </c>
      <c r="D29" s="38">
        <f>IF('Technical Requirements'!D14="","",'Technical Requirements'!D14)</f>
        <v/>
      </c>
      <c r="E29" s="38">
        <f>IF('Technical Requirements'!E14="","",'Technical Requirements'!E14)</f>
        <v/>
      </c>
      <c r="F29" s="39">
        <f>IF('Technical Requirements'!F14="","",'Technical Requirements'!F14)</f>
        <v/>
      </c>
      <c r="G29" s="38">
        <f>IF('Technical Requirements'!G14="","",'Technical Requirements'!G14)</f>
        <v/>
      </c>
    </row>
    <row r="30">
      <c r="A30" s="40">
        <f>IF('Technical Requirements'!A15="","",'Technical Requirements'!A15)</f>
        <v/>
      </c>
      <c r="B30" s="40">
        <f>IF('Technical Requirements'!B15="","",'Technical Requirements'!B15)</f>
        <v/>
      </c>
      <c r="C30" s="40">
        <f>IF('Technical Requirements'!C15="","",'Technical Requirements'!C15)</f>
        <v/>
      </c>
      <c r="D30" s="40">
        <f>IF('Technical Requirements'!D15="","",'Technical Requirements'!D15)</f>
        <v/>
      </c>
      <c r="E30" s="40">
        <f>IF('Technical Requirements'!E15="","",'Technical Requirements'!E15)</f>
        <v/>
      </c>
      <c r="F30" s="39">
        <f>IF('Technical Requirements'!F15="","",'Technical Requirements'!F15)</f>
        <v/>
      </c>
      <c r="G30" s="40">
        <f>IF('Technical Requirements'!G15="","",'Technical Requirements'!G15)</f>
        <v/>
      </c>
    </row>
    <row r="31">
      <c r="A31" s="38">
        <f>IF('Technical Requirements'!A16="","",'Technical Requirements'!A16)</f>
        <v/>
      </c>
      <c r="B31" s="38">
        <f>IF('Technical Requirements'!B16="","",'Technical Requirements'!B16)</f>
        <v/>
      </c>
      <c r="C31" s="38">
        <f>IF('Technical Requirements'!C16="","",'Technical Requirements'!C16)</f>
        <v/>
      </c>
      <c r="D31" s="38">
        <f>IF('Technical Requirements'!D16="","",'Technical Requirements'!D16)</f>
        <v/>
      </c>
      <c r="E31" s="38">
        <f>IF('Technical Requirements'!E16="","",'Technical Requirements'!E16)</f>
        <v/>
      </c>
      <c r="F31" s="39">
        <f>IF('Technical Requirements'!F16="","",'Technical Requirements'!F16)</f>
        <v/>
      </c>
      <c r="G31" s="38">
        <f>IF('Technical Requirements'!G16="","",'Technical Requirements'!G16)</f>
        <v/>
      </c>
    </row>
    <row r="32">
      <c r="A32" s="40">
        <f>IF('Technical Requirements'!A17="","",'Technical Requirements'!A17)</f>
        <v/>
      </c>
      <c r="B32" s="40">
        <f>IF('Technical Requirements'!B17="","",'Technical Requirements'!B17)</f>
        <v/>
      </c>
      <c r="C32" s="40">
        <f>IF('Technical Requirements'!C17="","",'Technical Requirements'!C17)</f>
        <v/>
      </c>
      <c r="D32" s="40">
        <f>IF('Technical Requirements'!D17="","",'Technical Requirements'!D17)</f>
        <v/>
      </c>
      <c r="E32" s="40">
        <f>IF('Technical Requirements'!E17="","",'Technical Requirements'!E17)</f>
        <v/>
      </c>
      <c r="F32" s="39">
        <f>IF('Technical Requirements'!F17="","",'Technical Requirements'!F17)</f>
        <v/>
      </c>
      <c r="G32" s="40">
        <f>IF('Technical Requirements'!G17="","",'Technical Requirements'!G17)</f>
        <v/>
      </c>
    </row>
    <row r="33">
      <c r="A33" s="38">
        <f>IF('Technical Requirements'!A18="","",'Technical Requirements'!A18)</f>
        <v/>
      </c>
      <c r="B33" s="38">
        <f>IF('Technical Requirements'!B18="","",'Technical Requirements'!B18)</f>
        <v/>
      </c>
      <c r="C33" s="38">
        <f>IF('Technical Requirements'!C18="","",'Technical Requirements'!C18)</f>
        <v/>
      </c>
      <c r="D33" s="38">
        <f>IF('Technical Requirements'!D18="","",'Technical Requirements'!D18)</f>
        <v/>
      </c>
      <c r="E33" s="38">
        <f>IF('Technical Requirements'!E18="","",'Technical Requirements'!E18)</f>
        <v/>
      </c>
      <c r="F33" s="39">
        <f>IF('Technical Requirements'!F18="","",'Technical Requirements'!F18)</f>
        <v/>
      </c>
      <c r="G33" s="38">
        <f>IF('Technical Requirements'!G18="","",'Technical Requirements'!G18)</f>
        <v/>
      </c>
    </row>
    <row r="34">
      <c r="A34" s="40">
        <f>IF('Technical Requirements'!A19="","",'Technical Requirements'!A19)</f>
        <v/>
      </c>
      <c r="B34" s="40">
        <f>IF('Technical Requirements'!B19="","",'Technical Requirements'!B19)</f>
        <v/>
      </c>
      <c r="C34" s="40">
        <f>IF('Technical Requirements'!C19="","",'Technical Requirements'!C19)</f>
        <v/>
      </c>
      <c r="D34" s="40">
        <f>IF('Technical Requirements'!D19="","",'Technical Requirements'!D19)</f>
        <v/>
      </c>
      <c r="E34" s="40">
        <f>IF('Technical Requirements'!E19="","",'Technical Requirements'!E19)</f>
        <v/>
      </c>
      <c r="F34" s="39">
        <f>IF('Technical Requirements'!F19="","",'Technical Requirements'!F19)</f>
        <v/>
      </c>
      <c r="G34" s="40">
        <f>IF('Technical Requirements'!G19="","",'Technical Requirements'!G19)</f>
        <v/>
      </c>
    </row>
    <row r="35">
      <c r="A35" s="38">
        <f>IF('Technical Requirements'!A20="","",'Technical Requirements'!A20)</f>
        <v/>
      </c>
      <c r="B35" s="38">
        <f>IF('Technical Requirements'!B20="","",'Technical Requirements'!B20)</f>
        <v/>
      </c>
      <c r="C35" s="38">
        <f>IF('Technical Requirements'!C20="","",'Technical Requirements'!C20)</f>
        <v/>
      </c>
      <c r="D35" s="38">
        <f>IF('Technical Requirements'!D20="","",'Technical Requirements'!D20)</f>
        <v/>
      </c>
      <c r="E35" s="38">
        <f>IF('Technical Requirements'!E20="","",'Technical Requirements'!E20)</f>
        <v/>
      </c>
      <c r="F35" s="39">
        <f>IF('Technical Requirements'!F20="","",'Technical Requirements'!F20)</f>
        <v/>
      </c>
      <c r="G35" s="38">
        <f>IF('Technical Requirements'!G20="","",'Technical Requirements'!G20)</f>
        <v/>
      </c>
    </row>
    <row r="36">
      <c r="A36" s="40">
        <f>IF('Technical Requirements'!A21="","",'Technical Requirements'!A21)</f>
        <v/>
      </c>
      <c r="B36" s="40">
        <f>IF('Technical Requirements'!B21="","",'Technical Requirements'!B21)</f>
        <v/>
      </c>
      <c r="C36" s="40">
        <f>IF('Technical Requirements'!C21="","",'Technical Requirements'!C21)</f>
        <v/>
      </c>
      <c r="D36" s="40">
        <f>IF('Technical Requirements'!D21="","",'Technical Requirements'!D21)</f>
        <v/>
      </c>
      <c r="E36" s="40">
        <f>IF('Technical Requirements'!E21="","",'Technical Requirements'!E21)</f>
        <v/>
      </c>
      <c r="F36" s="39">
        <f>IF('Technical Requirements'!F21="","",'Technical Requirements'!F21)</f>
        <v/>
      </c>
      <c r="G36" s="40">
        <f>IF('Technical Requirements'!G21="","",'Technical Requirements'!G21)</f>
        <v/>
      </c>
    </row>
    <row r="37">
      <c r="A37" s="38">
        <f>IF('Security &amp; Compliance'!A2="","",'Security &amp; Compliance'!A2)</f>
        <v/>
      </c>
      <c r="B37" s="38">
        <f>IF('Security &amp; Compliance'!B2="","",'Security &amp; Compliance'!B2)</f>
        <v/>
      </c>
      <c r="C37" s="38">
        <f>IF('Security &amp; Compliance'!C2="","",'Security &amp; Compliance'!C2)</f>
        <v/>
      </c>
      <c r="D37" s="38">
        <f>IF('Security &amp; Compliance'!D2="","",'Security &amp; Compliance'!D2)</f>
        <v/>
      </c>
      <c r="E37" s="38">
        <f>IF('Security &amp; Compliance'!E2="","",'Security &amp; Compliance'!E2)</f>
        <v/>
      </c>
      <c r="F37" s="39">
        <f>IF('Security &amp; Compliance'!F2="","",'Security &amp; Compliance'!F2)</f>
        <v/>
      </c>
      <c r="G37" s="38">
        <f>IF('Security &amp; Compliance'!G2="","",'Security &amp; Compliance'!G2)</f>
        <v/>
      </c>
    </row>
    <row r="38">
      <c r="A38" s="40">
        <f>IF('Security &amp; Compliance'!A3="","",'Security &amp; Compliance'!A3)</f>
        <v/>
      </c>
      <c r="B38" s="40">
        <f>IF('Security &amp; Compliance'!B3="","",'Security &amp; Compliance'!B3)</f>
        <v/>
      </c>
      <c r="C38" s="40">
        <f>IF('Security &amp; Compliance'!C3="","",'Security &amp; Compliance'!C3)</f>
        <v/>
      </c>
      <c r="D38" s="40">
        <f>IF('Security &amp; Compliance'!D3="","",'Security &amp; Compliance'!D3)</f>
        <v/>
      </c>
      <c r="E38" s="40">
        <f>IF('Security &amp; Compliance'!E3="","",'Security &amp; Compliance'!E3)</f>
        <v/>
      </c>
      <c r="F38" s="39">
        <f>IF('Security &amp; Compliance'!F3="","",'Security &amp; Compliance'!F3)</f>
        <v/>
      </c>
      <c r="G38" s="40">
        <f>IF('Security &amp; Compliance'!G3="","",'Security &amp; Compliance'!G3)</f>
        <v/>
      </c>
    </row>
    <row r="39">
      <c r="A39" s="38">
        <f>IF('Security &amp; Compliance'!A4="","",'Security &amp; Compliance'!A4)</f>
        <v/>
      </c>
      <c r="B39" s="38">
        <f>IF('Security &amp; Compliance'!B4="","",'Security &amp; Compliance'!B4)</f>
        <v/>
      </c>
      <c r="C39" s="38">
        <f>IF('Security &amp; Compliance'!C4="","",'Security &amp; Compliance'!C4)</f>
        <v/>
      </c>
      <c r="D39" s="38">
        <f>IF('Security &amp; Compliance'!D4="","",'Security &amp; Compliance'!D4)</f>
        <v/>
      </c>
      <c r="E39" s="38">
        <f>IF('Security &amp; Compliance'!E4="","",'Security &amp; Compliance'!E4)</f>
        <v/>
      </c>
      <c r="F39" s="39">
        <f>IF('Security &amp; Compliance'!F4="","",'Security &amp; Compliance'!F4)</f>
        <v/>
      </c>
      <c r="G39" s="38">
        <f>IF('Security &amp; Compliance'!G4="","",'Security &amp; Compliance'!G4)</f>
        <v/>
      </c>
    </row>
    <row r="40">
      <c r="A40" s="40">
        <f>IF('Security &amp; Compliance'!A5="","",'Security &amp; Compliance'!A5)</f>
        <v/>
      </c>
      <c r="B40" s="40">
        <f>IF('Security &amp; Compliance'!B5="","",'Security &amp; Compliance'!B5)</f>
        <v/>
      </c>
      <c r="C40" s="40">
        <f>IF('Security &amp; Compliance'!C5="","",'Security &amp; Compliance'!C5)</f>
        <v/>
      </c>
      <c r="D40" s="40">
        <f>IF('Security &amp; Compliance'!D5="","",'Security &amp; Compliance'!D5)</f>
        <v/>
      </c>
      <c r="E40" s="40">
        <f>IF('Security &amp; Compliance'!E5="","",'Security &amp; Compliance'!E5)</f>
        <v/>
      </c>
      <c r="F40" s="39">
        <f>IF('Security &amp; Compliance'!F5="","",'Security &amp; Compliance'!F5)</f>
        <v/>
      </c>
      <c r="G40" s="40">
        <f>IF('Security &amp; Compliance'!G5="","",'Security &amp; Compliance'!G5)</f>
        <v/>
      </c>
    </row>
    <row r="41">
      <c r="A41" s="38">
        <f>IF('Security &amp; Compliance'!A6="","",'Security &amp; Compliance'!A6)</f>
        <v/>
      </c>
      <c r="B41" s="38">
        <f>IF('Security &amp; Compliance'!B6="","",'Security &amp; Compliance'!B6)</f>
        <v/>
      </c>
      <c r="C41" s="38">
        <f>IF('Security &amp; Compliance'!C6="","",'Security &amp; Compliance'!C6)</f>
        <v/>
      </c>
      <c r="D41" s="38">
        <f>IF('Security &amp; Compliance'!D6="","",'Security &amp; Compliance'!D6)</f>
        <v/>
      </c>
      <c r="E41" s="38">
        <f>IF('Security &amp; Compliance'!E6="","",'Security &amp; Compliance'!E6)</f>
        <v/>
      </c>
      <c r="F41" s="39">
        <f>IF('Security &amp; Compliance'!F6="","",'Security &amp; Compliance'!F6)</f>
        <v/>
      </c>
      <c r="G41" s="38">
        <f>IF('Security &amp; Compliance'!G6="","",'Security &amp; Compliance'!G6)</f>
        <v/>
      </c>
    </row>
    <row r="42">
      <c r="A42" s="40">
        <f>IF('Security &amp; Compliance'!A7="","",'Security &amp; Compliance'!A7)</f>
        <v/>
      </c>
      <c r="B42" s="40">
        <f>IF('Security &amp; Compliance'!B7="","",'Security &amp; Compliance'!B7)</f>
        <v/>
      </c>
      <c r="C42" s="40">
        <f>IF('Security &amp; Compliance'!C7="","",'Security &amp; Compliance'!C7)</f>
        <v/>
      </c>
      <c r="D42" s="40">
        <f>IF('Security &amp; Compliance'!D7="","",'Security &amp; Compliance'!D7)</f>
        <v/>
      </c>
      <c r="E42" s="40">
        <f>IF('Security &amp; Compliance'!E7="","",'Security &amp; Compliance'!E7)</f>
        <v/>
      </c>
      <c r="F42" s="39">
        <f>IF('Security &amp; Compliance'!F7="","",'Security &amp; Compliance'!F7)</f>
        <v/>
      </c>
      <c r="G42" s="40">
        <f>IF('Security &amp; Compliance'!G7="","",'Security &amp; Compliance'!G7)</f>
        <v/>
      </c>
    </row>
    <row r="43">
      <c r="A43" s="38">
        <f>IF('Security &amp; Compliance'!A8="","",'Security &amp; Compliance'!A8)</f>
        <v/>
      </c>
      <c r="B43" s="38">
        <f>IF('Security &amp; Compliance'!B8="","",'Security &amp; Compliance'!B8)</f>
        <v/>
      </c>
      <c r="C43" s="38">
        <f>IF('Security &amp; Compliance'!C8="","",'Security &amp; Compliance'!C8)</f>
        <v/>
      </c>
      <c r="D43" s="38">
        <f>IF('Security &amp; Compliance'!D8="","",'Security &amp; Compliance'!D8)</f>
        <v/>
      </c>
      <c r="E43" s="38">
        <f>IF('Security &amp; Compliance'!E8="","",'Security &amp; Compliance'!E8)</f>
        <v/>
      </c>
      <c r="F43" s="39">
        <f>IF('Security &amp; Compliance'!F8="","",'Security &amp; Compliance'!F8)</f>
        <v/>
      </c>
      <c r="G43" s="38">
        <f>IF('Security &amp; Compliance'!G8="","",'Security &amp; Compliance'!G8)</f>
        <v/>
      </c>
    </row>
    <row r="44">
      <c r="A44" s="40">
        <f>IF('Security &amp; Compliance'!A9="","",'Security &amp; Compliance'!A9)</f>
        <v/>
      </c>
      <c r="B44" s="40">
        <f>IF('Security &amp; Compliance'!B9="","",'Security &amp; Compliance'!B9)</f>
        <v/>
      </c>
      <c r="C44" s="40">
        <f>IF('Security &amp; Compliance'!C9="","",'Security &amp; Compliance'!C9)</f>
        <v/>
      </c>
      <c r="D44" s="40">
        <f>IF('Security &amp; Compliance'!D9="","",'Security &amp; Compliance'!D9)</f>
        <v/>
      </c>
      <c r="E44" s="40">
        <f>IF('Security &amp; Compliance'!E9="","",'Security &amp; Compliance'!E9)</f>
        <v/>
      </c>
      <c r="F44" s="39">
        <f>IF('Security &amp; Compliance'!F9="","",'Security &amp; Compliance'!F9)</f>
        <v/>
      </c>
      <c r="G44" s="40">
        <f>IF('Security &amp; Compliance'!G9="","",'Security &amp; Compliance'!G9)</f>
        <v/>
      </c>
    </row>
    <row r="45">
      <c r="A45" s="38">
        <f>IF('Security &amp; Compliance'!A10="","",'Security &amp; Compliance'!A10)</f>
        <v/>
      </c>
      <c r="B45" s="38">
        <f>IF('Security &amp; Compliance'!B10="","",'Security &amp; Compliance'!B10)</f>
        <v/>
      </c>
      <c r="C45" s="38">
        <f>IF('Security &amp; Compliance'!C10="","",'Security &amp; Compliance'!C10)</f>
        <v/>
      </c>
      <c r="D45" s="38">
        <f>IF('Security &amp; Compliance'!D10="","",'Security &amp; Compliance'!D10)</f>
        <v/>
      </c>
      <c r="E45" s="38">
        <f>IF('Security &amp; Compliance'!E10="","",'Security &amp; Compliance'!E10)</f>
        <v/>
      </c>
      <c r="F45" s="39">
        <f>IF('Security &amp; Compliance'!F10="","",'Security &amp; Compliance'!F10)</f>
        <v/>
      </c>
      <c r="G45" s="38">
        <f>IF('Security &amp; Compliance'!G10="","",'Security &amp; Compliance'!G10)</f>
        <v/>
      </c>
    </row>
    <row r="46">
      <c r="A46" s="40">
        <f>IF('Security &amp; Compliance'!A11="","",'Security &amp; Compliance'!A11)</f>
        <v/>
      </c>
      <c r="B46" s="40">
        <f>IF('Security &amp; Compliance'!B11="","",'Security &amp; Compliance'!B11)</f>
        <v/>
      </c>
      <c r="C46" s="40">
        <f>IF('Security &amp; Compliance'!C11="","",'Security &amp; Compliance'!C11)</f>
        <v/>
      </c>
      <c r="D46" s="40">
        <f>IF('Security &amp; Compliance'!D11="","",'Security &amp; Compliance'!D11)</f>
        <v/>
      </c>
      <c r="E46" s="40">
        <f>IF('Security &amp; Compliance'!E11="","",'Security &amp; Compliance'!E11)</f>
        <v/>
      </c>
      <c r="F46" s="39">
        <f>IF('Security &amp; Compliance'!F11="","",'Security &amp; Compliance'!F11)</f>
        <v/>
      </c>
      <c r="G46" s="40">
        <f>IF('Security &amp; Compliance'!G11="","",'Security &amp; Compliance'!G11)</f>
        <v/>
      </c>
    </row>
    <row r="47">
      <c r="A47" s="38">
        <f>IF('Security &amp; Compliance'!A12="","",'Security &amp; Compliance'!A12)</f>
        <v/>
      </c>
      <c r="B47" s="38">
        <f>IF('Security &amp; Compliance'!B12="","",'Security &amp; Compliance'!B12)</f>
        <v/>
      </c>
      <c r="C47" s="38">
        <f>IF('Security &amp; Compliance'!C12="","",'Security &amp; Compliance'!C12)</f>
        <v/>
      </c>
      <c r="D47" s="38">
        <f>IF('Security &amp; Compliance'!D12="","",'Security &amp; Compliance'!D12)</f>
        <v/>
      </c>
      <c r="E47" s="38">
        <f>IF('Security &amp; Compliance'!E12="","",'Security &amp; Compliance'!E12)</f>
        <v/>
      </c>
      <c r="F47" s="39">
        <f>IF('Security &amp; Compliance'!F12="","",'Security &amp; Compliance'!F12)</f>
        <v/>
      </c>
      <c r="G47" s="38">
        <f>IF('Security &amp; Compliance'!G12="","",'Security &amp; Compliance'!G12)</f>
        <v/>
      </c>
    </row>
    <row r="48">
      <c r="A48" s="40">
        <f>IF('Security &amp; Compliance'!A13="","",'Security &amp; Compliance'!A13)</f>
        <v/>
      </c>
      <c r="B48" s="40">
        <f>IF('Security &amp; Compliance'!B13="","",'Security &amp; Compliance'!B13)</f>
        <v/>
      </c>
      <c r="C48" s="40">
        <f>IF('Security &amp; Compliance'!C13="","",'Security &amp; Compliance'!C13)</f>
        <v/>
      </c>
      <c r="D48" s="40">
        <f>IF('Security &amp; Compliance'!D13="","",'Security &amp; Compliance'!D13)</f>
        <v/>
      </c>
      <c r="E48" s="40">
        <f>IF('Security &amp; Compliance'!E13="","",'Security &amp; Compliance'!E13)</f>
        <v/>
      </c>
      <c r="F48" s="39">
        <f>IF('Security &amp; Compliance'!F13="","",'Security &amp; Compliance'!F13)</f>
        <v/>
      </c>
      <c r="G48" s="40">
        <f>IF('Security &amp; Compliance'!G13="","",'Security &amp; Compliance'!G13)</f>
        <v/>
      </c>
    </row>
    <row r="49">
      <c r="A49" s="38">
        <f>IF('Operations &amp; Support'!A2="","",'Operations &amp; Support'!A2)</f>
        <v/>
      </c>
      <c r="B49" s="38">
        <f>IF('Operations &amp; Support'!B2="","",'Operations &amp; Support'!B2)</f>
        <v/>
      </c>
      <c r="C49" s="38">
        <f>IF('Operations &amp; Support'!C2="","",'Operations &amp; Support'!C2)</f>
        <v/>
      </c>
      <c r="D49" s="38">
        <f>IF('Operations &amp; Support'!D2="","",'Operations &amp; Support'!D2)</f>
        <v/>
      </c>
      <c r="E49" s="38">
        <f>IF('Operations &amp; Support'!E2="","",'Operations &amp; Support'!E2)</f>
        <v/>
      </c>
      <c r="F49" s="39">
        <f>IF('Operations &amp; Support'!F2="","",'Operations &amp; Support'!F2)</f>
        <v/>
      </c>
      <c r="G49" s="38">
        <f>IF('Operations &amp; Support'!G2="","",'Operations &amp; Support'!G2)</f>
        <v/>
      </c>
    </row>
    <row r="50">
      <c r="A50" s="40">
        <f>IF('Operations &amp; Support'!A3="","",'Operations &amp; Support'!A3)</f>
        <v/>
      </c>
      <c r="B50" s="40">
        <f>IF('Operations &amp; Support'!B3="","",'Operations &amp; Support'!B3)</f>
        <v/>
      </c>
      <c r="C50" s="40">
        <f>IF('Operations &amp; Support'!C3="","",'Operations &amp; Support'!C3)</f>
        <v/>
      </c>
      <c r="D50" s="40">
        <f>IF('Operations &amp; Support'!D3="","",'Operations &amp; Support'!D3)</f>
        <v/>
      </c>
      <c r="E50" s="40">
        <f>IF('Operations &amp; Support'!E3="","",'Operations &amp; Support'!E3)</f>
        <v/>
      </c>
      <c r="F50" s="39">
        <f>IF('Operations &amp; Support'!F3="","",'Operations &amp; Support'!F3)</f>
        <v/>
      </c>
      <c r="G50" s="40">
        <f>IF('Operations &amp; Support'!G3="","",'Operations &amp; Support'!G3)</f>
        <v/>
      </c>
    </row>
    <row r="51">
      <c r="A51" s="38">
        <f>IF('Operations &amp; Support'!A4="","",'Operations &amp; Support'!A4)</f>
        <v/>
      </c>
      <c r="B51" s="38">
        <f>IF('Operations &amp; Support'!B4="","",'Operations &amp; Support'!B4)</f>
        <v/>
      </c>
      <c r="C51" s="38">
        <f>IF('Operations &amp; Support'!C4="","",'Operations &amp; Support'!C4)</f>
        <v/>
      </c>
      <c r="D51" s="38">
        <f>IF('Operations &amp; Support'!D4="","",'Operations &amp; Support'!D4)</f>
        <v/>
      </c>
      <c r="E51" s="38">
        <f>IF('Operations &amp; Support'!E4="","",'Operations &amp; Support'!E4)</f>
        <v/>
      </c>
      <c r="F51" s="39">
        <f>IF('Operations &amp; Support'!F4="","",'Operations &amp; Support'!F4)</f>
        <v/>
      </c>
      <c r="G51" s="38">
        <f>IF('Operations &amp; Support'!G4="","",'Operations &amp; Support'!G4)</f>
        <v/>
      </c>
    </row>
    <row r="52">
      <c r="A52" s="40">
        <f>IF('Operations &amp; Support'!A5="","",'Operations &amp; Support'!A5)</f>
        <v/>
      </c>
      <c r="B52" s="40">
        <f>IF('Operations &amp; Support'!B5="","",'Operations &amp; Support'!B5)</f>
        <v/>
      </c>
      <c r="C52" s="40">
        <f>IF('Operations &amp; Support'!C5="","",'Operations &amp; Support'!C5)</f>
        <v/>
      </c>
      <c r="D52" s="40">
        <f>IF('Operations &amp; Support'!D5="","",'Operations &amp; Support'!D5)</f>
        <v/>
      </c>
      <c r="E52" s="40">
        <f>IF('Operations &amp; Support'!E5="","",'Operations &amp; Support'!E5)</f>
        <v/>
      </c>
      <c r="F52" s="39">
        <f>IF('Operations &amp; Support'!F5="","",'Operations &amp; Support'!F5)</f>
        <v/>
      </c>
      <c r="G52" s="40">
        <f>IF('Operations &amp; Support'!G5="","",'Operations &amp; Support'!G5)</f>
        <v/>
      </c>
    </row>
    <row r="53">
      <c r="A53" s="38">
        <f>IF('Operations &amp; Support'!A6="","",'Operations &amp; Support'!A6)</f>
        <v/>
      </c>
      <c r="B53" s="38">
        <f>IF('Operations &amp; Support'!B6="","",'Operations &amp; Support'!B6)</f>
        <v/>
      </c>
      <c r="C53" s="38">
        <f>IF('Operations &amp; Support'!C6="","",'Operations &amp; Support'!C6)</f>
        <v/>
      </c>
      <c r="D53" s="38">
        <f>IF('Operations &amp; Support'!D6="","",'Operations &amp; Support'!D6)</f>
        <v/>
      </c>
      <c r="E53" s="38">
        <f>IF('Operations &amp; Support'!E6="","",'Operations &amp; Support'!E6)</f>
        <v/>
      </c>
      <c r="F53" s="39">
        <f>IF('Operations &amp; Support'!F6="","",'Operations &amp; Support'!F6)</f>
        <v/>
      </c>
      <c r="G53" s="38">
        <f>IF('Operations &amp; Support'!G6="","",'Operations &amp; Support'!G6)</f>
        <v/>
      </c>
    </row>
    <row r="54">
      <c r="A54" s="40">
        <f>IF('Operations &amp; Support'!A7="","",'Operations &amp; Support'!A7)</f>
        <v/>
      </c>
      <c r="B54" s="40">
        <f>IF('Operations &amp; Support'!B7="","",'Operations &amp; Support'!B7)</f>
        <v/>
      </c>
      <c r="C54" s="40">
        <f>IF('Operations &amp; Support'!C7="","",'Operations &amp; Support'!C7)</f>
        <v/>
      </c>
      <c r="D54" s="40">
        <f>IF('Operations &amp; Support'!D7="","",'Operations &amp; Support'!D7)</f>
        <v/>
      </c>
      <c r="E54" s="40">
        <f>IF('Operations &amp; Support'!E7="","",'Operations &amp; Support'!E7)</f>
        <v/>
      </c>
      <c r="F54" s="39">
        <f>IF('Operations &amp; Support'!F7="","",'Operations &amp; Support'!F7)</f>
        <v/>
      </c>
      <c r="G54" s="40">
        <f>IF('Operations &amp; Support'!G7="","",'Operations &amp; Support'!G7)</f>
        <v/>
      </c>
    </row>
    <row r="55">
      <c r="A55" s="38">
        <f>IF('Operations &amp; Support'!A8="","",'Operations &amp; Support'!A8)</f>
        <v/>
      </c>
      <c r="B55" s="38">
        <f>IF('Operations &amp; Support'!B8="","",'Operations &amp; Support'!B8)</f>
        <v/>
      </c>
      <c r="C55" s="38">
        <f>IF('Operations &amp; Support'!C8="","",'Operations &amp; Support'!C8)</f>
        <v/>
      </c>
      <c r="D55" s="38">
        <f>IF('Operations &amp; Support'!D8="","",'Operations &amp; Support'!D8)</f>
        <v/>
      </c>
      <c r="E55" s="38">
        <f>IF('Operations &amp; Support'!E8="","",'Operations &amp; Support'!E8)</f>
        <v/>
      </c>
      <c r="F55" s="39">
        <f>IF('Operations &amp; Support'!F8="","",'Operations &amp; Support'!F8)</f>
        <v/>
      </c>
      <c r="G55" s="38">
        <f>IF('Operations &amp; Support'!G8="","",'Operations &amp; Support'!G8)</f>
        <v/>
      </c>
    </row>
    <row r="56">
      <c r="A56" s="40">
        <f>IF('Operations &amp; Support'!A9="","",'Operations &amp; Support'!A9)</f>
        <v/>
      </c>
      <c r="B56" s="40">
        <f>IF('Operations &amp; Support'!B9="","",'Operations &amp; Support'!B9)</f>
        <v/>
      </c>
      <c r="C56" s="40">
        <f>IF('Operations &amp; Support'!C9="","",'Operations &amp; Support'!C9)</f>
        <v/>
      </c>
      <c r="D56" s="40">
        <f>IF('Operations &amp; Support'!D9="","",'Operations &amp; Support'!D9)</f>
        <v/>
      </c>
      <c r="E56" s="40">
        <f>IF('Operations &amp; Support'!E9="","",'Operations &amp; Support'!E9)</f>
        <v/>
      </c>
      <c r="F56" s="39">
        <f>IF('Operations &amp; Support'!F9="","",'Operations &amp; Support'!F9)</f>
        <v/>
      </c>
      <c r="G56" s="40">
        <f>IF('Operations &amp; Support'!G9="","",'Operations &amp; Support'!G9)</f>
        <v/>
      </c>
    </row>
    <row r="57">
      <c r="A57" s="38">
        <f>IF('Operations &amp; Support'!A10="","",'Operations &amp; Support'!A10)</f>
        <v/>
      </c>
      <c r="B57" s="38">
        <f>IF('Operations &amp; Support'!B10="","",'Operations &amp; Support'!B10)</f>
        <v/>
      </c>
      <c r="C57" s="38">
        <f>IF('Operations &amp; Support'!C10="","",'Operations &amp; Support'!C10)</f>
        <v/>
      </c>
      <c r="D57" s="38">
        <f>IF('Operations &amp; Support'!D10="","",'Operations &amp; Support'!D10)</f>
        <v/>
      </c>
      <c r="E57" s="38">
        <f>IF('Operations &amp; Support'!E10="","",'Operations &amp; Support'!E10)</f>
        <v/>
      </c>
      <c r="F57" s="39">
        <f>IF('Operations &amp; Support'!F10="","",'Operations &amp; Support'!F10)</f>
        <v/>
      </c>
      <c r="G57" s="38">
        <f>IF('Operations &amp; Support'!G10="","",'Operations &amp; Support'!G10)</f>
        <v/>
      </c>
    </row>
    <row r="58">
      <c r="A58" s="40">
        <f>IF('Implementation Planning'!A2="","",'Implementation Planning'!A2)</f>
        <v/>
      </c>
      <c r="B58" s="40">
        <f>IF('Implementation Planning'!B2="","",'Implementation Planning'!B2)</f>
        <v/>
      </c>
      <c r="C58" s="40">
        <f>IF('Implementation Planning'!C2="","",'Implementation Planning'!C2)</f>
        <v/>
      </c>
      <c r="D58" s="40">
        <f>IF('Implementation Planning'!D2="","",'Implementation Planning'!D2)</f>
        <v/>
      </c>
      <c r="E58" s="40">
        <f>IF('Implementation Planning'!E2="","",'Implementation Planning'!E2)</f>
        <v/>
      </c>
      <c r="F58" s="39">
        <f>IF('Implementation Planning'!F2="","",'Implementation Planning'!F2)</f>
        <v/>
      </c>
      <c r="G58" s="40">
        <f>IF('Implementation Planning'!G2="","",'Implementation Planning'!G2)</f>
        <v/>
      </c>
    </row>
    <row r="59">
      <c r="A59" s="38">
        <f>IF('Implementation Planning'!A3="","",'Implementation Planning'!A3)</f>
        <v/>
      </c>
      <c r="B59" s="38">
        <f>IF('Implementation Planning'!B3="","",'Implementation Planning'!B3)</f>
        <v/>
      </c>
      <c r="C59" s="38">
        <f>IF('Implementation Planning'!C3="","",'Implementation Planning'!C3)</f>
        <v/>
      </c>
      <c r="D59" s="38">
        <f>IF('Implementation Planning'!D3="","",'Implementation Planning'!D3)</f>
        <v/>
      </c>
      <c r="E59" s="38">
        <f>IF('Implementation Planning'!E3="","",'Implementation Planning'!E3)</f>
        <v/>
      </c>
      <c r="F59" s="39">
        <f>IF('Implementation Planning'!F3="","",'Implementation Planning'!F3)</f>
        <v/>
      </c>
      <c r="G59" s="38">
        <f>IF('Implementation Planning'!G3="","",'Implementation Planning'!G3)</f>
        <v/>
      </c>
    </row>
    <row r="60">
      <c r="A60" s="40">
        <f>IF('Implementation Planning'!A4="","",'Implementation Planning'!A4)</f>
        <v/>
      </c>
      <c r="B60" s="40">
        <f>IF('Implementation Planning'!B4="","",'Implementation Planning'!B4)</f>
        <v/>
      </c>
      <c r="C60" s="40">
        <f>IF('Implementation Planning'!C4="","",'Implementation Planning'!C4)</f>
        <v/>
      </c>
      <c r="D60" s="40">
        <f>IF('Implementation Planning'!D4="","",'Implementation Planning'!D4)</f>
        <v/>
      </c>
      <c r="E60" s="40">
        <f>IF('Implementation Planning'!E4="","",'Implementation Planning'!E4)</f>
        <v/>
      </c>
      <c r="F60" s="39">
        <f>IF('Implementation Planning'!F4="","",'Implementation Planning'!F4)</f>
        <v/>
      </c>
      <c r="G60" s="40">
        <f>IF('Implementation Planning'!G4="","",'Implementation Planning'!G4)</f>
        <v/>
      </c>
    </row>
    <row r="61">
      <c r="A61" s="38">
        <f>IF('Implementation Planning'!A5="","",'Implementation Planning'!A5)</f>
        <v/>
      </c>
      <c r="B61" s="38">
        <f>IF('Implementation Planning'!B5="","",'Implementation Planning'!B5)</f>
        <v/>
      </c>
      <c r="C61" s="38">
        <f>IF('Implementation Planning'!C5="","",'Implementation Planning'!C5)</f>
        <v/>
      </c>
      <c r="D61" s="38">
        <f>IF('Implementation Planning'!D5="","",'Implementation Planning'!D5)</f>
        <v/>
      </c>
      <c r="E61" s="38">
        <f>IF('Implementation Planning'!E5="","",'Implementation Planning'!E5)</f>
        <v/>
      </c>
      <c r="F61" s="39">
        <f>IF('Implementation Planning'!F5="","",'Implementation Planning'!F5)</f>
        <v/>
      </c>
      <c r="G61" s="38">
        <f>IF('Implementation Planning'!G5="","",'Implementation Planning'!G5)</f>
        <v/>
      </c>
    </row>
    <row r="62">
      <c r="A62" s="40">
        <f>IF('Implementation Planning'!A6="","",'Implementation Planning'!A6)</f>
        <v/>
      </c>
      <c r="B62" s="40">
        <f>IF('Implementation Planning'!B6="","",'Implementation Planning'!B6)</f>
        <v/>
      </c>
      <c r="C62" s="40">
        <f>IF('Implementation Planning'!C6="","",'Implementation Planning'!C6)</f>
        <v/>
      </c>
      <c r="D62" s="40">
        <f>IF('Implementation Planning'!D6="","",'Implementation Planning'!D6)</f>
        <v/>
      </c>
      <c r="E62" s="40">
        <f>IF('Implementation Planning'!E6="","",'Implementation Planning'!E6)</f>
        <v/>
      </c>
      <c r="F62" s="39">
        <f>IF('Implementation Planning'!F6="","",'Implementation Planning'!F6)</f>
        <v/>
      </c>
      <c r="G62" s="40">
        <f>IF('Implementation Planning'!G6="","",'Implementation Planning'!G6)</f>
        <v/>
      </c>
    </row>
    <row r="63">
      <c r="A63" s="38">
        <f>IF('Implementation Planning'!A7="","",'Implementation Planning'!A7)</f>
        <v/>
      </c>
      <c r="B63" s="38">
        <f>IF('Implementation Planning'!B7="","",'Implementation Planning'!B7)</f>
        <v/>
      </c>
      <c r="C63" s="38">
        <f>IF('Implementation Planning'!C7="","",'Implementation Planning'!C7)</f>
        <v/>
      </c>
      <c r="D63" s="38">
        <f>IF('Implementation Planning'!D7="","",'Implementation Planning'!D7)</f>
        <v/>
      </c>
      <c r="E63" s="38">
        <f>IF('Implementation Planning'!E7="","",'Implementation Planning'!E7)</f>
        <v/>
      </c>
      <c r="F63" s="39">
        <f>IF('Implementation Planning'!F7="","",'Implementation Planning'!F7)</f>
        <v/>
      </c>
      <c r="G63" s="38">
        <f>IF('Implementation Planning'!G7="","",'Implementation Planning'!G7)</f>
        <v/>
      </c>
    </row>
    <row r="64">
      <c r="A64" s="40">
        <f>IF('Implementation Planning'!A8="","",'Implementation Planning'!A8)</f>
        <v/>
      </c>
      <c r="B64" s="40">
        <f>IF('Implementation Planning'!B8="","",'Implementation Planning'!B8)</f>
        <v/>
      </c>
      <c r="C64" s="40">
        <f>IF('Implementation Planning'!C8="","",'Implementation Planning'!C8)</f>
        <v/>
      </c>
      <c r="D64" s="40">
        <f>IF('Implementation Planning'!D8="","",'Implementation Planning'!D8)</f>
        <v/>
      </c>
      <c r="E64" s="40">
        <f>IF('Implementation Planning'!E8="","",'Implementation Planning'!E8)</f>
        <v/>
      </c>
      <c r="F64" s="39">
        <f>IF('Implementation Planning'!F8="","",'Implementation Planning'!F8)</f>
        <v/>
      </c>
      <c r="G64" s="40">
        <f>IF('Implementation Planning'!G8="","",'Implementation Planning'!G8)</f>
        <v/>
      </c>
    </row>
    <row r="65">
      <c r="A65" s="38">
        <f>IF('Implementation Planning'!A9="","",'Implementation Planning'!A9)</f>
        <v/>
      </c>
      <c r="B65" s="38">
        <f>IF('Implementation Planning'!B9="","",'Implementation Planning'!B9)</f>
        <v/>
      </c>
      <c r="C65" s="38">
        <f>IF('Implementation Planning'!C9="","",'Implementation Planning'!C9)</f>
        <v/>
      </c>
      <c r="D65" s="38">
        <f>IF('Implementation Planning'!D9="","",'Implementation Planning'!D9)</f>
        <v/>
      </c>
      <c r="E65" s="38">
        <f>IF('Implementation Planning'!E9="","",'Implementation Planning'!E9)</f>
        <v/>
      </c>
      <c r="F65" s="39">
        <f>IF('Implementation Planning'!F9="","",'Implementation Planning'!F9)</f>
        <v/>
      </c>
      <c r="G65" s="38">
        <f>IF('Implementation Planning'!G9="","",'Implementation Planning'!G9)</f>
        <v/>
      </c>
    </row>
    <row r="66">
      <c r="A66" s="40">
        <f>IF('Implementation Planning'!A10="","",'Implementation Planning'!A10)</f>
        <v/>
      </c>
      <c r="B66" s="40">
        <f>IF('Implementation Planning'!B10="","",'Implementation Planning'!B10)</f>
        <v/>
      </c>
      <c r="C66" s="40">
        <f>IF('Implementation Planning'!C10="","",'Implementation Planning'!C10)</f>
        <v/>
      </c>
      <c r="D66" s="40">
        <f>IF('Implementation Planning'!D10="","",'Implementation Planning'!D10)</f>
        <v/>
      </c>
      <c r="E66" s="40">
        <f>IF('Implementation Planning'!E10="","",'Implementation Planning'!E10)</f>
        <v/>
      </c>
      <c r="F66" s="39">
        <f>IF('Implementation Planning'!F10="","",'Implementation Planning'!F10)</f>
        <v/>
      </c>
      <c r="G66" s="40">
        <f>IF('Implementation Planning'!G10="","",'Implementation Planning'!G10)</f>
        <v/>
      </c>
    </row>
    <row r="67">
      <c r="A67" s="38">
        <f>IF('Implementation Planning'!A11="","",'Implementation Planning'!A11)</f>
        <v/>
      </c>
      <c r="B67" s="38">
        <f>IF('Implementation Planning'!B11="","",'Implementation Planning'!B11)</f>
        <v/>
      </c>
      <c r="C67" s="38">
        <f>IF('Implementation Planning'!C11="","",'Implementation Planning'!C11)</f>
        <v/>
      </c>
      <c r="D67" s="38">
        <f>IF('Implementation Planning'!D11="","",'Implementation Planning'!D11)</f>
        <v/>
      </c>
      <c r="E67" s="38">
        <f>IF('Implementation Planning'!E11="","",'Implementation Planning'!E11)</f>
        <v/>
      </c>
      <c r="F67" s="39">
        <f>IF('Implementation Planning'!F11="","",'Implementation Planning'!F11)</f>
        <v/>
      </c>
      <c r="G67" s="38">
        <f>IF('Implementation Planning'!G11="","",'Implementation Planning'!G11)</f>
        <v/>
      </c>
    </row>
    <row r="68">
      <c r="A68" s="40">
        <f>IF('Risk &amp; Constraints'!A2="","",'Risk &amp; Constraints'!A2)</f>
        <v/>
      </c>
      <c r="B68" s="40">
        <f>IF('Risk &amp; Constraints'!B2="","",'Risk &amp; Constraints'!B2)</f>
        <v/>
      </c>
      <c r="C68" s="40">
        <f>IF('Risk &amp; Constraints'!C2="","",'Risk &amp; Constraints'!C2)</f>
        <v/>
      </c>
      <c r="D68" s="40">
        <f>IF('Risk &amp; Constraints'!D2="","",'Risk &amp; Constraints'!D2)</f>
        <v/>
      </c>
      <c r="E68" s="40">
        <f>IF('Risk &amp; Constraints'!E2="","",'Risk &amp; Constraints'!E2)</f>
        <v/>
      </c>
      <c r="F68" s="39">
        <f>IF('Risk &amp; Constraints'!F2="","",'Risk &amp; Constraints'!F2)</f>
        <v/>
      </c>
      <c r="G68" s="40">
        <f>IF('Risk &amp; Constraints'!G2="","",'Risk &amp; Constraints'!G2)</f>
        <v/>
      </c>
    </row>
    <row r="69">
      <c r="A69" s="38">
        <f>IF('Risk &amp; Constraints'!A3="","",'Risk &amp; Constraints'!A3)</f>
        <v/>
      </c>
      <c r="B69" s="38">
        <f>IF('Risk &amp; Constraints'!B3="","",'Risk &amp; Constraints'!B3)</f>
        <v/>
      </c>
      <c r="C69" s="38">
        <f>IF('Risk &amp; Constraints'!C3="","",'Risk &amp; Constraints'!C3)</f>
        <v/>
      </c>
      <c r="D69" s="38">
        <f>IF('Risk &amp; Constraints'!D3="","",'Risk &amp; Constraints'!D3)</f>
        <v/>
      </c>
      <c r="E69" s="38">
        <f>IF('Risk &amp; Constraints'!E3="","",'Risk &amp; Constraints'!E3)</f>
        <v/>
      </c>
      <c r="F69" s="39">
        <f>IF('Risk &amp; Constraints'!F3="","",'Risk &amp; Constraints'!F3)</f>
        <v/>
      </c>
      <c r="G69" s="38">
        <f>IF('Risk &amp; Constraints'!G3="","",'Risk &amp; Constraints'!G3)</f>
        <v/>
      </c>
    </row>
    <row r="70">
      <c r="A70" s="40">
        <f>IF('Risk &amp; Constraints'!A4="","",'Risk &amp; Constraints'!A4)</f>
        <v/>
      </c>
      <c r="B70" s="40">
        <f>IF('Risk &amp; Constraints'!B4="","",'Risk &amp; Constraints'!B4)</f>
        <v/>
      </c>
      <c r="C70" s="40">
        <f>IF('Risk &amp; Constraints'!C4="","",'Risk &amp; Constraints'!C4)</f>
        <v/>
      </c>
      <c r="D70" s="40">
        <f>IF('Risk &amp; Constraints'!D4="","",'Risk &amp; Constraints'!D4)</f>
        <v/>
      </c>
      <c r="E70" s="40">
        <f>IF('Risk &amp; Constraints'!E4="","",'Risk &amp; Constraints'!E4)</f>
        <v/>
      </c>
      <c r="F70" s="39">
        <f>IF('Risk &amp; Constraints'!F4="","",'Risk &amp; Constraints'!F4)</f>
        <v/>
      </c>
      <c r="G70" s="40">
        <f>IF('Risk &amp; Constraints'!G4="","",'Risk &amp; Constraints'!G4)</f>
        <v/>
      </c>
    </row>
    <row r="71">
      <c r="A71" s="38">
        <f>IF('Risk &amp; Constraints'!A5="","",'Risk &amp; Constraints'!A5)</f>
        <v/>
      </c>
      <c r="B71" s="38">
        <f>IF('Risk &amp; Constraints'!B5="","",'Risk &amp; Constraints'!B5)</f>
        <v/>
      </c>
      <c r="C71" s="38">
        <f>IF('Risk &amp; Constraints'!C5="","",'Risk &amp; Constraints'!C5)</f>
        <v/>
      </c>
      <c r="D71" s="38">
        <f>IF('Risk &amp; Constraints'!D5="","",'Risk &amp; Constraints'!D5)</f>
        <v/>
      </c>
      <c r="E71" s="38">
        <f>IF('Risk &amp; Constraints'!E5="","",'Risk &amp; Constraints'!E5)</f>
        <v/>
      </c>
      <c r="F71" s="39">
        <f>IF('Risk &amp; Constraints'!F5="","",'Risk &amp; Constraints'!F5)</f>
        <v/>
      </c>
      <c r="G71" s="38">
        <f>IF('Risk &amp; Constraints'!G5="","",'Risk &amp; Constraints'!G5)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BUS-001</t>
        </is>
      </c>
      <c r="B2" s="40" t="inlineStr">
        <is>
          <t>Business Requirements</t>
        </is>
      </c>
      <c r="C2" s="40" t="inlineStr">
        <is>
          <t>Business Drivers</t>
        </is>
      </c>
      <c r="D2" s="40" t="inlineStr">
        <is>
          <t>What are the top 3-5 compliance pain points driving this initiative?</t>
        </is>
      </c>
      <c r="E2" s="40" t="inlineStr">
        <is>
          <t>Describe specific audit findings, remediation effort, and frequency of compliance breaches</t>
        </is>
      </c>
      <c r="F2" s="39" t="n"/>
      <c r="G2" s="40" t="inlineStr">
        <is>
          <t>Understanding root-cause pain points ensures the solution directly addresses the compliance gap</t>
        </is>
      </c>
    </row>
    <row r="3">
      <c r="A3" s="38" t="inlineStr">
        <is>
          <t>BUS-002</t>
        </is>
      </c>
      <c r="B3" s="38" t="inlineStr">
        <is>
          <t>Business Requirements</t>
        </is>
      </c>
      <c r="C3" s="38" t="inlineStr">
        <is>
          <t>Business Drivers</t>
        </is>
      </c>
      <c r="D3" s="38" t="inlineStr">
        <is>
          <t>How many compliance findings per quarter are currently raised, and what is the estimated remediation effort in person-hours?</t>
        </is>
      </c>
      <c r="E3" s="38" t="inlineStr">
        <is>
          <t>Provide current baseline metrics (e.g. 3-4 findings, ~40 hours remediation each)</t>
        </is>
      </c>
      <c r="F3" s="39" t="n"/>
      <c r="G3" s="38" t="inlineStr">
        <is>
          <t>Baseline for measuring 80% reduction target and calculating ROI</t>
        </is>
      </c>
    </row>
    <row r="4">
      <c r="A4" s="40" t="inlineStr">
        <is>
          <t>BUS-003</t>
        </is>
      </c>
      <c r="B4" s="40" t="inlineStr">
        <is>
          <t>Business Requirements</t>
        </is>
      </c>
      <c r="C4" s="40" t="inlineStr">
        <is>
          <t>Success Criteria</t>
        </is>
      </c>
      <c r="D4" s="40" t="inlineStr">
        <is>
          <t>What does success look like at the Q2 2026 regulatory review?</t>
        </is>
      </c>
      <c r="E4" s="40" t="inlineStr">
        <is>
          <t>Define measurable outcomes: zero audit findings, evidence packages produced, controls demonstrably automated</t>
        </is>
      </c>
      <c r="F4" s="39" t="n"/>
      <c r="G4" s="40" t="inlineStr">
        <is>
          <t>Critical for scoping the solution and defining acceptance criteria</t>
        </is>
      </c>
    </row>
    <row r="5">
      <c r="A5" s="38" t="inlineStr">
        <is>
          <t>BUS-004</t>
        </is>
      </c>
      <c r="B5" s="38" t="inlineStr">
        <is>
          <t>Business Requirements</t>
        </is>
      </c>
      <c r="C5" s="38" t="inlineStr">
        <is>
          <t>Success Criteria</t>
        </is>
      </c>
      <c r="D5" s="38" t="inlineStr">
        <is>
          <t>What evidence artefacts must be produced for the regulatory review?</t>
        </is>
      </c>
      <c r="E5" s="38" t="inlineStr">
        <is>
          <t>Examples: policy compliance reports, access logs, change audit trails, control attestation</t>
        </is>
      </c>
      <c r="F5" s="39" t="n"/>
      <c r="G5" s="38" t="inlineStr">
        <is>
          <t>Drives logging, reporting, and evidence collection requirements</t>
        </is>
      </c>
    </row>
    <row r="6">
      <c r="A6" s="40" t="inlineStr">
        <is>
          <t>BUS-005</t>
        </is>
      </c>
      <c r="B6" s="40" t="inlineStr">
        <is>
          <t>Business Requirements</t>
        </is>
      </c>
      <c r="C6" s="40" t="inlineStr">
        <is>
          <t>Timeline</t>
        </is>
      </c>
      <c r="D6" s="40" t="inlineStr">
        <is>
          <t>Is the end-of-April 2026 hard deadline fixed, or is there any flexibility?</t>
        </is>
      </c>
      <c r="E6" s="40" t="inlineStr">
        <is>
          <t>Confirm whether a regulatory extension is possible and what the consequences of missing it are</t>
        </is>
      </c>
      <c r="F6" s="39" t="n"/>
      <c r="G6" s="40" t="inlineStr">
        <is>
          <t>Hard deadline impacts phase planning, resourcing, and scope prioritisation</t>
        </is>
      </c>
    </row>
    <row r="7">
      <c r="A7" s="38" t="inlineStr">
        <is>
          <t>BUS-006</t>
        </is>
      </c>
      <c r="B7" s="38" t="inlineStr">
        <is>
          <t>Business Requirements</t>
        </is>
      </c>
      <c r="C7" s="38" t="inlineStr">
        <is>
          <t>Timeline</t>
        </is>
      </c>
      <c r="D7" s="38" t="inlineStr">
        <is>
          <t>Are the proposed phase durations (Phase 1: 6 weeks foundation; Phase 2: Month 4 full guardrails) aligned with internal capacity?</t>
        </is>
      </c>
      <c r="E7" s="38" t="inlineStr">
        <is>
          <t>Identify any internal freeze periods, planned leave, or competing priorities that could affect availability</t>
        </is>
      </c>
      <c r="F7" s="39" t="n"/>
      <c r="G7" s="38" t="inlineStr">
        <is>
          <t>Resource contention in a tight timeline is a common delivery risk</t>
        </is>
      </c>
    </row>
    <row r="8">
      <c r="A8" s="40" t="inlineStr">
        <is>
          <t>BUS-007</t>
        </is>
      </c>
      <c r="B8" s="40" t="inlineStr">
        <is>
          <t>Business Requirements</t>
        </is>
      </c>
      <c r="C8" s="40" t="inlineStr">
        <is>
          <t>Budget</t>
        </is>
      </c>
      <c r="D8" s="40" t="inlineStr">
        <is>
          <t>Is the $400k-$600k budget envelope approved, or is it still subject to board or finance committee sign-off?</t>
        </is>
      </c>
      <c r="E8" s="40" t="inlineStr">
        <is>
          <t>Clarify approval status and who holds the budget authority</t>
        </is>
      </c>
      <c r="F8" s="39" t="n"/>
      <c r="G8" s="40" t="inlineStr">
        <is>
          <t>Unsigned budget approval creates procurement and contracting risk</t>
        </is>
      </c>
    </row>
    <row r="9">
      <c r="A9" s="38" t="inlineStr">
        <is>
          <t>BUS-008</t>
        </is>
      </c>
      <c r="B9" s="38" t="inlineStr">
        <is>
          <t>Business Requirements</t>
        </is>
      </c>
      <c r="C9" s="38" t="inlineStr">
        <is>
          <t>Budget</t>
        </is>
      </c>
      <c r="D9" s="38" t="inlineStr">
        <is>
          <t>How is the budget split between professional services, tooling/licensing, and infrastructure run cost?</t>
        </is>
      </c>
      <c r="E9" s="38" t="inlineStr">
        <is>
          <t>Approximate allocation helps right-size each workstream</t>
        </is>
      </c>
      <c r="F9" s="39" t="n"/>
      <c r="G9" s="38" t="inlineStr">
        <is>
          <t>Unbalanced allocation (e.g. all PS, no tooling budget) can block architecture decisions</t>
        </is>
      </c>
    </row>
    <row r="10">
      <c r="A10" s="40" t="inlineStr">
        <is>
          <t>BUS-009</t>
        </is>
      </c>
      <c r="B10" s="40" t="inlineStr">
        <is>
          <t>Business Requirements</t>
        </is>
      </c>
      <c r="C10" s="40" t="inlineStr">
        <is>
          <t>Stakeholders</t>
        </is>
      </c>
      <c r="D10" s="40" t="inlineStr">
        <is>
          <t>Who are all the stakeholders that must approve the design, and what is their sign-off sequence?</t>
        </is>
      </c>
      <c r="E10" s="40" t="inlineStr">
        <is>
          <t>Map CTO, CISO, Platform Engineering, Procurement, and any legal/compliance sign-off required</t>
        </is>
      </c>
      <c r="F10" s="39" t="n"/>
      <c r="G10" s="40" t="inlineStr">
        <is>
          <t>Missing a required approver late in the process causes delays</t>
        </is>
      </c>
    </row>
    <row r="11">
      <c r="A11" s="38" t="inlineStr">
        <is>
          <t>BUS-010</t>
        </is>
      </c>
      <c r="B11" s="38" t="inlineStr">
        <is>
          <t>Business Requirements</t>
        </is>
      </c>
      <c r="C11" s="38" t="inlineStr">
        <is>
          <t>Stakeholders</t>
        </is>
      </c>
      <c r="D11" s="38" t="inlineStr">
        <is>
          <t>What is the CISO's primary concern regarding automated provisioning and policy enforcement?</t>
        </is>
      </c>
      <c r="E11" s="38" t="inlineStr">
        <is>
          <t>Understand whether the CISO focus is on data residency, access control, auditability, or all three</t>
        </is>
      </c>
      <c r="F11" s="39" t="n"/>
      <c r="G11" s="38" t="inlineStr">
        <is>
          <t>CISO concerns directly shape the security architecture and sign-off criteria</t>
        </is>
      </c>
    </row>
    <row r="12">
      <c r="A12" s="40" t="inlineStr">
        <is>
          <t>BUS-011</t>
        </is>
      </c>
      <c r="B12" s="40" t="inlineStr">
        <is>
          <t>Business Requirements</t>
        </is>
      </c>
      <c r="C12" s="40" t="inlineStr">
        <is>
          <t>Regulatory Context</t>
        </is>
      </c>
      <c r="D12" s="40" t="inlineStr">
        <is>
          <t>Which specific regulatory frameworks or standards govern this engagement?</t>
        </is>
      </c>
      <c r="E12" s="40" t="inlineStr">
        <is>
          <t>Confirm ISO 27001, Australian Prudential Regulation Authority (APRA) CPS 234, and any other applicable standards</t>
        </is>
      </c>
      <c r="F12" s="39" t="n"/>
      <c r="G12" s="40" t="inlineStr">
        <is>
          <t>Compliance scope determines required controls and evidence requirements</t>
        </is>
      </c>
    </row>
    <row r="13">
      <c r="A13" s="38" t="inlineStr">
        <is>
          <t>BUS-012</t>
        </is>
      </c>
      <c r="B13" s="38" t="inlineStr">
        <is>
          <t>Business Requirements</t>
        </is>
      </c>
      <c r="C13" s="38" t="inlineStr">
        <is>
          <t>ROI &amp; Metrics</t>
        </is>
      </c>
      <c r="D13" s="38" t="inlineStr">
        <is>
          <t>What is the current cost (time and resource) of a single audit remediation cycle?</t>
        </is>
      </c>
      <c r="E13" s="38" t="inlineStr">
        <is>
          <t>Estimate FTE effort, tooling cost, and any external audit fees</t>
        </is>
      </c>
      <c r="F13" s="39" t="n"/>
      <c r="G13" s="38" t="inlineStr">
        <is>
          <t>Provides the ROI baseline for the 80% remediation reduction objective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TECH-001</t>
        </is>
      </c>
      <c r="B2" s="40" t="inlineStr">
        <is>
          <t>Technical Requirements</t>
        </is>
      </c>
      <c r="C2" s="40" t="inlineStr">
        <is>
          <t>Cloud Platform</t>
        </is>
      </c>
      <c r="D2" s="40" t="inlineStr">
        <is>
          <t>What is your existing AWS footprint — how many accounts, AWS Organizations structure, and which regions are active?</t>
        </is>
      </c>
      <c r="E2" s="40" t="inlineStr">
        <is>
          <t>List account count, OU structure (if any), and active regions</t>
        </is>
      </c>
      <c r="F2" s="39" t="n"/>
      <c r="G2" s="40" t="inlineStr">
        <is>
          <t>Determines Landing Zone design complexity and migration vs greenfield approach</t>
        </is>
      </c>
    </row>
    <row r="3">
      <c r="A3" s="38" t="inlineStr">
        <is>
          <t>TECH-002</t>
        </is>
      </c>
      <c r="B3" s="38" t="inlineStr">
        <is>
          <t>Technical Requirements</t>
        </is>
      </c>
      <c r="C3" s="38" t="inlineStr">
        <is>
          <t>Cloud Platform</t>
        </is>
      </c>
      <c r="D3" s="38" t="inlineStr">
        <is>
          <t>Is AWS Control Tower already deployed, or will this be a greenfield Landing Zone implementation?</t>
        </is>
      </c>
      <c r="E3" s="38" t="inlineStr">
        <is>
          <t>Confirm current state: no Landing Zone, partial implementation, or existing Control Tower</t>
        </is>
      </c>
      <c r="F3" s="39" t="n"/>
      <c r="G3" s="38" t="inlineStr">
        <is>
          <t>Drives the implementation approach — greenfield vs retrofit</t>
        </is>
      </c>
    </row>
    <row r="4">
      <c r="A4" s="40" t="inlineStr">
        <is>
          <t>TECH-003</t>
        </is>
      </c>
      <c r="B4" s="40" t="inlineStr">
        <is>
          <t>Technical Requirements</t>
        </is>
      </c>
      <c r="C4" s="40" t="inlineStr">
        <is>
          <t>Cloud Platform</t>
        </is>
      </c>
      <c r="D4" s="40" t="inlineStr">
        <is>
          <t>What AWS services are currently in use across production workloads?</t>
        </is>
      </c>
      <c r="E4" s="40" t="inlineStr">
        <is>
          <t>List key services (EC2, EKS, RDS, S3, Lambda, etc.) and approximate usage</t>
        </is>
      </c>
      <c r="F4" s="39" t="n"/>
      <c r="G4" s="40" t="inlineStr">
        <is>
          <t>Informs guardrail design and SCP scope to avoid breaking existing workloads</t>
        </is>
      </c>
    </row>
    <row r="5">
      <c r="A5" s="38" t="inlineStr">
        <is>
          <t>TECH-004</t>
        </is>
      </c>
      <c r="B5" s="38" t="inlineStr">
        <is>
          <t>Technical Requirements</t>
        </is>
      </c>
      <c r="C5" s="38" t="inlineStr">
        <is>
          <t>Account Structure</t>
        </is>
      </c>
      <c r="D5" s="38" t="inlineStr">
        <is>
          <t>How many AWS accounts are required, and what is the proposed OU hierarchy?</t>
        </is>
      </c>
      <c r="E5" s="38" t="inlineStr">
        <is>
          <t>Example: Security, Infrastructure, Workload (Dev/Test/Prod), Sandbox OUs</t>
        </is>
      </c>
      <c r="F5" s="39" t="n"/>
      <c r="G5" s="38" t="inlineStr">
        <is>
          <t>Account and OU structure is the foundation of the Landing Zone design</t>
        </is>
      </c>
    </row>
    <row r="6">
      <c r="A6" s="40" t="inlineStr">
        <is>
          <t>TECH-005</t>
        </is>
      </c>
      <c r="B6" s="40" t="inlineStr">
        <is>
          <t>Technical Requirements</t>
        </is>
      </c>
      <c r="C6" s="40" t="inlineStr">
        <is>
          <t>Account Structure</t>
        </is>
      </c>
      <c r="D6" s="40" t="inlineStr">
        <is>
          <t>Are shared services (DNS, networking, logging, security tooling) to be centralised in dedicated accounts?</t>
        </is>
      </c>
      <c r="E6" s="40" t="inlineStr">
        <is>
          <t>Confirm whether a shared-services or hub-spoke model is preferred</t>
        </is>
      </c>
      <c r="F6" s="39" t="n"/>
      <c r="G6" s="40" t="inlineStr">
        <is>
          <t>Centralised shared services reduce duplication but require cross-account access design</t>
        </is>
      </c>
    </row>
    <row r="7">
      <c r="A7" s="38" t="inlineStr">
        <is>
          <t>TECH-006</t>
        </is>
      </c>
      <c r="B7" s="38" t="inlineStr">
        <is>
          <t>Technical Requirements</t>
        </is>
      </c>
      <c r="C7" s="38" t="inlineStr">
        <is>
          <t>Infrastructure as Code</t>
        </is>
      </c>
      <c r="D7" s="38" t="inlineStr">
        <is>
          <t>What IaC tooling is currently used or preferred — Terraform, AWS CDK, CloudFormation, or Pulumi?</t>
        </is>
      </c>
      <c r="E7" s="38" t="inlineStr">
        <is>
          <t>Identify existing skills, approved tooling standards, and CI/CD pipeline integrations</t>
        </is>
      </c>
      <c r="F7" s="39" t="n"/>
      <c r="G7" s="38" t="inlineStr">
        <is>
          <t>IaC tool selection affects template design, pipeline integration, and team skills uplift</t>
        </is>
      </c>
    </row>
    <row r="8">
      <c r="A8" s="40" t="inlineStr">
        <is>
          <t>TECH-007</t>
        </is>
      </c>
      <c r="B8" s="40" t="inlineStr">
        <is>
          <t>Technical Requirements</t>
        </is>
      </c>
      <c r="C8" s="40" t="inlineStr">
        <is>
          <t>Infrastructure as Code</t>
        </is>
      </c>
      <c r="D8" s="40" t="inlineStr">
        <is>
          <t>Is there an existing IaC code repository and CI/CD pipeline that the new platform must integrate with?</t>
        </is>
      </c>
      <c r="E8" s="40" t="inlineStr">
        <is>
          <t>Provide details of Git provider (GitHub, GitLab, Bitbucket, CodeCommit) and pipeline tooling (Jenkins, GitHub Actions, etc.)</t>
        </is>
      </c>
      <c r="F8" s="39" t="n"/>
      <c r="G8" s="40" t="inlineStr">
        <is>
          <t>Avoids duplication and ensures the new platform fits existing developer workflows</t>
        </is>
      </c>
    </row>
    <row r="9">
      <c r="A9" s="38" t="inlineStr">
        <is>
          <t>TECH-008</t>
        </is>
      </c>
      <c r="B9" s="38" t="inlineStr">
        <is>
          <t>Technical Requirements</t>
        </is>
      </c>
      <c r="C9" s="38" t="inlineStr">
        <is>
          <t>Identity &amp; Access</t>
        </is>
      </c>
      <c r="D9" s="38" t="inlineStr">
        <is>
          <t>Describe the on-premises identity provider — product, version, and directory structure.</t>
        </is>
      </c>
      <c r="E9" s="38" t="inlineStr">
        <is>
          <t>Examples: Microsoft Active Directory, Okta, Ping Identity; include forest/domain structure</t>
        </is>
      </c>
      <c r="F9" s="39" t="n"/>
      <c r="G9" s="38" t="inlineStr">
        <is>
          <t>Federation design depends on the IdP product, protocol support (SAML/OIDC), and directory schema</t>
        </is>
      </c>
    </row>
    <row r="10">
      <c r="A10" s="40" t="inlineStr">
        <is>
          <t>TECH-009</t>
        </is>
      </c>
      <c r="B10" s="40" t="inlineStr">
        <is>
          <t>Technical Requirements</t>
        </is>
      </c>
      <c r="C10" s="40" t="inlineStr">
        <is>
          <t>Identity &amp; Access</t>
        </is>
      </c>
      <c r="D10" s="40" t="inlineStr">
        <is>
          <t>What AWS Identity Center (SSO) configuration is required — permission sets, assignment scope, and attribute mapping?</t>
        </is>
      </c>
      <c r="E10" s="40" t="inlineStr">
        <is>
          <t>Map job roles to permission sets and identify attribute-based access control requirements</t>
        </is>
      </c>
      <c r="F10" s="39" t="n"/>
      <c r="G10" s="40" t="inlineStr">
        <is>
          <t>Permission set design directly affects the no-console-access-in-production control</t>
        </is>
      </c>
    </row>
    <row r="11">
      <c r="A11" s="38" t="inlineStr">
        <is>
          <t>TECH-010</t>
        </is>
      </c>
      <c r="B11" s="38" t="inlineStr">
        <is>
          <t>Technical Requirements</t>
        </is>
      </c>
      <c r="C11" s="38" t="inlineStr">
        <is>
          <t>Identity &amp; Access</t>
        </is>
      </c>
      <c r="D11" s="38" t="inlineStr">
        <is>
          <t>How will break-glass (emergency) access be handled given no manual console access in production?</t>
        </is>
      </c>
      <c r="E11" s="38" t="inlineStr">
        <is>
          <t>Define the emergency access workflow, approval chain, and audit trail requirements</t>
        </is>
      </c>
      <c r="F11" s="39" t="n"/>
      <c r="G11" s="38" t="inlineStr">
        <is>
          <t>Break-glass process must be documented for CISO approval and regulatory evidence</t>
        </is>
      </c>
    </row>
    <row r="12">
      <c r="A12" s="40" t="inlineStr">
        <is>
          <t>TECH-011</t>
        </is>
      </c>
      <c r="B12" s="40" t="inlineStr">
        <is>
          <t>Technical Requirements</t>
        </is>
      </c>
      <c r="C12" s="40" t="inlineStr">
        <is>
          <t>Networking</t>
        </is>
      </c>
      <c r="D12" s="40" t="inlineStr">
        <is>
          <t>Describe the current network topology — VPCs, CIDR ranges, Transit Gateway, and Direct Connect or VPN connectivity.</t>
        </is>
      </c>
      <c r="E12" s="40" t="inlineStr">
        <is>
          <t>Include on-premises connectivity, inter-VPC routing, and any existing network firewalls</t>
        </is>
      </c>
      <c r="F12" s="39" t="n"/>
      <c r="G12" s="40" t="inlineStr">
        <is>
          <t>Networking baseline is required for Landing Zone network design and DR topology</t>
        </is>
      </c>
    </row>
    <row r="13">
      <c r="A13" s="38" t="inlineStr">
        <is>
          <t>TECH-012</t>
        </is>
      </c>
      <c r="B13" s="38" t="inlineStr">
        <is>
          <t>Technical Requirements</t>
        </is>
      </c>
      <c r="C13" s="38" t="inlineStr">
        <is>
          <t>Networking</t>
        </is>
      </c>
      <c r="D13" s="38" t="inlineStr">
        <is>
          <t>What connectivity is required between ap-southeast-2 (primary) and ap-southeast-4 (DR) regions?</t>
        </is>
      </c>
      <c r="E13" s="38" t="inlineStr">
        <is>
          <t>Confirm whether inter-region Transit Gateway peering, replication traffic, and failover routing are required</t>
        </is>
      </c>
      <c r="F13" s="39" t="n"/>
      <c r="G13" s="38" t="inlineStr">
        <is>
          <t>DR connectivity design affects cost and data residency controls</t>
        </is>
      </c>
    </row>
    <row r="14">
      <c r="A14" s="40" t="inlineStr">
        <is>
          <t>TECH-013</t>
        </is>
      </c>
      <c r="B14" s="40" t="inlineStr">
        <is>
          <t>Technical Requirements</t>
        </is>
      </c>
      <c r="C14" s="40" t="inlineStr">
        <is>
          <t>Policy as Code</t>
        </is>
      </c>
      <c r="D14" s="40" t="inlineStr">
        <is>
          <t>Which guardrail mechanisms are preferred — AWS SCPs, AWS Config Rules, CloudFormation Guard, or a combination?</t>
        </is>
      </c>
      <c r="E14" s="40" t="inlineStr">
        <is>
          <t>Describe any existing policy frameworks or guardrail patterns in use</t>
        </is>
      </c>
      <c r="F14" s="39" t="n"/>
      <c r="G14" s="40" t="inlineStr">
        <is>
          <t>Guardrail mechanism selection drives the policy-as-code architecture and enforcement model</t>
        </is>
      </c>
    </row>
    <row r="15">
      <c r="A15" s="38" t="inlineStr">
        <is>
          <t>TECH-014</t>
        </is>
      </c>
      <c r="B15" s="38" t="inlineStr">
        <is>
          <t>Technical Requirements</t>
        </is>
      </c>
      <c r="C15" s="38" t="inlineStr">
        <is>
          <t>ITSM Integration</t>
        </is>
      </c>
      <c r="D15" s="38" t="inlineStr">
        <is>
          <t>What ITSM platform is in use, and what is the required integration scope?</t>
        </is>
      </c>
      <c r="E15" s="38" t="inlineStr">
        <is>
          <t>Examples: ServiceNow, Jira Service Management, Remedy; specify change approval, incident, and CMDB integration</t>
        </is>
      </c>
      <c r="F15" s="39" t="n"/>
      <c r="G15" s="38" t="inlineStr">
        <is>
          <t>ITSM integration is required for automated change approval workflows</t>
        </is>
      </c>
    </row>
    <row r="16">
      <c r="A16" s="40" t="inlineStr">
        <is>
          <t>TECH-015</t>
        </is>
      </c>
      <c r="B16" s="40" t="inlineStr">
        <is>
          <t>Technical Requirements</t>
        </is>
      </c>
      <c r="C16" s="40" t="inlineStr">
        <is>
          <t>SIEM Integration</t>
        </is>
      </c>
      <c r="D16" s="40" t="inlineStr">
        <is>
          <t>What SIEM platform is in use, and what log sources and alerting integrations are required?</t>
        </is>
      </c>
      <c r="E16" s="40" t="inlineStr">
        <is>
          <t>Examples: Splunk, Microsoft Sentinel, IBM QRadar; specify log formats, ingestion methods, and alert routing</t>
        </is>
      </c>
      <c r="F16" s="39" t="n"/>
      <c r="G16" s="40" t="inlineStr">
        <is>
          <t>SIEM integration is a key security control and evidence source for the regulatory review</t>
        </is>
      </c>
    </row>
    <row r="17">
      <c r="A17" s="38" t="inlineStr">
        <is>
          <t>TECH-016</t>
        </is>
      </c>
      <c r="B17" s="38" t="inlineStr">
        <is>
          <t>Technical Requirements</t>
        </is>
      </c>
      <c r="C17" s="38" t="inlineStr">
        <is>
          <t>Containerised Workloads</t>
        </is>
      </c>
      <c r="D17" s="38" t="inlineStr">
        <is>
          <t>What container orchestration platforms are in use (EKS, ECS, on-premises Kubernetes), and what is the workload count?</t>
        </is>
      </c>
      <c r="E17" s="38" t="inlineStr">
        <is>
          <t>Include cluster count, node size, and any existing cluster management tooling</t>
        </is>
      </c>
      <c r="F17" s="39" t="n"/>
      <c r="G17" s="38" t="inlineStr">
        <is>
          <t>Container workloads require specific guardrails and pod security policies</t>
        </is>
      </c>
    </row>
    <row r="18">
      <c r="A18" s="40" t="inlineStr">
        <is>
          <t>TECH-017</t>
        </is>
      </c>
      <c r="B18" s="40" t="inlineStr">
        <is>
          <t>Technical Requirements</t>
        </is>
      </c>
      <c r="C18" s="40" t="inlineStr">
        <is>
          <t>Legacy Workloads</t>
        </is>
      </c>
      <c r="D18" s="40" t="inlineStr">
        <is>
          <t>Describe the two on-premises legacy workloads that remain out of scope — what connectivity do they require to cloud workloads?</t>
        </is>
      </c>
      <c r="E18" s="40" t="inlineStr">
        <is>
          <t>Identify protocols, ports, and data flows between legacy and cloud environments</t>
        </is>
      </c>
      <c r="F18" s="39" t="n"/>
      <c r="G18" s="40" t="inlineStr">
        <is>
          <t>Out-of-scope workloads may still require firewall rules, DNS, or identity integration</t>
        </is>
      </c>
    </row>
    <row r="19">
      <c r="A19" s="38" t="inlineStr">
        <is>
          <t>TECH-018</t>
        </is>
      </c>
      <c r="B19" s="38" t="inlineStr">
        <is>
          <t>Technical Requirements</t>
        </is>
      </c>
      <c r="C19" s="38" t="inlineStr">
        <is>
          <t>Performance &amp; Scale</t>
        </is>
      </c>
      <c r="D19" s="38" t="inlineStr">
        <is>
          <t>What are the expected volume metrics for automated provisioning — how many accounts or environments per month?</t>
        </is>
      </c>
      <c r="E19" s="38" t="inlineStr">
        <is>
          <t>Estimate peak provisioning demand and any burst requirements</t>
        </is>
      </c>
      <c r="F19" s="39" t="n"/>
      <c r="G19" s="38" t="inlineStr">
        <is>
          <t>Sizing the automation pipeline capacity and testing realistic load scenarios</t>
        </is>
      </c>
    </row>
    <row r="20">
      <c r="A20" s="40" t="inlineStr">
        <is>
          <t>TECH-019</t>
        </is>
      </c>
      <c r="B20" s="40" t="inlineStr">
        <is>
          <t>Technical Requirements</t>
        </is>
      </c>
      <c r="C20" s="40" t="inlineStr">
        <is>
          <t>Data Residency</t>
        </is>
      </c>
      <c r="D20" s="40" t="inlineStr">
        <is>
          <t>Confirm that all data, logs, and backups must remain within Australian regions (ap-southeast-2 and ap-southeast-4) only.</t>
        </is>
      </c>
      <c r="E20" s="40" t="inlineStr">
        <is>
          <t>Identify any exceptions (e.g. SaaS tooling that stores data offshore)</t>
        </is>
      </c>
      <c r="F20" s="39" t="n"/>
      <c r="G20" s="40" t="inlineStr">
        <is>
          <t>Data residency is a hard regulatory requirement; any exception requires CISO approval</t>
        </is>
      </c>
    </row>
    <row r="21">
      <c r="A21" s="38" t="inlineStr">
        <is>
          <t>TECH-020</t>
        </is>
      </c>
      <c r="B21" s="38" t="inlineStr">
        <is>
          <t>Technical Requirements</t>
        </is>
      </c>
      <c r="C21" s="38" t="inlineStr">
        <is>
          <t>Tooling &amp; Licensing</t>
        </is>
      </c>
      <c r="D21" s="38" t="inlineStr">
        <is>
          <t>Are there existing AWS Enterprise Discount Programme (EDP) agreements, MAP credits, or APN programme benefits applicable?</t>
        </is>
      </c>
      <c r="E21" s="38" t="inlineStr">
        <is>
          <t>Confirm contract status and available credits</t>
        </is>
      </c>
      <c r="F21" s="39" t="n"/>
      <c r="G21" s="38" t="inlineStr">
        <is>
          <t>Existing commercial agreements may offset infrastructure and tooling costs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SEC-001</t>
        </is>
      </c>
      <c r="B2" s="40" t="inlineStr">
        <is>
          <t>Security &amp; Compliance</t>
        </is>
      </c>
      <c r="C2" s="40" t="inlineStr">
        <is>
          <t>Compliance Frameworks</t>
        </is>
      </c>
      <c r="D2" s="40" t="inlineStr">
        <is>
          <t>Which regulatory frameworks must the solution comply with — ISO 27001, APRA CPS 234, SOC 2, or others?</t>
        </is>
      </c>
      <c r="E2" s="40" t="inlineStr">
        <is>
          <t>List all frameworks with applicable scope and any current certification status</t>
        </is>
      </c>
      <c r="F2" s="39" t="n"/>
      <c r="G2" s="40" t="inlineStr">
        <is>
          <t>Compliance scope determines required controls, evidence artefacts, and audit cadence</t>
        </is>
      </c>
    </row>
    <row r="3">
      <c r="A3" s="38" t="inlineStr">
        <is>
          <t>SEC-002</t>
        </is>
      </c>
      <c r="B3" s="38" t="inlineStr">
        <is>
          <t>Security &amp; Compliance</t>
        </is>
      </c>
      <c r="C3" s="38" t="inlineStr">
        <is>
          <t>Data Classification</t>
        </is>
      </c>
      <c r="D3" s="38" t="inlineStr">
        <is>
          <t>What data classification levels are in use, and what is the highest classification stored or processed in AWS?</t>
        </is>
      </c>
      <c r="E3" s="38" t="inlineStr">
        <is>
          <t>Examples: Public, Internal, Confidential, Restricted; describe classification scheme</t>
        </is>
      </c>
      <c r="F3" s="39" t="n"/>
      <c r="G3" s="38" t="inlineStr">
        <is>
          <t>Data classification drives encryption, access control, and DLP requirements</t>
        </is>
      </c>
    </row>
    <row r="4">
      <c r="A4" s="40" t="inlineStr">
        <is>
          <t>SEC-003</t>
        </is>
      </c>
      <c r="B4" s="40" t="inlineStr">
        <is>
          <t>Security &amp; Compliance</t>
        </is>
      </c>
      <c r="C4" s="40" t="inlineStr">
        <is>
          <t>Authentication &amp; MFA</t>
        </is>
      </c>
      <c r="D4" s="40" t="inlineStr">
        <is>
          <t>What MFA requirements apply to all human access to AWS — is hardware MFA (FIDO2) required, or is TOTP acceptable?</t>
        </is>
      </c>
      <c r="E4" s="40" t="inlineStr">
        <is>
          <t>Specify MFA method and whether it applies to break-glass access as well</t>
        </is>
      </c>
      <c r="F4" s="39" t="n"/>
      <c r="G4" s="40" t="inlineStr">
        <is>
          <t>MFA enforcement is a key control for ISO 27001 and APRA CPS 234</t>
        </is>
      </c>
    </row>
    <row r="5">
      <c r="A5" s="38" t="inlineStr">
        <is>
          <t>SEC-004</t>
        </is>
      </c>
      <c r="B5" s="38" t="inlineStr">
        <is>
          <t>Security &amp; Compliance</t>
        </is>
      </c>
      <c r="C5" s="38" t="inlineStr">
        <is>
          <t>Data Residency</t>
        </is>
      </c>
      <c r="D5" s="38" t="inlineStr">
        <is>
          <t>Are there specific data sovereignty requirements that restrict log storage or replication outside Australia?</t>
        </is>
      </c>
      <c r="E5" s="38" t="inlineStr">
        <is>
          <t>Confirm whether AWS CloudTrail, Config, and Security Hub data must remain in-country</t>
        </is>
      </c>
      <c r="F5" s="39" t="n"/>
      <c r="G5" s="38" t="inlineStr">
        <is>
          <t>Data sovereignty controls must be implemented in the Landing Zone from day one</t>
        </is>
      </c>
    </row>
    <row r="6">
      <c r="A6" s="40" t="inlineStr">
        <is>
          <t>SEC-005</t>
        </is>
      </c>
      <c r="B6" s="40" t="inlineStr">
        <is>
          <t>Security &amp; Compliance</t>
        </is>
      </c>
      <c r="C6" s="40" t="inlineStr">
        <is>
          <t>Encryption</t>
        </is>
      </c>
      <c r="D6" s="40" t="inlineStr">
        <is>
          <t>What encryption requirements apply for data at rest and in transit?</t>
        </is>
      </c>
      <c r="E6" s="40" t="inlineStr">
        <is>
          <t>Specify key management approach — AWS KMS customer-managed keys, AWS managed keys, or HSM (CloudHSM)</t>
        </is>
      </c>
      <c r="F6" s="39" t="n"/>
      <c r="G6" s="40" t="inlineStr">
        <is>
          <t>Key management design affects cost, operational overhead, and compliance posture</t>
        </is>
      </c>
    </row>
    <row r="7">
      <c r="A7" s="38" t="inlineStr">
        <is>
          <t>SEC-006</t>
        </is>
      </c>
      <c r="B7" s="38" t="inlineStr">
        <is>
          <t>Security &amp; Compliance</t>
        </is>
      </c>
      <c r="C7" s="38" t="inlineStr">
        <is>
          <t>Secrets Management</t>
        </is>
      </c>
      <c r="D7" s="38" t="inlineStr">
        <is>
          <t>How are secrets, credentials, and API keys currently managed, and what is the target state?</t>
        </is>
      </c>
      <c r="E7" s="38" t="inlineStr">
        <is>
          <t>Confirm whether AWS Secrets Manager or HashiCorp Vault is preferred</t>
        </is>
      </c>
      <c r="F7" s="39" t="n"/>
      <c r="G7" s="38" t="inlineStr">
        <is>
          <t>Eliminating shared credentials is a stated objective; secrets management is a required control</t>
        </is>
      </c>
    </row>
    <row r="8">
      <c r="A8" s="40" t="inlineStr">
        <is>
          <t>SEC-007</t>
        </is>
      </c>
      <c r="B8" s="40" t="inlineStr">
        <is>
          <t>Security &amp; Compliance</t>
        </is>
      </c>
      <c r="C8" s="40" t="inlineStr">
        <is>
          <t>Vulnerability Management</t>
        </is>
      </c>
      <c r="D8" s="40" t="inlineStr">
        <is>
          <t>What vulnerability scanning and patch management processes are currently in place for cloud workloads?</t>
        </is>
      </c>
      <c r="E8" s="40" t="inlineStr">
        <is>
          <t>Identify scanning tooling (Amazon Inspector, Qualys, etc.) and patching SLA requirements</t>
        </is>
      </c>
      <c r="F8" s="39" t="n"/>
      <c r="G8" s="40" t="inlineStr">
        <is>
          <t>Automated patch compliance is a guardrail and evidence requirement</t>
        </is>
      </c>
    </row>
    <row r="9">
      <c r="A9" s="38" t="inlineStr">
        <is>
          <t>SEC-008</t>
        </is>
      </c>
      <c r="B9" s="38" t="inlineStr">
        <is>
          <t>Security &amp; Compliance</t>
        </is>
      </c>
      <c r="C9" s="38" t="inlineStr">
        <is>
          <t>Network Security</t>
        </is>
      </c>
      <c r="D9" s="38" t="inlineStr">
        <is>
          <t>What network security controls are required — Security Groups, Network Firewall, WAF, Shield?</t>
        </is>
      </c>
      <c r="E9" s="38" t="inlineStr">
        <is>
          <t>Describe internet-facing workloads, DMZ requirements, and east-west inspection needs</t>
        </is>
      </c>
      <c r="F9" s="39" t="n"/>
      <c r="G9" s="38" t="inlineStr">
        <is>
          <t>Network security architecture must align with no-console-access and guardrail requirements</t>
        </is>
      </c>
    </row>
    <row r="10">
      <c r="A10" s="40" t="inlineStr">
        <is>
          <t>SEC-009</t>
        </is>
      </c>
      <c r="B10" s="40" t="inlineStr">
        <is>
          <t>Security &amp; Compliance</t>
        </is>
      </c>
      <c r="C10" s="40" t="inlineStr">
        <is>
          <t>Audit &amp; Logging</t>
        </is>
      </c>
      <c r="D10" s="40" t="inlineStr">
        <is>
          <t>What audit logging must be enabled — CloudTrail, VPC Flow Logs, Config, Security Hub, GuardDuty?</t>
        </is>
      </c>
      <c r="E10" s="40" t="inlineStr">
        <is>
          <t>Confirm required log retention periods and whether logs must be immutable</t>
        </is>
      </c>
      <c r="F10" s="39" t="n"/>
      <c r="G10" s="40" t="inlineStr">
        <is>
          <t>Centralised immutable audit logging is a core regulatory evidence requirement</t>
        </is>
      </c>
    </row>
    <row r="11">
      <c r="A11" s="38" t="inlineStr">
        <is>
          <t>SEC-010</t>
        </is>
      </c>
      <c r="B11" s="38" t="inlineStr">
        <is>
          <t>Security &amp; Compliance</t>
        </is>
      </c>
      <c r="C11" s="38" t="inlineStr">
        <is>
          <t>Incident Response</t>
        </is>
      </c>
      <c r="D11" s="38" t="inlineStr">
        <is>
          <t>Is there an existing cloud incident response playbook, and must the solution integrate with it?</t>
        </is>
      </c>
      <c r="E11" s="38" t="inlineStr">
        <is>
          <t>Describe IR workflow, escalation path, and any automated remediation requirements</t>
        </is>
      </c>
      <c r="F11" s="39" t="n"/>
      <c r="G11" s="38" t="inlineStr">
        <is>
          <t>Automated guardrails may trigger IR events; integration with existing process is required</t>
        </is>
      </c>
    </row>
    <row r="12">
      <c r="A12" s="40" t="inlineStr">
        <is>
          <t>SEC-011</t>
        </is>
      </c>
      <c r="B12" s="40" t="inlineStr">
        <is>
          <t>Security &amp; Compliance</t>
        </is>
      </c>
      <c r="C12" s="40" t="inlineStr">
        <is>
          <t>Third-Party Risk</t>
        </is>
      </c>
      <c r="D12" s="40" t="inlineStr">
        <is>
          <t>Are any third-party vendors or managed service providers involved, and what access will they require?</t>
        </is>
      </c>
      <c r="E12" s="40" t="inlineStr">
        <is>
          <t>Identify vendor access scope, duration, and approval process</t>
        </is>
      </c>
      <c r="F12" s="39" t="n"/>
      <c r="G12" s="40" t="inlineStr">
        <is>
          <t>Third-party access must be governed under the same no-console-access policy</t>
        </is>
      </c>
    </row>
    <row r="13">
      <c r="A13" s="38" t="inlineStr">
        <is>
          <t>SEC-012</t>
        </is>
      </c>
      <c r="B13" s="38" t="inlineStr">
        <is>
          <t>Security &amp; Compliance</t>
        </is>
      </c>
      <c r="C13" s="38" t="inlineStr">
        <is>
          <t>Penetration Testing</t>
        </is>
      </c>
      <c r="D13" s="38" t="inlineStr">
        <is>
          <t>Is penetration testing required before go-live, and is there an existing testing schedule?</t>
        </is>
      </c>
      <c r="E13" s="38" t="inlineStr">
        <is>
          <t>Confirm scope, frequency, and whether AWS penetration testing approval is required</t>
        </is>
      </c>
      <c r="F13" s="39" t="n"/>
      <c r="G13" s="38" t="inlineStr">
        <is>
          <t>Pen test findings may affect the go-live readiness gate for the regulatory 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OPS-001</t>
        </is>
      </c>
      <c r="B2" s="40" t="inlineStr">
        <is>
          <t>Operations &amp; Support</t>
        </is>
      </c>
      <c r="C2" s="40" t="inlineStr">
        <is>
          <t>RTO</t>
        </is>
      </c>
      <c r="D2" s="40" t="inlineStr">
        <is>
          <t>What is the Recovery Time Objective (RTO) for the Landing Zone control plane itself?</t>
        </is>
      </c>
      <c r="E2" s="40" t="inlineStr">
        <is>
          <t>Maximum acceptable time to restore automated provisioning and guardrail enforcement after an outage</t>
        </is>
      </c>
      <c r="F2" s="39" t="n"/>
      <c r="G2" s="40" t="inlineStr">
        <is>
          <t>Control plane RTO drives HA architecture and DR runbook requirements</t>
        </is>
      </c>
    </row>
    <row r="3">
      <c r="A3" s="38" t="inlineStr">
        <is>
          <t>OPS-002</t>
        </is>
      </c>
      <c r="B3" s="38" t="inlineStr">
        <is>
          <t>Operations &amp; Support</t>
        </is>
      </c>
      <c r="C3" s="38" t="inlineStr">
        <is>
          <t>RPO</t>
        </is>
      </c>
      <c r="D3" s="38" t="inlineStr">
        <is>
          <t>What is the Recovery Point Objective (RPO) for configuration state and audit logs?</t>
        </is>
      </c>
      <c r="E3" s="38" t="inlineStr">
        <is>
          <t>Maximum acceptable data loss — e.g. configuration drift history, CloudTrail logs</t>
        </is>
      </c>
      <c r="F3" s="39" t="n"/>
      <c r="G3" s="38" t="inlineStr">
        <is>
          <t>RPO drives backup frequency, cross-region replication, and S3 versioning requirements</t>
        </is>
      </c>
    </row>
    <row r="4">
      <c r="A4" s="40" t="inlineStr">
        <is>
          <t>OPS-003</t>
        </is>
      </c>
      <c r="B4" s="40" t="inlineStr">
        <is>
          <t>Operations &amp; Support</t>
        </is>
      </c>
      <c r="C4" s="40" t="inlineStr">
        <is>
          <t>Monitoring</t>
        </is>
      </c>
      <c r="D4" s="40" t="inlineStr">
        <is>
          <t>What monitoring and alerting is required for the platform — infrastructure, security events, guardrail violations?</t>
        </is>
      </c>
      <c r="E4" s="40" t="inlineStr">
        <is>
          <t>Identify target tooling (CloudWatch, Datadog, Splunk) and on-call escalation process</t>
        </is>
      </c>
      <c r="F4" s="39" t="n"/>
      <c r="G4" s="40" t="inlineStr">
        <is>
          <t>Proactive guardrail violation alerting is essential for maintaining compliance between audits</t>
        </is>
      </c>
    </row>
    <row r="5">
      <c r="A5" s="38" t="inlineStr">
        <is>
          <t>OPS-004</t>
        </is>
      </c>
      <c r="B5" s="38" t="inlineStr">
        <is>
          <t>Operations &amp; Support</t>
        </is>
      </c>
      <c r="C5" s="38" t="inlineStr">
        <is>
          <t>Support Coverage</t>
        </is>
      </c>
      <c r="D5" s="38" t="inlineStr">
        <is>
          <t>What support coverage is required for the Landing Zone platform — business hours, 24x5, or 24x7?</t>
        </is>
      </c>
      <c r="E5" s="38" t="inlineStr">
        <is>
          <t>Specify support tiers for P1 (guardrail failure), P2 (provisioning failure), and P3 (general)</t>
        </is>
      </c>
      <c r="F5" s="39" t="n"/>
      <c r="G5" s="38" t="inlineStr">
        <is>
          <t>Support coverage level determines managed service scope and cost</t>
        </is>
      </c>
    </row>
    <row r="6">
      <c r="A6" s="40" t="inlineStr">
        <is>
          <t>OPS-005</t>
        </is>
      </c>
      <c r="B6" s="40" t="inlineStr">
        <is>
          <t>Operations &amp; Support</t>
        </is>
      </c>
      <c r="C6" s="40" t="inlineStr">
        <is>
          <t>Maintenance Windows</t>
        </is>
      </c>
      <c r="D6" s="40" t="inlineStr">
        <is>
          <t>What maintenance windows are available for platform patching and upgrades?</t>
        </is>
      </c>
      <c r="E6" s="40" t="inlineStr">
        <is>
          <t>Specify days and times when maintenance activity is acceptable without a change request</t>
        </is>
      </c>
      <c r="F6" s="39" t="n"/>
      <c r="G6" s="40" t="inlineStr">
        <is>
          <t>Maintenance windows affect Control Tower and SCP update scheduling</t>
        </is>
      </c>
    </row>
    <row r="7">
      <c r="A7" s="38" t="inlineStr">
        <is>
          <t>OPS-006</t>
        </is>
      </c>
      <c r="B7" s="38" t="inlineStr">
        <is>
          <t>Operations &amp; Support</t>
        </is>
      </c>
      <c r="C7" s="38" t="inlineStr">
        <is>
          <t>Change Management</t>
        </is>
      </c>
      <c r="D7" s="38" t="inlineStr">
        <is>
          <t>What is the existing change management process, and how must cloud platform changes be governed?</t>
        </is>
      </c>
      <c r="E7" s="38" t="inlineStr">
        <is>
          <t>Describe CAB process, emergency change path, and ITSM integration requirements</t>
        </is>
      </c>
      <c r="F7" s="39" t="n"/>
      <c r="G7" s="38" t="inlineStr">
        <is>
          <t>Automated provisioning must operate within the existing change approval framework</t>
        </is>
      </c>
    </row>
    <row r="8">
      <c r="A8" s="40" t="inlineStr">
        <is>
          <t>OPS-007</t>
        </is>
      </c>
      <c r="B8" s="40" t="inlineStr">
        <is>
          <t>Operations &amp; Support</t>
        </is>
      </c>
      <c r="C8" s="40" t="inlineStr">
        <is>
          <t>Capacity Planning</t>
        </is>
      </c>
      <c r="D8" s="40" t="inlineStr">
        <is>
          <t>What is the anticipated growth in AWS account count and workload volume over 12-24 months?</t>
        </is>
      </c>
      <c r="E8" s="40" t="inlineStr">
        <is>
          <t>Provide projected number of new accounts, environments, and workloads per quarter</t>
        </is>
      </c>
      <c r="F8" s="39" t="n"/>
      <c r="G8" s="40" t="inlineStr">
        <is>
          <t>Capacity planning drives automation pipeline sizing and Landing Zone scalability design</t>
        </is>
      </c>
    </row>
    <row r="9">
      <c r="A9" s="38" t="inlineStr">
        <is>
          <t>OPS-008</t>
        </is>
      </c>
      <c r="B9" s="38" t="inlineStr">
        <is>
          <t>Operations &amp; Support</t>
        </is>
      </c>
      <c r="C9" s="38" t="inlineStr">
        <is>
          <t>Training</t>
        </is>
      </c>
      <c r="D9" s="38" t="inlineStr">
        <is>
          <t>What operational training is required for the platform engineering team to self-manage the Landing Zone?</t>
        </is>
      </c>
      <c r="E9" s="38" t="inlineStr">
        <is>
          <t>Identify skills gaps, preferred training format (hands-on labs, workshops, documentation), and training timeline</t>
        </is>
      </c>
      <c r="F9" s="39" t="n"/>
      <c r="G9" s="38" t="inlineStr">
        <is>
          <t>Knowledge transfer scope and timeline must be factored into the project plan</t>
        </is>
      </c>
    </row>
    <row r="10">
      <c r="A10" s="40" t="inlineStr">
        <is>
          <t>OPS-009</t>
        </is>
      </c>
      <c r="B10" s="40" t="inlineStr">
        <is>
          <t>Operations &amp; Support</t>
        </is>
      </c>
      <c r="C10" s="40" t="inlineStr">
        <is>
          <t>Backup &amp; DR</t>
        </is>
      </c>
      <c r="D10" s="40" t="inlineStr">
        <is>
          <t>What is the DR strategy for the Landing Zone — active-active, active-passive, or backup-and-restore?</t>
        </is>
      </c>
      <c r="E10" s="40" t="inlineStr">
        <is>
          <t>Confirm whether ap-southeast-4 is a hot standby or a cold DR replica</t>
        </is>
      </c>
      <c r="F10" s="39" t="n"/>
      <c r="G10" s="40" t="inlineStr">
        <is>
          <t>DR strategy drives cross-region replication design, cost, and RTO achievement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IMPL-001</t>
        </is>
      </c>
      <c r="B2" s="40" t="inlineStr">
        <is>
          <t>Implementation Planning</t>
        </is>
      </c>
      <c r="C2" s="40" t="inlineStr">
        <is>
          <t>Migration Approach</t>
        </is>
      </c>
      <c r="D2" s="40" t="inlineStr">
        <is>
          <t>Is this a greenfield Landing Zone deployment or a migration of existing accounts into a new structure?</t>
        </is>
      </c>
      <c r="E2" s="40" t="inlineStr">
        <is>
          <t>Confirm whether existing AWS accounts must be enrolled into the new OU structure without disruption</t>
        </is>
      </c>
      <c r="F2" s="39" t="n"/>
      <c r="G2" s="40" t="inlineStr">
        <is>
          <t>Brownfield account enrolment introduces SCP compatibility risk for existing workloads</t>
        </is>
      </c>
    </row>
    <row r="3">
      <c r="A3" s="38" t="inlineStr">
        <is>
          <t>IMPL-002</t>
        </is>
      </c>
      <c r="B3" s="38" t="inlineStr">
        <is>
          <t>Implementation Planning</t>
        </is>
      </c>
      <c r="C3" s="38" t="inlineStr">
        <is>
          <t>Phasing</t>
        </is>
      </c>
      <c r="D3" s="38" t="inlineStr">
        <is>
          <t>Are the proposed phases (Phase 1: foundation in 6 weeks; Phase 2: full guardrails by Month 4) acceptable?</t>
        </is>
      </c>
      <c r="E3" s="38" t="inlineStr">
        <is>
          <t>Identify any workstreams that must be accelerated or could be deferred without impacting the regulatory deadline</t>
        </is>
      </c>
      <c r="F3" s="39" t="n"/>
      <c r="G3" s="38" t="inlineStr">
        <is>
          <t>Phase plan must be confirmed with James Wu and Priya Nair before kickoff</t>
        </is>
      </c>
    </row>
    <row r="4">
      <c r="A4" s="40" t="inlineStr">
        <is>
          <t>IMPL-003</t>
        </is>
      </c>
      <c r="B4" s="40" t="inlineStr">
        <is>
          <t>Implementation Planning</t>
        </is>
      </c>
      <c r="C4" s="40" t="inlineStr">
        <is>
          <t>Downtime Tolerance</t>
        </is>
      </c>
      <c r="D4" s="40" t="inlineStr">
        <is>
          <t>What is the acceptable downtime for production workloads during account enrolment into the Landing Zone?</t>
        </is>
      </c>
      <c r="E4" s="40" t="inlineStr">
        <is>
          <t>Specify zero-downtime requirement or acceptable maintenance window for each production environment</t>
        </is>
      </c>
      <c r="F4" s="39" t="n"/>
      <c r="G4" s="40" t="inlineStr">
        <is>
          <t>Downtime tolerance drives the enrolment sequencing and change management approach</t>
        </is>
      </c>
    </row>
    <row r="5">
      <c r="A5" s="38" t="inlineStr">
        <is>
          <t>IMPL-004</t>
        </is>
      </c>
      <c r="B5" s="38" t="inlineStr">
        <is>
          <t>Implementation Planning</t>
        </is>
      </c>
      <c r="C5" s="38" t="inlineStr">
        <is>
          <t>Resource Availability</t>
        </is>
      </c>
      <c r="D5" s="38" t="inlineStr">
        <is>
          <t>What internal platform engineering resource is available for this project — FTE count, roles, and time commitment?</t>
        </is>
      </c>
      <c r="E5" s="38" t="inlineStr">
        <is>
          <t>Identify dedicated vs shared team members and any competing project commitments</t>
        </is>
      </c>
      <c r="F5" s="39" t="n"/>
      <c r="G5" s="38" t="inlineStr">
        <is>
          <t>Under-resourced customer team is a common cause of project delays</t>
        </is>
      </c>
    </row>
    <row r="6">
      <c r="A6" s="40" t="inlineStr">
        <is>
          <t>IMPL-005</t>
        </is>
      </c>
      <c r="B6" s="40" t="inlineStr">
        <is>
          <t>Implementation Planning</t>
        </is>
      </c>
      <c r="C6" s="40" t="inlineStr">
        <is>
          <t>Parallel Run</t>
        </is>
      </c>
      <c r="D6" s="40" t="inlineStr">
        <is>
          <t>Is a parallel run of the old manual provisioning process alongside the new automated platform required?</t>
        </is>
      </c>
      <c r="E6" s="40" t="inlineStr">
        <is>
          <t>Specify duration and criteria for decommissioning the manual process</t>
        </is>
      </c>
      <c r="F6" s="39" t="n"/>
      <c r="G6" s="40" t="inlineStr">
        <is>
          <t>Parallel run extends timeline and cost but reduces cutover risk</t>
        </is>
      </c>
    </row>
    <row r="7">
      <c r="A7" s="38" t="inlineStr">
        <is>
          <t>IMPL-006</t>
        </is>
      </c>
      <c r="B7" s="38" t="inlineStr">
        <is>
          <t>Implementation Planning</t>
        </is>
      </c>
      <c r="C7" s="38" t="inlineStr">
        <is>
          <t>UAT &amp; Go-Live Criteria</t>
        </is>
      </c>
      <c r="D7" s="38" t="inlineStr">
        <is>
          <t>What are the user acceptance testing criteria for the automated provisioning and guardrail enforcement workflows?</t>
        </is>
      </c>
      <c r="E7" s="38" t="inlineStr">
        <is>
          <t>Define test scenarios, pass/fail thresholds, and who approves UAT sign-off</t>
        </is>
      </c>
      <c r="F7" s="39" t="n"/>
      <c r="G7" s="38" t="inlineStr">
        <is>
          <t>UAT criteria must include CISO sign-off and regulatory evidence package validation</t>
        </is>
      </c>
    </row>
    <row r="8">
      <c r="A8" s="40" t="inlineStr">
        <is>
          <t>IMPL-007</t>
        </is>
      </c>
      <c r="B8" s="40" t="inlineStr">
        <is>
          <t>Implementation Planning</t>
        </is>
      </c>
      <c r="C8" s="40" t="inlineStr">
        <is>
          <t>Change Management</t>
        </is>
      </c>
      <c r="D8" s="40" t="inlineStr">
        <is>
          <t>What organisational change management is required for teams that currently provision environments manually?</t>
        </is>
      </c>
      <c r="E8" s="40" t="inlineStr">
        <is>
          <t>Identify affected teams, communication plan, and training requirements</t>
        </is>
      </c>
      <c r="F8" s="39" t="n"/>
      <c r="G8" s="40" t="inlineStr">
        <is>
          <t>Behavioural change (no manual console access) requires structured change management</t>
        </is>
      </c>
    </row>
    <row r="9">
      <c r="A9" s="38" t="inlineStr">
        <is>
          <t>IMPL-008</t>
        </is>
      </c>
      <c r="B9" s="38" t="inlineStr">
        <is>
          <t>Implementation Planning</t>
        </is>
      </c>
      <c r="C9" s="38" t="inlineStr">
        <is>
          <t>Procurement</t>
        </is>
      </c>
      <c r="D9" s="38" t="inlineStr">
        <is>
          <t>What is the vendor procurement lead time for tooling and licensing contracts?</t>
        </is>
      </c>
      <c r="E9" s="38" t="inlineStr">
        <is>
          <t>Identify procurement process, legal review timeline, and any pre-approved vendor lists</t>
        </is>
      </c>
      <c r="F9" s="39" t="n"/>
      <c r="G9" s="38" t="inlineStr">
        <is>
          <t>Procurement delays can push back Phase 1 start and compress the regulatory deadline</t>
        </is>
      </c>
    </row>
    <row r="10">
      <c r="A10" s="40" t="inlineStr">
        <is>
          <t>IMPL-009</t>
        </is>
      </c>
      <c r="B10" s="40" t="inlineStr">
        <is>
          <t>Implementation Planning</t>
        </is>
      </c>
      <c r="C10" s="40" t="inlineStr">
        <is>
          <t>Dependencies</t>
        </is>
      </c>
      <c r="D10" s="40" t="inlineStr">
        <is>
          <t>Are there any in-flight projects that share infrastructure, identity, or ITSM dependencies with this engagement?</t>
        </is>
      </c>
      <c r="E10" s="40" t="inlineStr">
        <is>
          <t>List concurrent projects and identify shared dependencies or resource conflicts</t>
        </is>
      </c>
      <c r="F10" s="39" t="n"/>
      <c r="G10" s="40" t="inlineStr">
        <is>
          <t>Dependency conflicts must be resolved in the project plan before Phase 1 kickoff</t>
        </is>
      </c>
    </row>
    <row r="11">
      <c r="A11" s="38" t="inlineStr">
        <is>
          <t>IMPL-010</t>
        </is>
      </c>
      <c r="B11" s="38" t="inlineStr">
        <is>
          <t>Implementation Planning</t>
        </is>
      </c>
      <c r="C11" s="38" t="inlineStr">
        <is>
          <t>Go-Live Readiness</t>
        </is>
      </c>
      <c r="D11" s="38" t="inlineStr">
        <is>
          <t>What go-live readiness gate criteria must be satisfied before handing the platform to the operations team?</t>
        </is>
      </c>
      <c r="E11" s="38" t="inlineStr">
        <is>
          <t>Examples: all guardrails active, DR tested, runbooks approved, CISO sign-off obtained</t>
        </is>
      </c>
      <c r="F11" s="39" t="n"/>
      <c r="G11" s="38" t="inlineStr">
        <is>
          <t>Go-live gates must align with the Q2 2026 regulatory evidence collection deadline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7" t="inlineStr">
        <is>
          <t>Question ID</t>
        </is>
      </c>
      <c r="B1" s="37" t="inlineStr">
        <is>
          <t>Category</t>
        </is>
      </c>
      <c r="C1" s="37" t="inlineStr">
        <is>
          <t>Sub-Category</t>
        </is>
      </c>
      <c r="D1" s="37" t="inlineStr">
        <is>
          <t>Question</t>
        </is>
      </c>
      <c r="E1" s="37" t="inlineStr">
        <is>
          <t>Guidance</t>
        </is>
      </c>
      <c r="F1" s="37" t="inlineStr">
        <is>
          <t>Customer Response</t>
        </is>
      </c>
      <c r="G1" s="37" t="inlineStr">
        <is>
          <t>Notes</t>
        </is>
      </c>
    </row>
    <row r="2">
      <c r="A2" s="40" t="inlineStr">
        <is>
          <t>RISK-001</t>
        </is>
      </c>
      <c r="B2" s="40" t="inlineStr">
        <is>
          <t>Risk &amp; Constraints</t>
        </is>
      </c>
      <c r="C2" s="40" t="inlineStr">
        <is>
          <t>Project Risks</t>
        </is>
      </c>
      <c r="D2" s="40" t="inlineStr">
        <is>
          <t>What are the top risks the Contoso Financial team foresees for this engagement?</t>
        </is>
      </c>
      <c r="E2" s="40" t="inlineStr">
        <is>
          <t>Consider regulatory deadline pressure, CISO approval timelines, procurement delays, and legacy workload dependencies</t>
        </is>
      </c>
      <c r="F2" s="39" t="n"/>
      <c r="G2" s="40" t="inlineStr">
        <is>
          <t>Early risk identification enables proactive mitigation planning</t>
        </is>
      </c>
    </row>
    <row r="3">
      <c r="A3" s="38" t="inlineStr">
        <is>
          <t>RISK-002</t>
        </is>
      </c>
      <c r="B3" s="38" t="inlineStr">
        <is>
          <t>Risk &amp; Constraints</t>
        </is>
      </c>
      <c r="C3" s="38" t="inlineStr">
        <is>
          <t>Dependencies</t>
        </is>
      </c>
      <c r="D3" s="38" t="inlineStr">
        <is>
          <t>Are there third-party dependencies (AWS, ITSM vendor, SIEM vendor) that could affect the timeline?</t>
        </is>
      </c>
      <c r="E3" s="38" t="inlineStr">
        <is>
          <t>Identify any pending vendor negotiations, contract renewals, or product roadmap dependencies</t>
        </is>
      </c>
      <c r="F3" s="39" t="n"/>
      <c r="G3" s="38" t="inlineStr">
        <is>
          <t>Third-party delays are outside project control and must be identified early</t>
        </is>
      </c>
    </row>
    <row r="4">
      <c r="A4" s="40" t="inlineStr">
        <is>
          <t>RISK-003</t>
        </is>
      </c>
      <c r="B4" s="40" t="inlineStr">
        <is>
          <t>Risk &amp; Constraints</t>
        </is>
      </c>
      <c r="C4" s="40" t="inlineStr">
        <is>
          <t>Constraints</t>
        </is>
      </c>
      <c r="D4" s="40" t="inlineStr">
        <is>
          <t>Are there any technical constraints that limit the Landing Zone architecture choices?</t>
        </is>
      </c>
      <c r="E4" s="40" t="inlineStr">
        <is>
          <t>Examples: existing Direct Connect contracts, locked AWS accounts, legacy DNS infrastructure</t>
        </is>
      </c>
      <c r="F4" s="39" t="n"/>
      <c r="G4" s="40" t="inlineStr">
        <is>
          <t>Technical constraints must be documented as design assumptions before architecture is finalised</t>
        </is>
      </c>
    </row>
    <row r="5">
      <c r="A5" s="38" t="inlineStr">
        <is>
          <t>RISK-004</t>
        </is>
      </c>
      <c r="B5" s="38" t="inlineStr">
        <is>
          <t>Risk &amp; Constraints</t>
        </is>
      </c>
      <c r="C5" s="38" t="inlineStr">
        <is>
          <t>Assumptions</t>
        </is>
      </c>
      <c r="D5" s="38" t="inlineStr">
        <is>
          <t>What assumptions are being made about the scope and state of the existing AWS environment?</t>
        </is>
      </c>
      <c r="E5" s="38" t="inlineStr">
        <is>
          <t>List assumptions that have not yet been validated by technical discovery</t>
        </is>
      </c>
      <c r="F5" s="39" t="n"/>
      <c r="G5" s="38" t="inlineStr">
        <is>
          <t>Unvalidated assumptions are a primary source of scope creep and cost overrun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2026-06-09T19:57:00Z</dcterms:modified>
  <cp:lastModifiedBy>Kishan Siram</cp:lastModifiedBy>
</cp:coreProperties>
</file>