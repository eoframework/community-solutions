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Guidelines'!$A$2:$F$11</definedName>
    <definedName name="_xlnm._FilterDatabase" localSheetId="2" hidden="1">'Infrastructure Costs'!$A$2:$K$27</definedName>
    <definedName name="_xlnm._FilterDatabase" localSheetId="3" hidden="1">'Credits'!$A$2:$D$10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09, 2026</t>
        </is>
      </c>
    </row>
    <row r="6" ht="18" customHeight="1">
      <c r="B6" s="2" t="inlineStr">
        <is>
          <t>Solution:</t>
        </is>
      </c>
      <c r="C6" s="3" t="inlineStr">
        <is>
          <t>Tmppnqxy2Bn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AWS Accounts / OUs</t>
        </is>
      </c>
      <c r="C3" s="38" t="inlineStr">
        <is>
          <t>2-5 accounts</t>
        </is>
      </c>
      <c r="D3" s="38" t="inlineStr">
        <is>
          <t>10-20 accounts</t>
        </is>
      </c>
      <c r="E3" s="38" t="inlineStr">
        <is>
          <t>50+ accounts</t>
        </is>
      </c>
      <c r="F3" s="37" t="inlineStr">
        <is>
          <t>Landing zone organisational units under AWS Control Tower</t>
        </is>
      </c>
    </row>
    <row r="4" ht="26" customHeight="1">
      <c r="A4" s="39" t="inlineStr">
        <is>
          <t>Cloud Services</t>
        </is>
      </c>
      <c r="B4" s="40" t="inlineStr">
        <is>
          <t>Managed Environments</t>
        </is>
      </c>
      <c r="C4" s="41" t="inlineStr">
        <is>
          <t>3-6 environments</t>
        </is>
      </c>
      <c r="D4" s="41" t="inlineStr">
        <is>
          <t>10-20 environments</t>
        </is>
      </c>
      <c r="E4" s="41" t="inlineStr">
        <is>
          <t>30+ environments</t>
        </is>
      </c>
      <c r="F4" s="40" t="inlineStr">
        <is>
          <t>Dev / Test / Prod environment sets provisioned via IaC</t>
        </is>
      </c>
    </row>
    <row r="5" ht="26" customHeight="1">
      <c r="A5" s="36" t="inlineStr">
        <is>
          <t>Cloud Services</t>
        </is>
      </c>
      <c r="B5" s="37" t="inlineStr">
        <is>
          <t>Config Rules (Policy-as-Code)</t>
        </is>
      </c>
      <c r="C5" s="38" t="inlineStr">
        <is>
          <t>20-40 rules</t>
        </is>
      </c>
      <c r="D5" s="38" t="inlineStr">
        <is>
          <t>60-120 rules</t>
        </is>
      </c>
      <c r="E5" s="38" t="inlineStr">
        <is>
          <t>200+ rules</t>
        </is>
      </c>
      <c r="F5" s="37" t="inlineStr">
        <is>
          <t>AWS Config conformance pack rules enforcing ISO 27001 baseline</t>
        </is>
      </c>
    </row>
    <row r="6" ht="26" customHeight="1">
      <c r="A6" s="39" t="inlineStr">
        <is>
          <t>Cloud Services</t>
        </is>
      </c>
      <c r="B6" s="40" t="inlineStr">
        <is>
          <t>CloudTrail Log Volume</t>
        </is>
      </c>
      <c r="C6" s="41" t="inlineStr">
        <is>
          <t>&lt;50 GB/month</t>
        </is>
      </c>
      <c r="D6" s="41" t="inlineStr">
        <is>
          <t>50-200 GB/month</t>
        </is>
      </c>
      <c r="E6" s="41" t="inlineStr">
        <is>
          <t>&gt;200 GB/month</t>
        </is>
      </c>
      <c r="F6" s="40" t="inlineStr">
        <is>
          <t>Audit trail data ingested into centralised S3 log archive</t>
        </is>
      </c>
    </row>
    <row r="7" ht="26" customHeight="1">
      <c r="A7" s="36" t="inlineStr">
        <is>
          <t>Cloud Services</t>
        </is>
      </c>
      <c r="B7" s="37" t="inlineStr">
        <is>
          <t>Lambda Automation Functions</t>
        </is>
      </c>
      <c r="C7" s="38" t="inlineStr">
        <is>
          <t>5-10 functions</t>
        </is>
      </c>
      <c r="D7" s="38" t="inlineStr">
        <is>
          <t>15-30 functions</t>
        </is>
      </c>
      <c r="E7" s="38" t="inlineStr">
        <is>
          <t>50+ functions</t>
        </is>
      </c>
      <c r="F7" s="37" t="inlineStr">
        <is>
          <t>Remediation and provisioning automation invocations per month</t>
        </is>
      </c>
    </row>
    <row r="8" ht="26" customHeight="1">
      <c r="A8" s="39" t="inlineStr">
        <is>
          <t>Cloud Services</t>
        </is>
      </c>
      <c r="B8" s="40" t="inlineStr">
        <is>
          <t>Security Hub Findings/Month</t>
        </is>
      </c>
      <c r="C8" s="41" t="inlineStr">
        <is>
          <t>&lt;500 findings</t>
        </is>
      </c>
      <c r="D8" s="41" t="inlineStr">
        <is>
          <t>500-5000 findings</t>
        </is>
      </c>
      <c r="E8" s="41" t="inlineStr">
        <is>
          <t>&gt;5000 findings</t>
        </is>
      </c>
      <c r="F8" s="40" t="inlineStr">
        <is>
          <t>Aggregated compliance findings across all accounts</t>
        </is>
      </c>
    </row>
    <row r="9" ht="26" customHeight="1">
      <c r="A9" s="36" t="inlineStr">
        <is>
          <t>Software Licenses</t>
        </is>
      </c>
      <c r="B9" s="37" t="inlineStr">
        <is>
          <t>IaC Platform Tier</t>
        </is>
      </c>
      <c r="C9" s="38" t="inlineStr">
        <is>
          <t>Terraform Cloud Free</t>
        </is>
      </c>
      <c r="D9" s="38" t="inlineStr">
        <is>
          <t>Terraform Cloud Plus</t>
        </is>
      </c>
      <c r="E9" s="38" t="inlineStr">
        <is>
          <t>Terraform Cloud Business</t>
        </is>
      </c>
      <c r="F9" s="37" t="inlineStr">
        <is>
          <t>HashiCorp Terraform Cloud workspace tier</t>
        </is>
      </c>
    </row>
    <row r="10" ht="26" customHeight="1">
      <c r="A10" s="39" t="inlineStr">
        <is>
          <t>Connectivity</t>
        </is>
      </c>
      <c r="B10" s="40" t="inlineStr">
        <is>
          <t>Directory Federation Links</t>
        </is>
      </c>
      <c r="C10" s="41" t="inlineStr">
        <is>
          <t>1 IdP connector</t>
        </is>
      </c>
      <c r="D10" s="41" t="inlineStr">
        <is>
          <t>2 IdP connectors</t>
        </is>
      </c>
      <c r="E10" s="41" t="inlineStr">
        <is>
          <t>4+ IdP connectors</t>
        </is>
      </c>
      <c r="F10" s="40" t="inlineStr">
        <is>
          <t>AWS IAM Identity Center connections to on-premises AD/LDAP</t>
        </is>
      </c>
    </row>
    <row r="11" ht="26" customHeight="1">
      <c r="A11" s="36" t="inlineStr">
        <is>
          <t>Support &amp; Maintenance</t>
        </is>
      </c>
      <c r="B11" s="37" t="inlineStr">
        <is>
          <t>AWS Support Plan</t>
        </is>
      </c>
      <c r="C11" s="38" t="inlineStr">
        <is>
          <t>Developer</t>
        </is>
      </c>
      <c r="D11" s="38" t="inlineStr">
        <is>
          <t>Business</t>
        </is>
      </c>
      <c r="E11" s="38" t="inlineStr">
        <is>
          <t>Enterprise</t>
        </is>
      </c>
      <c r="F11" s="37" t="inlineStr">
        <is>
          <t>AWS support tier aligned to environment criticality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AWS Control Tower</t>
        </is>
      </c>
      <c r="C3" s="43" t="inlineStr">
        <is>
          <t>Landing zone management – per governed account (ap-southeast-2)</t>
        </is>
      </c>
      <c r="D3" s="44" t="n">
        <v>12</v>
      </c>
      <c r="E3" s="43" t="inlineStr">
        <is>
          <t>Account/Month</t>
        </is>
      </c>
      <c r="F3" s="45" t="n">
        <v>6</v>
      </c>
      <c r="G3" s="45" t="n">
        <v>864</v>
      </c>
      <c r="H3" s="44" t="n">
        <v>864</v>
      </c>
      <c r="I3" s="44" t="n">
        <v>864</v>
      </c>
      <c r="J3" s="44" t="n">
        <v>2592</v>
      </c>
      <c r="K3" s="43" t="inlineStr">
        <is>
          <t>Governance framework for multi-account provisioning</t>
        </is>
      </c>
    </row>
    <row r="4" ht="26" customHeight="1">
      <c r="A4" s="46" t="inlineStr">
        <is>
          <t>Cloud Services</t>
        </is>
      </c>
      <c r="B4" s="47" t="inlineStr">
        <is>
          <t>AWS Organizations</t>
        </is>
      </c>
      <c r="C4" s="47" t="inlineStr">
        <is>
          <t>Multi-account management – included with Control Tower</t>
        </is>
      </c>
      <c r="D4" s="48" t="n">
        <v>1</v>
      </c>
      <c r="E4" s="47" t="inlineStr">
        <is>
          <t>Service/Month</t>
        </is>
      </c>
      <c r="F4" s="49" t="n">
        <v>0</v>
      </c>
      <c r="G4" s="49" t="n">
        <v>0</v>
      </c>
      <c r="H4" s="48" t="n">
        <v>0</v>
      </c>
      <c r="I4" s="48" t="n">
        <v>0</v>
      </c>
      <c r="J4" s="48" t="n">
        <v>0</v>
      </c>
      <c r="K4" s="47" t="inlineStr">
        <is>
          <t>No additional charge; included in Control Tower</t>
        </is>
      </c>
    </row>
    <row r="5" ht="26" customHeight="1">
      <c r="A5" s="42" t="inlineStr">
        <is>
          <t>Cloud Services</t>
        </is>
      </c>
      <c r="B5" s="43" t="inlineStr">
        <is>
          <t>AWS Config</t>
        </is>
      </c>
      <c r="C5" s="43" t="inlineStr">
        <is>
          <t>Configuration recording – per Config rule evaluation (ap-southeast-2)</t>
        </is>
      </c>
      <c r="D5" s="44" t="n">
        <v>80</v>
      </c>
      <c r="E5" s="43" t="inlineStr">
        <is>
          <t>Rules/Month</t>
        </is>
      </c>
      <c r="F5" s="45" t="n">
        <v>1</v>
      </c>
      <c r="G5" s="45" t="n">
        <v>960</v>
      </c>
      <c r="H5" s="44" t="n">
        <v>960</v>
      </c>
      <c r="I5" s="44" t="n">
        <v>960</v>
      </c>
      <c r="J5" s="44" t="n">
        <v>2880</v>
      </c>
      <c r="K5" s="43" t="inlineStr">
        <is>
          <t>Policy-as-code conformance packs for ISO 27001</t>
        </is>
      </c>
    </row>
    <row r="6" ht="26" customHeight="1">
      <c r="A6" s="46" t="inlineStr">
        <is>
          <t>Cloud Services</t>
        </is>
      </c>
      <c r="B6" s="47" t="inlineStr">
        <is>
          <t>AWS CloudTrail</t>
        </is>
      </c>
      <c r="C6" s="47" t="inlineStr">
        <is>
          <t>Management and data events – per 100K events (ap-southeast-2)</t>
        </is>
      </c>
      <c r="D6" s="48" t="n">
        <v>500</v>
      </c>
      <c r="E6" s="47" t="inlineStr">
        <is>
          <t>100K Events/Month</t>
        </is>
      </c>
      <c r="F6" s="49" t="n">
        <v>0.1</v>
      </c>
      <c r="G6" s="49" t="n">
        <v>600</v>
      </c>
      <c r="H6" s="48" t="n">
        <v>600</v>
      </c>
      <c r="I6" s="48" t="n">
        <v>600</v>
      </c>
      <c r="J6" s="48" t="n">
        <v>1800</v>
      </c>
      <c r="K6" s="47" t="inlineStr">
        <is>
          <t>Immutable audit trail across all accounts</t>
        </is>
      </c>
    </row>
    <row r="7" ht="26" customHeight="1">
      <c r="A7" s="42" t="inlineStr">
        <is>
          <t>Cloud Services</t>
        </is>
      </c>
      <c r="B7" s="43" t="inlineStr">
        <is>
          <t>Amazon S3 (Log Archive)</t>
        </is>
      </c>
      <c r="C7" s="43" t="inlineStr">
        <is>
          <t>Log archive storage – Standard tier (ap-southeast-2)</t>
        </is>
      </c>
      <c r="D7" s="44" t="n">
        <v>500</v>
      </c>
      <c r="E7" s="43" t="inlineStr">
        <is>
          <t>GB/Month</t>
        </is>
      </c>
      <c r="F7" s="45" t="n">
        <v>0.025</v>
      </c>
      <c r="G7" s="45" t="n">
        <v>150</v>
      </c>
      <c r="H7" s="44" t="n">
        <v>150</v>
      </c>
      <c r="I7" s="44" t="n">
        <v>150</v>
      </c>
      <c r="J7" s="44" t="n">
        <v>450</v>
      </c>
      <c r="K7" s="43" t="inlineStr">
        <is>
          <t>Centralised CloudTrail and Config log archive bucket</t>
        </is>
      </c>
    </row>
    <row r="8" ht="26" customHeight="1">
      <c r="A8" s="46" t="inlineStr">
        <is>
          <t>Cloud Services</t>
        </is>
      </c>
      <c r="B8" s="47" t="inlineStr">
        <is>
          <t>AWS Security Hub</t>
        </is>
      </c>
      <c r="C8" s="47" t="inlineStr">
        <is>
          <t>Aggregated findings – per finding ingested (ap-southeast-2)</t>
        </is>
      </c>
      <c r="D8" s="48" t="n">
        <v>1000</v>
      </c>
      <c r="E8" s="47" t="inlineStr">
        <is>
          <t>Findings/Month</t>
        </is>
      </c>
      <c r="F8" s="49" t="n">
        <v>0.001</v>
      </c>
      <c r="G8" s="49" t="n">
        <v>12</v>
      </c>
      <c r="H8" s="48" t="n">
        <v>12</v>
      </c>
      <c r="I8" s="48" t="n">
        <v>12</v>
      </c>
      <c r="J8" s="48" t="n">
        <v>36</v>
      </c>
      <c r="K8" s="47" t="inlineStr">
        <is>
          <t>Security posture management and compliance dashboard</t>
        </is>
      </c>
    </row>
    <row r="9" ht="26" customHeight="1">
      <c r="A9" s="42" t="inlineStr">
        <is>
          <t>Cloud Services</t>
        </is>
      </c>
      <c r="B9" s="43" t="inlineStr">
        <is>
          <t>AWS Lambda</t>
        </is>
      </c>
      <c r="C9" s="43" t="inlineStr">
        <is>
          <t>Automation functions – per invocation bundle (ap-southeast-2)</t>
        </is>
      </c>
      <c r="D9" s="44" t="n">
        <v>1</v>
      </c>
      <c r="E9" s="43" t="inlineStr">
        <is>
          <t>Service/Month</t>
        </is>
      </c>
      <c r="F9" s="45" t="n">
        <v>0.2</v>
      </c>
      <c r="G9" s="45" t="n">
        <v>2.4</v>
      </c>
      <c r="H9" s="44" t="n">
        <v>2.4</v>
      </c>
      <c r="I9" s="44" t="n">
        <v>2.4</v>
      </c>
      <c r="J9" s="44" t="n">
        <v>7.2</v>
      </c>
      <c r="K9" s="43" t="inlineStr">
        <is>
          <t>Remediation and provisioning automation (pricing_calculator rate)</t>
        </is>
      </c>
    </row>
    <row r="10" ht="26" customHeight="1">
      <c r="A10" s="46" t="inlineStr">
        <is>
          <t>Cloud Services</t>
        </is>
      </c>
      <c r="B10" s="47" t="inlineStr">
        <is>
          <t>Amazon DynamoDB</t>
        </is>
      </c>
      <c r="C10" s="47" t="inlineStr">
        <is>
          <t>State and workflow data – on-demand capacity (ap-southeast-2)</t>
        </is>
      </c>
      <c r="D10" s="48" t="n">
        <v>1</v>
      </c>
      <c r="E10" s="47" t="inlineStr">
        <is>
          <t>Service/Month</t>
        </is>
      </c>
      <c r="F10" s="49" t="n">
        <v>0.25</v>
      </c>
      <c r="G10" s="49" t="n">
        <v>3</v>
      </c>
      <c r="H10" s="48" t="n">
        <v>3</v>
      </c>
      <c r="I10" s="48" t="n">
        <v>3</v>
      </c>
      <c r="J10" s="48" t="n">
        <v>9</v>
      </c>
      <c r="K10" s="47" t="inlineStr">
        <is>
          <t>ITSM workflow state store (pricing_calculator rate)</t>
        </is>
      </c>
    </row>
    <row r="11" ht="26" customHeight="1">
      <c r="A11" s="42" t="inlineStr">
        <is>
          <t>Cloud Services</t>
        </is>
      </c>
      <c r="B11" s="43" t="inlineStr">
        <is>
          <t>AWS IAM Identity Center</t>
        </is>
      </c>
      <c r="C11" s="43" t="inlineStr">
        <is>
          <t>SSO and identity federation – per active user (ap-southeast-2)</t>
        </is>
      </c>
      <c r="D11" s="44" t="n">
        <v>150</v>
      </c>
      <c r="E11" s="43" t="inlineStr">
        <is>
          <t>Users/Month</t>
        </is>
      </c>
      <c r="F11" s="45" t="n">
        <v>0.018</v>
      </c>
      <c r="G11" s="45" t="n">
        <v>32.4</v>
      </c>
      <c r="H11" s="44" t="n">
        <v>32.4</v>
      </c>
      <c r="I11" s="44" t="n">
        <v>32.4</v>
      </c>
      <c r="J11" s="44" t="n">
        <v>97.2</v>
      </c>
      <c r="K11" s="43" t="inlineStr">
        <is>
          <t>Federation with existing on-premises AD (platform team subset)</t>
        </is>
      </c>
    </row>
    <row r="12" ht="26" customHeight="1">
      <c r="A12" s="46" t="inlineStr">
        <is>
          <t>Cloud Services</t>
        </is>
      </c>
      <c r="B12" s="47" t="inlineStr">
        <is>
          <t>Amazon CloudWatch</t>
        </is>
      </c>
      <c r="C12" s="47" t="inlineStr">
        <is>
          <t>Metrics and log monitoring – per GB ingested (ap-southeast-2)</t>
        </is>
      </c>
      <c r="D12" s="48" t="n">
        <v>100</v>
      </c>
      <c r="E12" s="47" t="inlineStr">
        <is>
          <t>GB/Month</t>
        </is>
      </c>
      <c r="F12" s="49" t="n">
        <v>0.57</v>
      </c>
      <c r="G12" s="49" t="n">
        <v>684</v>
      </c>
      <c r="H12" s="48" t="n">
        <v>684</v>
      </c>
      <c r="I12" s="48" t="n">
        <v>684</v>
      </c>
      <c r="J12" s="48" t="n">
        <v>2052</v>
      </c>
      <c r="K12" s="47" t="inlineStr">
        <is>
          <t>Platform telemetry dashboards and automated alerts</t>
        </is>
      </c>
    </row>
    <row r="13" ht="26" customHeight="1">
      <c r="A13" s="42" t="inlineStr">
        <is>
          <t>Cloud Services</t>
        </is>
      </c>
      <c r="B13" s="43" t="inlineStr">
        <is>
          <t>AWS Systems Manager</t>
        </is>
      </c>
      <c r="C13" s="43" t="inlineStr">
        <is>
          <t>Patch and config management – per managed instance (ap-southeast-2)</t>
        </is>
      </c>
      <c r="D13" s="44" t="n">
        <v>30</v>
      </c>
      <c r="E13" s="43" t="inlineStr">
        <is>
          <t>Instance/Month</t>
        </is>
      </c>
      <c r="F13" s="45" t="n">
        <v>2.5</v>
      </c>
      <c r="G13" s="45" t="n">
        <v>900</v>
      </c>
      <c r="H13" s="44" t="n">
        <v>900</v>
      </c>
      <c r="I13" s="44" t="n">
        <v>900</v>
      </c>
      <c r="J13" s="44" t="n">
        <v>2700</v>
      </c>
      <c r="K13" s="43" t="inlineStr">
        <is>
          <t>No-console-access enforcement via SSM Session Manager</t>
        </is>
      </c>
    </row>
    <row r="14" ht="26" customHeight="1">
      <c r="A14" s="46" t="inlineStr">
        <is>
          <t>Cloud Services</t>
        </is>
      </c>
      <c r="B14" s="47" t="inlineStr">
        <is>
          <t>AWS Service Catalog</t>
        </is>
      </c>
      <c r="C14" s="47" t="inlineStr">
        <is>
          <t>Self-service provisioning portal – per API call batch (ap-southeast-2)</t>
        </is>
      </c>
      <c r="D14" s="48" t="n">
        <v>1</v>
      </c>
      <c r="E14" s="47" t="inlineStr">
        <is>
          <t>Service/Month</t>
        </is>
      </c>
      <c r="F14" s="49" t="n">
        <v>50</v>
      </c>
      <c r="G14" s="49" t="n">
        <v>600</v>
      </c>
      <c r="H14" s="48" t="n">
        <v>600</v>
      </c>
      <c r="I14" s="48" t="n">
        <v>600</v>
      </c>
      <c r="J14" s="48" t="n">
        <v>1800</v>
      </c>
      <c r="K14" s="47" t="inlineStr">
        <is>
          <t>Approved IaC product catalogue for environment provisioning</t>
        </is>
      </c>
    </row>
    <row r="15" ht="26" customHeight="1">
      <c r="A15" s="42" t="inlineStr">
        <is>
          <t>Cloud Services</t>
        </is>
      </c>
      <c r="B15" s="43" t="inlineStr">
        <is>
          <t>Amazon EventBridge</t>
        </is>
      </c>
      <c r="C15" s="43" t="inlineStr">
        <is>
          <t>Event-driven automation – per million events (ap-southeast-2)</t>
        </is>
      </c>
      <c r="D15" s="44" t="n">
        <v>2</v>
      </c>
      <c r="E15" s="43" t="inlineStr">
        <is>
          <t>Million Events/Month</t>
        </is>
      </c>
      <c r="F15" s="45" t="n">
        <v>1</v>
      </c>
      <c r="G15" s="45" t="n">
        <v>24</v>
      </c>
      <c r="H15" s="44" t="n">
        <v>24</v>
      </c>
      <c r="I15" s="44" t="n">
        <v>24</v>
      </c>
      <c r="J15" s="44" t="n">
        <v>72</v>
      </c>
      <c r="K15" s="43" t="inlineStr">
        <is>
          <t>Triggers for automated remediation workflows</t>
        </is>
      </c>
    </row>
    <row r="16" ht="26" customHeight="1">
      <c r="A16" s="46" t="inlineStr">
        <is>
          <t>Cloud Services</t>
        </is>
      </c>
      <c r="B16" s="47" t="inlineStr">
        <is>
          <t>AWS Backup</t>
        </is>
      </c>
      <c r="C16" s="47" t="inlineStr">
        <is>
          <t>Centralised backup – per GB backed up (ap-southeast-2)</t>
        </is>
      </c>
      <c r="D16" s="48" t="n">
        <v>500</v>
      </c>
      <c r="E16" s="47" t="inlineStr">
        <is>
          <t>GB/Month</t>
        </is>
      </c>
      <c r="F16" s="49" t="n">
        <v>0.05</v>
      </c>
      <c r="G16" s="49" t="n">
        <v>300</v>
      </c>
      <c r="H16" s="48" t="n">
        <v>300</v>
      </c>
      <c r="I16" s="48" t="n">
        <v>300</v>
      </c>
      <c r="J16" s="48" t="n">
        <v>900</v>
      </c>
      <c r="K16" s="47" t="inlineStr">
        <is>
          <t>Data protection for platform state and configuration records</t>
        </is>
      </c>
    </row>
    <row r="17" ht="26" customHeight="1">
      <c r="A17" s="42" t="inlineStr">
        <is>
          <t>Cloud Services</t>
        </is>
      </c>
      <c r="B17" s="43" t="inlineStr">
        <is>
          <t>DR Region (ap-southeast-4)</t>
        </is>
      </c>
      <c r="C17" s="43" t="inlineStr">
        <is>
          <t>Config replication and S3 cross-region replication – DR replica set</t>
        </is>
      </c>
      <c r="D17" s="44" t="n">
        <v>1</v>
      </c>
      <c r="E17" s="43" t="inlineStr">
        <is>
          <t>Service/Month</t>
        </is>
      </c>
      <c r="F17" s="45" t="n">
        <v>400</v>
      </c>
      <c r="G17" s="45" t="n">
        <v>4800</v>
      </c>
      <c r="H17" s="44" t="n">
        <v>4800</v>
      </c>
      <c r="I17" s="44" t="n">
        <v>4800</v>
      </c>
      <c r="J17" s="44" t="n">
        <v>14400</v>
      </c>
      <c r="K17" s="43" t="inlineStr">
        <is>
          <t>In-country DR replica; all data remains in Australia</t>
        </is>
      </c>
    </row>
    <row r="18" ht="26" customHeight="1">
      <c r="A18" s="46" t="inlineStr">
        <is>
          <t>Cloud Services</t>
        </is>
      </c>
      <c r="B18" s="47" t="inlineStr">
        <is>
          <t>Data Transfer (Cross-Region)</t>
        </is>
      </c>
      <c r="C18" s="47" t="inlineStr">
        <is>
          <t>S3 and CloudTrail replication data transfer to ap-southeast-4</t>
        </is>
      </c>
      <c r="D18" s="48" t="n">
        <v>100</v>
      </c>
      <c r="E18" s="47" t="inlineStr">
        <is>
          <t>GB/Month</t>
        </is>
      </c>
      <c r="F18" s="49" t="n">
        <v>0.02</v>
      </c>
      <c r="G18" s="49" t="n">
        <v>24</v>
      </c>
      <c r="H18" s="48" t="n">
        <v>24</v>
      </c>
      <c r="I18" s="48" t="n">
        <v>24</v>
      </c>
      <c r="J18" s="48" t="n">
        <v>72</v>
      </c>
      <c r="K18" s="47" t="inlineStr">
        <is>
          <t>Cross-region egress for DR replication</t>
        </is>
      </c>
    </row>
    <row r="19" ht="26" customHeight="1">
      <c r="A19" s="42" t="inlineStr">
        <is>
          <t>Software Licenses</t>
        </is>
      </c>
      <c r="B19" s="43" t="inlineStr">
        <is>
          <t>Terraform Cloud Plus</t>
        </is>
      </c>
      <c r="C19" s="43" t="inlineStr">
        <is>
          <t>HashiCorp Terraform Cloud Plus – per workspace (IaC automation)</t>
        </is>
      </c>
      <c r="D19" s="44" t="n">
        <v>10</v>
      </c>
      <c r="E19" s="43" t="inlineStr">
        <is>
          <t>Workspace/Month</t>
        </is>
      </c>
      <c r="F19" s="45" t="n">
        <v>20</v>
      </c>
      <c r="G19" s="45" t="n">
        <v>2400</v>
      </c>
      <c r="H19" s="44" t="n">
        <v>2400</v>
      </c>
      <c r="I19" s="44" t="n">
        <v>2400</v>
      </c>
      <c r="J19" s="44" t="n">
        <v>7200</v>
      </c>
      <c r="K19" s="43" t="inlineStr">
        <is>
          <t>Sentinel policy-as-code and audit log features for ISO 27001</t>
        </is>
      </c>
    </row>
    <row r="20" ht="26" customHeight="1">
      <c r="A20" s="46" t="inlineStr">
        <is>
          <t>Software Licenses</t>
        </is>
      </c>
      <c r="B20" s="47" t="inlineStr">
        <is>
          <t>Datadog APM</t>
        </is>
      </c>
      <c r="C20" s="47" t="inlineStr">
        <is>
          <t>Full-stack observability – per host (platform services)</t>
        </is>
      </c>
      <c r="D20" s="48" t="n">
        <v>6</v>
      </c>
      <c r="E20" s="47" t="inlineStr">
        <is>
          <t>Host/Month</t>
        </is>
      </c>
      <c r="F20" s="49" t="n">
        <v>23</v>
      </c>
      <c r="G20" s="49" t="n">
        <v>1656</v>
      </c>
      <c r="H20" s="48" t="n">
        <v>1656</v>
      </c>
      <c r="I20" s="48" t="n">
        <v>1656</v>
      </c>
      <c r="J20" s="48" t="n">
        <v>4968</v>
      </c>
      <c r="K20" s="47" t="inlineStr">
        <is>
          <t>SIEM integration feed and platform service observability</t>
        </is>
      </c>
    </row>
    <row r="21" ht="26" customHeight="1">
      <c r="A21" s="42" t="inlineStr">
        <is>
          <t>Connectivity</t>
        </is>
      </c>
      <c r="B21" s="43" t="inlineStr">
        <is>
          <t>AWS Direct Connect (Primary)</t>
        </is>
      </c>
      <c r="C21" s="43" t="inlineStr">
        <is>
          <t>Dedicated 1 Gbps hosted connection to ap-southeast-2</t>
        </is>
      </c>
      <c r="D21" s="44" t="n">
        <v>1</v>
      </c>
      <c r="E21" s="43" t="inlineStr">
        <is>
          <t>Port/Month</t>
        </is>
      </c>
      <c r="F21" s="45" t="n">
        <v>220</v>
      </c>
      <c r="G21" s="45" t="n">
        <v>2640</v>
      </c>
      <c r="H21" s="44" t="n">
        <v>2640</v>
      </c>
      <c r="I21" s="44" t="n">
        <v>2640</v>
      </c>
      <c r="J21" s="44" t="n">
        <v>7920</v>
      </c>
      <c r="K21" s="43" t="inlineStr">
        <is>
          <t>Secure private connectivity from Contoso DC to AWS</t>
        </is>
      </c>
    </row>
    <row r="22" ht="26" customHeight="1">
      <c r="A22" s="46" t="inlineStr">
        <is>
          <t>Connectivity</t>
        </is>
      </c>
      <c r="B22" s="47" t="inlineStr">
        <is>
          <t>AWS Direct Connect (DR)</t>
        </is>
      </c>
      <c r="C22" s="47" t="inlineStr">
        <is>
          <t>Dedicated 1 Gbps hosted connection to ap-southeast-4</t>
        </is>
      </c>
      <c r="D22" s="48" t="n">
        <v>1</v>
      </c>
      <c r="E22" s="47" t="inlineStr">
        <is>
          <t>Port/Month</t>
        </is>
      </c>
      <c r="F22" s="49" t="n">
        <v>220</v>
      </c>
      <c r="G22" s="49" t="n">
        <v>2640</v>
      </c>
      <c r="H22" s="48" t="n">
        <v>2640</v>
      </c>
      <c r="I22" s="48" t="n">
        <v>2640</v>
      </c>
      <c r="J22" s="48" t="n">
        <v>7920</v>
      </c>
      <c r="K22" s="47" t="inlineStr">
        <is>
          <t>DR site private connectivity; in-country data residency requirement</t>
        </is>
      </c>
    </row>
    <row r="23" ht="26" customHeight="1">
      <c r="A23" s="42" t="inlineStr">
        <is>
          <t>Connectivity</t>
        </is>
      </c>
      <c r="B23" s="43" t="inlineStr">
        <is>
          <t>VPN (Backup)</t>
        </is>
      </c>
      <c r="C23" s="43" t="inlineStr">
        <is>
          <t>AWS Site-to-Site VPN backup connection (ap-southeast-2)</t>
        </is>
      </c>
      <c r="D23" s="44" t="n">
        <v>1</v>
      </c>
      <c r="E23" s="43" t="inlineStr">
        <is>
          <t>Connection/Month</t>
        </is>
      </c>
      <c r="F23" s="45" t="n">
        <v>36.5</v>
      </c>
      <c r="G23" s="45" t="n">
        <v>438</v>
      </c>
      <c r="H23" s="44" t="n">
        <v>438</v>
      </c>
      <c r="I23" s="44" t="n">
        <v>438</v>
      </c>
      <c r="J23" s="44" t="n">
        <v>1314</v>
      </c>
      <c r="K23" s="43" t="inlineStr">
        <is>
          <t>Resilient backup path for federation and management traffic</t>
        </is>
      </c>
    </row>
    <row r="24" ht="26" customHeight="1">
      <c r="A24" s="46" t="inlineStr">
        <is>
          <t>Support &amp; Maintenance</t>
        </is>
      </c>
      <c r="B24" s="47" t="inlineStr">
        <is>
          <t>AWS Business Support</t>
        </is>
      </c>
      <c r="C24" s="47" t="inlineStr">
        <is>
          <t>AWS Business Support plan – percentage of monthly usage</t>
        </is>
      </c>
      <c r="D24" s="48" t="n">
        <v>1</v>
      </c>
      <c r="E24" s="47" t="inlineStr">
        <is>
          <t>Service/Month</t>
        </is>
      </c>
      <c r="F24" s="49" t="n">
        <v>1200</v>
      </c>
      <c r="G24" s="49" t="n">
        <v>14400</v>
      </c>
      <c r="H24" s="48" t="n">
        <v>14400</v>
      </c>
      <c r="I24" s="48" t="n">
        <v>14400</v>
      </c>
      <c r="J24" s="48" t="n">
        <v>43200</v>
      </c>
      <c r="K24" s="47" t="inlineStr">
        <is>
          <t>Minimum Business Support for production workloads (regulatory requirement)</t>
        </is>
      </c>
    </row>
    <row r="25" ht="26" customHeight="1">
      <c r="A25" s="42" t="inlineStr">
        <is>
          <t>Support &amp; Maintenance</t>
        </is>
      </c>
      <c r="B25" s="43" t="inlineStr">
        <is>
          <t>Terraform Cloud Support</t>
        </is>
      </c>
      <c r="C25" s="43" t="inlineStr">
        <is>
          <t>HashiCorp Terraform Cloud Plus support – included in subscription</t>
        </is>
      </c>
      <c r="D25" s="44" t="n">
        <v>1</v>
      </c>
      <c r="E25" s="43" t="inlineStr">
        <is>
          <t>Service/Month</t>
        </is>
      </c>
      <c r="F25" s="45" t="n">
        <v>0</v>
      </c>
      <c r="G25" s="45" t="n">
        <v>0</v>
      </c>
      <c r="H25" s="44" t="n">
        <v>0</v>
      </c>
      <c r="I25" s="44" t="n">
        <v>0</v>
      </c>
      <c r="J25" s="44" t="n">
        <v>0</v>
      </c>
      <c r="K25" s="43" t="inlineStr">
        <is>
          <t>Support included with Terraform Cloud Plus tier</t>
        </is>
      </c>
    </row>
    <row r="26" ht="26" customHeight="1">
      <c r="A26" s="46" t="inlineStr">
        <is>
          <t>Facilities</t>
        </is>
      </c>
      <c r="B26" s="47" t="inlineStr">
        <is>
          <t>Cloud Hosting</t>
        </is>
      </c>
      <c r="C26" s="47" t="inlineStr">
        <is>
          <t>Cloud-only solution – no physical infrastructure facilities required</t>
        </is>
      </c>
      <c r="D26" s="48" t="n">
        <v>1</v>
      </c>
      <c r="E26" s="47" t="inlineStr">
        <is>
          <t>Service/Month</t>
        </is>
      </c>
      <c r="F26" s="49" t="n">
        <v>0</v>
      </c>
      <c r="G26" s="49" t="n">
        <v>0</v>
      </c>
      <c r="H26" s="48" t="n">
        <v>0</v>
      </c>
      <c r="I26" s="48" t="n">
        <v>0</v>
      </c>
      <c r="J26" s="48" t="n">
        <v>0</v>
      </c>
      <c r="K26" s="47" t="inlineStr">
        <is>
          <t>No facilities costs; fully hosted on AWS ap-southeast-2 and ap-southeast-4</t>
        </is>
      </c>
    </row>
    <row r="27" ht="26" customHeight="1">
      <c r="A27" s="50" t="inlineStr">
        <is>
          <t>TOTAL</t>
        </is>
      </c>
      <c r="B27" s="51" t="n"/>
      <c r="C27" s="51" t="n"/>
      <c r="D27" s="51" t="n"/>
      <c r="E27" s="51" t="n"/>
      <c r="F27" s="51" t="n"/>
      <c r="G27" s="52">
        <f>SUM(G3:G26)</f>
        <v/>
      </c>
      <c r="H27" s="52">
        <f>SUM(H3:H26)</f>
        <v/>
      </c>
      <c r="I27" s="52">
        <f>SUM(I3:I26)</f>
        <v/>
      </c>
      <c r="J27" s="52">
        <f>SUM(J3:J26)</f>
        <v/>
      </c>
      <c r="K27" s="51" t="n"/>
    </row>
  </sheetData>
  <autoFilter ref="A2:K27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credits – cloud-only solution; no physical equipment purchased</t>
        </is>
      </c>
    </row>
    <row r="4" ht="26" customHeight="1">
      <c r="A4" s="46" t="inlineStr">
        <is>
          <t>Cloud Services</t>
        </is>
      </c>
      <c r="B4" s="47" t="inlineStr">
        <is>
          <t>AWS MAP Credit</t>
        </is>
      </c>
      <c r="C4" s="49" t="n">
        <v>-15000</v>
      </c>
      <c r="D4" s="47" t="inlineStr">
        <is>
          <t>AWS Migration Acceleration Program credit – 20% of Year 1 cloud infrastructure costs; requires MAP enrolment via AWS Partner Network</t>
        </is>
      </c>
    </row>
    <row r="5" ht="26" customHeight="1">
      <c r="A5" s="42" t="inlineStr">
        <is>
          <t>Cloud Services</t>
        </is>
      </c>
      <c r="B5" s="43" t="inlineStr">
        <is>
          <t>AWS Activate / Consumption Credit</t>
        </is>
      </c>
      <c r="C5" s="45" t="n">
        <v>-5000</v>
      </c>
      <c r="D5" s="43" t="inlineStr">
        <is>
          <t>AWS Solutions Partner program promotional credit applied to ap-southeast-2 services in Year 1</t>
        </is>
      </c>
    </row>
    <row r="6" ht="26" customHeight="1">
      <c r="A6" s="46" t="inlineStr">
        <is>
          <t>Cloud Services</t>
        </is>
      </c>
      <c r="B6" s="47" t="inlineStr">
        <is>
          <t>Reserved Instance Savings</t>
        </is>
      </c>
      <c r="C6" s="49" t="n">
        <v>-8000</v>
      </c>
      <c r="D6" s="47" t="inlineStr">
        <is>
          <t>1-year Reserved Instance commitment discount (approx. 30% reduction on compute) – reflected in Year 1 unit pricing</t>
        </is>
      </c>
    </row>
    <row r="7" ht="26" customHeight="1">
      <c r="A7" s="42" t="inlineStr">
        <is>
          <t>Software Licenses</t>
        </is>
      </c>
      <c r="B7" s="43" t="inlineStr">
        <is>
          <t>Terraform Partner Credit</t>
        </is>
      </c>
      <c r="C7" s="45" t="n">
        <v>-1200</v>
      </c>
      <c r="D7" s="43" t="inlineStr">
        <is>
          <t>HashiCorp partner program credit for first-year Terraform Cloud Plus subscription</t>
        </is>
      </c>
    </row>
    <row r="8" ht="26" customHeight="1">
      <c r="A8" s="46" t="inlineStr">
        <is>
          <t>Connectivity</t>
        </is>
      </c>
      <c r="B8" s="47" t="inlineStr">
        <is>
          <t>Network Credit</t>
        </is>
      </c>
      <c r="C8" s="49" t="n">
        <v>0</v>
      </c>
      <c r="D8" s="47" t="inlineStr">
        <is>
          <t>No connectivity credits available for Direct Connect circuits</t>
        </is>
      </c>
    </row>
    <row r="9" ht="26" customHeight="1">
      <c r="A9" s="42" t="inlineStr">
        <is>
          <t>Support &amp; Maintenance</t>
        </is>
      </c>
      <c r="B9" s="43" t="inlineStr">
        <is>
          <t>Support Credit</t>
        </is>
      </c>
      <c r="C9" s="45" t="n">
        <v>0</v>
      </c>
      <c r="D9" s="43" t="inlineStr">
        <is>
          <t>No credits available against AWS Business Support plan</t>
        </is>
      </c>
    </row>
    <row r="10" ht="26" customHeight="1">
      <c r="A10" s="46" t="inlineStr">
        <is>
          <t>Facilities</t>
        </is>
      </c>
      <c r="B10" s="47" t="inlineStr">
        <is>
          <t>Facilities Credit</t>
        </is>
      </c>
      <c r="C10" s="49" t="n">
        <v>0</v>
      </c>
      <c r="D10" s="47" t="inlineStr">
        <is>
          <t>No facilities credits – cloud-only solution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2026-06-09T19:57:00Z</dcterms:modified>
  <cp:lastModifiedBy>Kishan Siram</cp:lastModifiedBy>
</cp:coreProperties>
</file>