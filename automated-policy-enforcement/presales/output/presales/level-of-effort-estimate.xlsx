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Assumptions'!$A$2:$G$11</definedName>
    <definedName name="_xlnm._FilterDatabase" localSheetId="2" hidden="1">'Estimate Settings'!$A$2:$D$8</definedName>
    <definedName name="_xlnm._FilterDatabase" localSheetId="3" hidden="1">'LOE'!$A$2:$K$57</definedName>
    <definedName name="_xlnm._FilterDatabase" localSheetId="4" hidden="1">'Credits'!$A$2:$C$6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09, 2026</t>
        </is>
      </c>
    </row>
    <row r="6" ht="18" customHeight="1">
      <c r="B6" s="2" t="inlineStr">
        <is>
          <t>Solution:</t>
        </is>
      </c>
      <c r="C6" s="3" t="inlineStr">
        <is>
          <t>Tmppnqxy2Bn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Accounts</t>
        </is>
      </c>
      <c r="B3" s="37" t="inlineStr">
        <is>
          <t>Single business unit (~100 users)</t>
        </is>
      </c>
      <c r="C3" s="38" t="inlineStr">
        <is>
          <t>~4500 employees across platform team and workload owners</t>
        </is>
      </c>
      <c r="D3" s="37" t="inlineStr">
        <is>
          <t>Up to 100</t>
        </is>
      </c>
      <c r="E3" s="37" t="inlineStr">
        <is>
          <t>100–500</t>
        </is>
      </c>
      <c r="F3" s="37" t="inlineStr">
        <is>
          <t>500+</t>
        </is>
      </c>
      <c r="G3" s="37" t="inlineStr">
        <is>
          <t>Scope includes platform team plus onboarded workload account owners</t>
        </is>
      </c>
    </row>
    <row r="4" ht="26" customHeight="1">
      <c r="A4" s="39" t="inlineStr">
        <is>
          <t>Regions / Geographies</t>
        </is>
      </c>
      <c r="B4" s="40" t="inlineStr">
        <is>
          <t>Single AWS region</t>
        </is>
      </c>
      <c r="C4" s="38" t="inlineStr">
        <is>
          <t>Two regions: ap-southeast-2 (primary) + ap-southeast-4 (DR)</t>
        </is>
      </c>
      <c r="D4" s="40" t="inlineStr">
        <is>
          <t>1 region</t>
        </is>
      </c>
      <c r="E4" s="40" t="inlineStr">
        <is>
          <t>2 regions</t>
        </is>
      </c>
      <c r="F4" s="40" t="inlineStr">
        <is>
          <t>3+ regions</t>
        </is>
      </c>
      <c r="G4" s="40" t="inlineStr">
        <is>
          <t>All data must remain in-country (Australia); DR replica required</t>
        </is>
      </c>
    </row>
    <row r="5" ht="26" customHeight="1">
      <c r="A5" s="36" t="inlineStr">
        <is>
          <t>Cloud Environments</t>
        </is>
      </c>
      <c r="B5" s="37" t="inlineStr">
        <is>
          <t>Dev + Prod (2 environments)</t>
        </is>
      </c>
      <c r="C5" s="38" t="inlineStr">
        <is>
          <t>Three production environments + dev/test/staging per workload</t>
        </is>
      </c>
      <c r="D5" s="37" t="inlineStr">
        <is>
          <t>2–3</t>
        </is>
      </c>
      <c r="E5" s="37" t="inlineStr">
        <is>
          <t>4–6</t>
        </is>
      </c>
      <c r="F5" s="37" t="inlineStr">
        <is>
          <t>7+</t>
        </is>
      </c>
      <c r="G5" s="37" t="inlineStr">
        <is>
          <t>Existing three prod environments plus new structured account hierarchy</t>
        </is>
      </c>
    </row>
    <row r="6" ht="26" customHeight="1">
      <c r="A6" s="39" t="inlineStr">
        <is>
          <t>Identity Integration</t>
        </is>
      </c>
      <c r="B6" s="40" t="inlineStr">
        <is>
          <t>New identity deployment</t>
        </is>
      </c>
      <c r="C6" s="38" t="inlineStr">
        <is>
          <t>Federation with existing on-premises enterprise directory</t>
        </is>
      </c>
      <c r="D6" s="40" t="inlineStr">
        <is>
          <t>New IdP</t>
        </is>
      </c>
      <c r="E6" s="40" t="inlineStr">
        <is>
          <t>Federate 1 IdP</t>
        </is>
      </c>
      <c r="F6" s="40" t="inlineStr">
        <is>
          <t>Federate 2+ IdPs</t>
        </is>
      </c>
      <c r="G6" s="40" t="inlineStr">
        <is>
          <t>On-prem IdP federated via AWS IAM Identity Center; no replacement</t>
        </is>
      </c>
    </row>
    <row r="7" ht="26" customHeight="1">
      <c r="A7" s="36" t="inlineStr">
        <is>
          <t>Compliance Frameworks</t>
        </is>
      </c>
      <c r="B7" s="37" t="inlineStr">
        <is>
          <t>Single framework</t>
        </is>
      </c>
      <c r="C7" s="38" t="inlineStr">
        <is>
          <t>ISO 27001 + internal security baseline + financial services regulations</t>
        </is>
      </c>
      <c r="D7" s="37" t="inlineStr">
        <is>
          <t>1 framework</t>
        </is>
      </c>
      <c r="E7" s="37" t="inlineStr">
        <is>
          <t>2 frameworks</t>
        </is>
      </c>
      <c r="F7" s="37" t="inlineStr">
        <is>
          <t>3+ frameworks</t>
        </is>
      </c>
      <c r="G7" s="37" t="inlineStr">
        <is>
          <t>Regulatory review hard deadline Q2 2026 (end of April)</t>
        </is>
      </c>
    </row>
    <row r="8" ht="26" customHeight="1">
      <c r="A8" s="39" t="inlineStr">
        <is>
          <t>ITSM / Integration Points</t>
        </is>
      </c>
      <c r="B8" s="40" t="inlineStr">
        <is>
          <t>No ITSM integration</t>
        </is>
      </c>
      <c r="C8" s="38" t="inlineStr">
        <is>
          <t>Existing SIEM + ticketing platform integrations required</t>
        </is>
      </c>
      <c r="D8" s="40" t="inlineStr">
        <is>
          <t>0–1</t>
        </is>
      </c>
      <c r="E8" s="40" t="inlineStr">
        <is>
          <t>2–3</t>
        </is>
      </c>
      <c r="F8" s="40" t="inlineStr">
        <is>
          <t>4+</t>
        </is>
      </c>
      <c r="G8" s="40" t="inlineStr">
        <is>
          <t>Change approval workflow must route through existing ITSM; SIEM alert forwarding</t>
        </is>
      </c>
    </row>
    <row r="9" ht="26" customHeight="1">
      <c r="A9" s="36" t="inlineStr">
        <is>
          <t>Infrastructure-as-Code Coverage</t>
        </is>
      </c>
      <c r="B9" s="37" t="inlineStr">
        <is>
          <t>Greenfield IaC</t>
        </is>
      </c>
      <c r="C9" s="38" t="inlineStr">
        <is>
          <t>All new accounts and guardrails via IaC; legacy workloads excluded</t>
        </is>
      </c>
      <c r="D9" s="37" t="inlineStr">
        <is>
          <t>Partial IaC</t>
        </is>
      </c>
      <c r="E9" s="37" t="inlineStr">
        <is>
          <t>Full IaC new</t>
        </is>
      </c>
      <c r="F9" s="37" t="inlineStr">
        <is>
          <t>Full IaC + legacy remediation</t>
        </is>
      </c>
      <c r="G9" s="37" t="inlineStr">
        <is>
          <t>Two legacy on-prem workloads explicitly out of scope</t>
        </is>
      </c>
    </row>
    <row r="10" ht="26" customHeight="1">
      <c r="A10" s="39" t="inlineStr">
        <is>
          <t>Policy-as-Code Guardrails</t>
        </is>
      </c>
      <c r="B10" s="40" t="inlineStr">
        <is>
          <t>Basic SCPs</t>
        </is>
      </c>
      <c r="C10" s="38" t="inlineStr">
        <is>
          <t>Comprehensive preventive + detective guardrails (no manual console access in prod)</t>
        </is>
      </c>
      <c r="D10" s="40" t="inlineStr">
        <is>
          <t>Basic SCPs only</t>
        </is>
      </c>
      <c r="E10" s="40" t="inlineStr">
        <is>
          <t>SCPs + Config rules</t>
        </is>
      </c>
      <c r="F10" s="40" t="inlineStr">
        <is>
          <t>SCPs + Config + custom Lambda guardrails</t>
        </is>
      </c>
      <c r="G10" s="40" t="inlineStr">
        <is>
          <t>Production console access must be fully blocked with break-glass procedure</t>
        </is>
      </c>
    </row>
    <row r="11" ht="26" customHeight="1">
      <c r="A11" s="36" t="inlineStr">
        <is>
          <t>SLA / Availability Target</t>
        </is>
      </c>
      <c r="B11" s="37" t="inlineStr">
        <is>
          <t>Standard business hours support</t>
        </is>
      </c>
      <c r="C11" s="38" t="inlineStr">
        <is>
          <t>99.9% platform availability; DR RTO &lt; 4h / RPO &lt; 1h</t>
        </is>
      </c>
      <c r="D11" s="37" t="inlineStr">
        <is>
          <t>Best effort</t>
        </is>
      </c>
      <c r="E11" s="37" t="inlineStr">
        <is>
          <t>99.5% SLA</t>
        </is>
      </c>
      <c r="F11" s="37" t="inlineStr">
        <is>
          <t>99.9%+ with DR</t>
        </is>
      </c>
      <c r="G11" s="37" t="inlineStr">
        <is>
          <t>DR replica must be tested and validated before regulatory review</t>
        </is>
      </c>
    </row>
  </sheetData>
  <autoFilter ref="A2:G11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1.2</v>
      </c>
      <c r="D3" s="37" t="inlineStr">
        <is>
          <t>Elevated for regulated environment; includes compliance assessment and CISO alignment sessions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1.3</v>
      </c>
      <c r="D4" s="40" t="inlineStr">
        <is>
          <t>Increased for multi-region architecture and policy-as-code design complexity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1.5</v>
      </c>
      <c r="D5" s="37" t="inlineStr">
        <is>
          <t>Large complexity multiplier; covers IaC automation + two-region deployment + ITSM and SIEM integrations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1.2</v>
      </c>
      <c r="D6" s="40" t="inlineStr">
        <is>
          <t>Compliance validation and DR failover testing add overhead beyond standard functional testing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1.2</v>
      </c>
      <c r="D7" s="37" t="inlineStr">
        <is>
          <t>Staged rollout across three prod environments with change-approval gate at each phase</t>
        </is>
      </c>
    </row>
    <row r="8" ht="26" customHeight="1">
      <c r="A8" s="39" t="inlineStr">
        <is>
          <t>Management</t>
        </is>
      </c>
      <c r="B8" s="40" t="inlineStr">
        <is>
          <t>management_factor</t>
        </is>
      </c>
      <c r="C8" s="42" t="n">
        <v>1</v>
      </c>
      <c r="D8" s="40" t="inlineStr">
        <is>
          <t>Standard overhead applied to PM and technical leadership rows (10% of engineering hours)</t>
        </is>
      </c>
    </row>
    <row r="10" ht="20" customHeight="1">
      <c r="A10" s="43" t="inlineStr">
        <is>
          <t>EO Sales Engineer Updates Multipliers Based on Customer Scope</t>
        </is>
      </c>
    </row>
  </sheetData>
  <autoFilter ref="A2:D8"/>
  <mergeCells count="2">
    <mergeCell ref="A1:D1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Project kickoff meeting with CTO (James Wu) and Head of Platform Engineering (Priya Nair); align on objectives and timeline</t>
        </is>
      </c>
      <c r="D3" s="45" t="inlineStr">
        <is>
          <t>Project Manager</t>
        </is>
      </c>
      <c r="E3" s="46" t="n">
        <v>8</v>
      </c>
      <c r="F3" s="47" t="n">
        <v>1.2</v>
      </c>
      <c r="G3" s="46" t="n">
        <v>9.6</v>
      </c>
      <c r="H3" s="48" t="n">
        <v>175</v>
      </c>
      <c r="I3" s="49">
        <f>TEXT(9.6*175,"$#,##0")</f>
        <v/>
      </c>
      <c r="J3" s="45" t="inlineStr"/>
      <c r="K3" s="45" t="inlineStr">
        <is>
          <t>Round to 10h in practice</t>
        </is>
      </c>
    </row>
    <row r="4" ht="26" customHeight="1">
      <c r="A4" s="50" t="inlineStr">
        <is>
          <t>Discovery</t>
        </is>
      </c>
      <c r="B4" s="51" t="inlineStr">
        <is>
          <t>Stakeholder Interviews</t>
        </is>
      </c>
      <c r="C4" s="51" t="inlineStr">
        <is>
          <t>Conduct structured interviews with platform team and CISO; document requirements and security baseline expectations</t>
        </is>
      </c>
      <c r="D4" s="51" t="inlineStr">
        <is>
          <t>Solution Architect</t>
        </is>
      </c>
      <c r="E4" s="52" t="n">
        <v>24</v>
      </c>
      <c r="F4" s="53" t="n">
        <v>1.2</v>
      </c>
      <c r="G4" s="52" t="n">
        <v>28.8</v>
      </c>
      <c r="H4" s="54" t="n">
        <v>225</v>
      </c>
      <c r="I4" s="55">
        <f>TEXT(28.8*225,"$#,##0")</f>
        <v/>
      </c>
      <c r="J4" s="51" t="inlineStr"/>
      <c r="K4" s="51" t="inlineStr">
        <is>
          <t>CISO sign-off required before prod changes</t>
        </is>
      </c>
    </row>
    <row r="5" ht="26" customHeight="1">
      <c r="A5" s="44" t="inlineStr">
        <is>
          <t>Discovery</t>
        </is>
      </c>
      <c r="B5" s="45" t="inlineStr">
        <is>
          <t>Current State Assessment</t>
        </is>
      </c>
      <c r="C5" s="45" t="inlineStr">
        <is>
          <t>Assess existing AWS footprint; document account structure; inventory manual provisioning procedures and shared credentials</t>
        </is>
      </c>
      <c r="D5" s="45" t="inlineStr">
        <is>
          <t>Solutions Engineer</t>
        </is>
      </c>
      <c r="E5" s="46" t="n">
        <v>32</v>
      </c>
      <c r="F5" s="47" t="n">
        <v>1.2</v>
      </c>
      <c r="G5" s="46" t="n">
        <v>38.4</v>
      </c>
      <c r="H5" s="48" t="n">
        <v>200</v>
      </c>
      <c r="I5" s="49">
        <f>TEXT(38.4*200,"$#,##0")</f>
        <v/>
      </c>
      <c r="J5" s="45" t="inlineStr"/>
      <c r="K5" s="45" t="inlineStr">
        <is>
          <t>Access to existing AWS console and IAM reports needed</t>
        </is>
      </c>
    </row>
    <row r="6" ht="26" customHeight="1">
      <c r="A6" s="50" t="inlineStr">
        <is>
          <t>Discovery</t>
        </is>
      </c>
      <c r="B6" s="51" t="inlineStr">
        <is>
          <t>Cloud Readiness Assessment</t>
        </is>
      </c>
      <c r="C6" s="51" t="inlineStr">
        <is>
          <t>Evaluate AWS Control Tower / Organizations readiness; assess existing SCPs and IAM policies; identify gaps</t>
        </is>
      </c>
      <c r="D6" s="51" t="inlineStr">
        <is>
          <t>Solution Architect</t>
        </is>
      </c>
      <c r="E6" s="52" t="n">
        <v>24</v>
      </c>
      <c r="F6" s="53" t="n">
        <v>1.2</v>
      </c>
      <c r="G6" s="52" t="n">
        <v>28.8</v>
      </c>
      <c r="H6" s="54" t="n">
        <v>225</v>
      </c>
      <c r="I6" s="55">
        <f>TEXT(28.8*225,"$#,##0")</f>
        <v/>
      </c>
      <c r="J6" s="51" t="inlineStr"/>
      <c r="K6" s="51" t="inlineStr">
        <is>
          <t>Output feeds architecture design phase</t>
        </is>
      </c>
    </row>
    <row r="7" ht="26" customHeight="1">
      <c r="A7" s="44" t="inlineStr">
        <is>
          <t>Discovery</t>
        </is>
      </c>
      <c r="B7" s="45" t="inlineStr">
        <is>
          <t>Compliance &amp; Regulatory Assessment</t>
        </is>
      </c>
      <c r="C7" s="45" t="inlineStr">
        <is>
          <t>Map ISO 27001 controls and internal security baseline to AWS service capabilities; document evidence requirements for Q2 2026 review</t>
        </is>
      </c>
      <c r="D7" s="45" t="inlineStr">
        <is>
          <t>Security Engineer</t>
        </is>
      </c>
      <c r="E7" s="46" t="n">
        <v>32</v>
      </c>
      <c r="F7" s="47" t="n">
        <v>1.2</v>
      </c>
      <c r="G7" s="46" t="n">
        <v>38.4</v>
      </c>
      <c r="H7" s="48" t="n">
        <v>200</v>
      </c>
      <c r="I7" s="49">
        <f>TEXT(38.4*200,"$#,##0")</f>
        <v/>
      </c>
      <c r="J7" s="45" t="inlineStr"/>
      <c r="K7" s="45" t="inlineStr">
        <is>
          <t>Engage compliance team; document control mapping matrix</t>
        </is>
      </c>
    </row>
    <row r="8" ht="26" customHeight="1">
      <c r="A8" s="50" t="inlineStr">
        <is>
          <t>Discovery</t>
        </is>
      </c>
      <c r="B8" s="51" t="inlineStr">
        <is>
          <t>Identity &amp; Directory Assessment</t>
        </is>
      </c>
      <c r="C8" s="51" t="inlineStr">
        <is>
          <t>Document on-premises IdP configuration; design federation architecture using AWS IAM Identity Center; define attribute mapping</t>
        </is>
      </c>
      <c r="D8" s="51" t="inlineStr">
        <is>
          <t>Security Engineer</t>
        </is>
      </c>
      <c r="E8" s="52" t="n">
        <v>16</v>
      </c>
      <c r="F8" s="53" t="n">
        <v>1.2</v>
      </c>
      <c r="G8" s="52" t="n">
        <v>19.2</v>
      </c>
      <c r="H8" s="54" t="n">
        <v>200</v>
      </c>
      <c r="I8" s="55">
        <f>TEXT(19.2*200,"$#,##0")</f>
        <v/>
      </c>
      <c r="J8" s="51" t="inlineStr"/>
      <c r="K8" s="51" t="inlineStr">
        <is>
          <t>On-prem IdP documentation required from Contoso</t>
        </is>
      </c>
    </row>
    <row r="9" ht="26" customHeight="1">
      <c r="A9" s="44" t="inlineStr">
        <is>
          <t>Discovery</t>
        </is>
      </c>
      <c r="B9" s="45" t="inlineStr">
        <is>
          <t>ITSM &amp; SIEM Integration Assessment</t>
        </is>
      </c>
      <c r="C9" s="45" t="inlineStr">
        <is>
          <t>Review existing ticketing platform and SIEM; define integration patterns for change approval workflow and security alert forwarding</t>
        </is>
      </c>
      <c r="D9" s="45" t="inlineStr">
        <is>
          <t>Solutions Engineer</t>
        </is>
      </c>
      <c r="E9" s="46" t="n">
        <v>16</v>
      </c>
      <c r="F9" s="47" t="n">
        <v>1.2</v>
      </c>
      <c r="G9" s="46" t="n">
        <v>19.2</v>
      </c>
      <c r="H9" s="48" t="n">
        <v>200</v>
      </c>
      <c r="I9" s="49">
        <f>TEXT(19.2*200,"$#,##0")</f>
        <v/>
      </c>
      <c r="J9" s="45" t="inlineStr"/>
      <c r="K9" s="45" t="inlineStr">
        <is>
          <t>Integration scope confirmed with IT Delivery Manager</t>
        </is>
      </c>
    </row>
    <row r="10" ht="26" customHeight="1">
      <c r="A10" s="50" t="inlineStr">
        <is>
          <t>Discovery</t>
        </is>
      </c>
      <c r="B10" s="51" t="inlineStr">
        <is>
          <t>Gap Analysis &amp; Risk Assessment</t>
        </is>
      </c>
      <c r="C10" s="51" t="inlineStr">
        <is>
          <t>Identify gaps between current and target state; document risks and mitigations; present findings to James Wu and Priya Nair</t>
        </is>
      </c>
      <c r="D10" s="51" t="inlineStr">
        <is>
          <t>Solution Architect</t>
        </is>
      </c>
      <c r="E10" s="52" t="n">
        <v>16</v>
      </c>
      <c r="F10" s="53" t="n">
        <v>1.2</v>
      </c>
      <c r="G10" s="52" t="n">
        <v>19.2</v>
      </c>
      <c r="H10" s="54" t="n">
        <v>225</v>
      </c>
      <c r="I10" s="55">
        <f>TEXT(19.2*225,"$#,##0")</f>
        <v/>
      </c>
      <c r="J10" s="51" t="inlineStr"/>
      <c r="K10" s="51" t="inlineStr">
        <is>
          <t>Feeds planning and architecture phases</t>
        </is>
      </c>
    </row>
    <row r="11" ht="26" customHeight="1">
      <c r="A11" s="44" t="inlineStr">
        <is>
          <t>Discovery</t>
        </is>
      </c>
      <c r="B11" s="45" t="inlineStr">
        <is>
          <t>Discovery Report</t>
        </is>
      </c>
      <c r="C11" s="45" t="inlineStr">
        <is>
          <t>Document all findings; produce current-state assessment report with prioritised recommendations</t>
        </is>
      </c>
      <c r="D11" s="45" t="inlineStr">
        <is>
          <t>Technical Writer</t>
        </is>
      </c>
      <c r="E11" s="46" t="n">
        <v>16</v>
      </c>
      <c r="F11" s="47" t="n">
        <v>1.2</v>
      </c>
      <c r="G11" s="46" t="n">
        <v>19.2</v>
      </c>
      <c r="H11" s="48" t="n">
        <v>125</v>
      </c>
      <c r="I11" s="49">
        <f>TEXT(19.2*125,"$#,##0")</f>
        <v/>
      </c>
      <c r="J11" s="45" t="inlineStr"/>
      <c r="K11" s="45" t="inlineStr">
        <is>
          <t>Deliverable: Discovery &amp; Assessment Report</t>
        </is>
      </c>
    </row>
    <row r="12" ht="26" customHeight="1">
      <c r="A12" s="50" t="inlineStr">
        <is>
          <t>Planning</t>
        </is>
      </c>
      <c r="B12" s="51" t="inlineStr">
        <is>
          <t>Detailed Architecture Design</t>
        </is>
      </c>
      <c r="C12" s="51" t="inlineStr">
        <is>
          <t>Design AWS Control Tower landing zone with OU structure, account vending, and guardrail framework for ap-southeast-2 and ap-southeast-4</t>
        </is>
      </c>
      <c r="D12" s="51" t="inlineStr">
        <is>
          <t>Solution Architect</t>
        </is>
      </c>
      <c r="E12" s="52" t="n">
        <v>40</v>
      </c>
      <c r="F12" s="53" t="n">
        <v>1.3</v>
      </c>
      <c r="G12" s="52" t="n">
        <v>52</v>
      </c>
      <c r="H12" s="54" t="n">
        <v>225</v>
      </c>
      <c r="I12" s="55">
        <f>TEXT(52*225,"$#,##0")</f>
        <v/>
      </c>
      <c r="J12" s="51" t="inlineStr"/>
      <c r="K12" s="51" t="inlineStr">
        <is>
          <t>Based on discovery findings</t>
        </is>
      </c>
    </row>
    <row r="13" ht="26" customHeight="1">
      <c r="A13" s="44" t="inlineStr">
        <is>
          <t>Planning</t>
        </is>
      </c>
      <c r="B13" s="45" t="inlineStr">
        <is>
          <t>IaC Framework Design</t>
        </is>
      </c>
      <c r="C13" s="45" t="inlineStr">
        <is>
          <t>Design Terraform / CloudFormation module structure for account provisioning; define pipeline and state management approach</t>
        </is>
      </c>
      <c r="D13" s="45" t="inlineStr">
        <is>
          <t>Solutions Engineer</t>
        </is>
      </c>
      <c r="E13" s="46" t="n">
        <v>32</v>
      </c>
      <c r="F13" s="47" t="n">
        <v>1.3</v>
      </c>
      <c r="G13" s="46" t="n">
        <v>41.6</v>
      </c>
      <c r="H13" s="48" t="n">
        <v>200</v>
      </c>
      <c r="I13" s="49">
        <f>TEXT(41.6*200,"$#,##0")</f>
        <v/>
      </c>
      <c r="J13" s="45" t="inlineStr"/>
      <c r="K13" s="45" t="inlineStr">
        <is>
          <t>IaC toolchain selection confirmed with platform team</t>
        </is>
      </c>
    </row>
    <row r="14" ht="26" customHeight="1">
      <c r="A14" s="50" t="inlineStr">
        <is>
          <t>Planning</t>
        </is>
      </c>
      <c r="B14" s="51" t="inlineStr">
        <is>
          <t>Policy-as-Code Design</t>
        </is>
      </c>
      <c r="C14" s="51" t="inlineStr">
        <is>
          <t>Design preventive SCPs and detective AWS Config rules; define break-glass procedure for emergency console access; document no-console-access enforcement</t>
        </is>
      </c>
      <c r="D14" s="51" t="inlineStr">
        <is>
          <t>Security Engineer</t>
        </is>
      </c>
      <c r="E14" s="52" t="n">
        <v>32</v>
      </c>
      <c r="F14" s="53" t="n">
        <v>1.3</v>
      </c>
      <c r="G14" s="52" t="n">
        <v>41.6</v>
      </c>
      <c r="H14" s="54" t="n">
        <v>200</v>
      </c>
      <c r="I14" s="55">
        <f>TEXT(41.6*200,"$#,##0")</f>
        <v/>
      </c>
      <c r="J14" s="51" t="inlineStr"/>
      <c r="K14" s="51" t="inlineStr">
        <is>
          <t>Feeds Development phase for guardrail implementation</t>
        </is>
      </c>
    </row>
    <row r="15" ht="26" customHeight="1">
      <c r="A15" s="44" t="inlineStr">
        <is>
          <t>Planning</t>
        </is>
      </c>
      <c r="B15" s="45" t="inlineStr">
        <is>
          <t>DR Architecture Design</t>
        </is>
      </c>
      <c r="C15" s="45" t="inlineStr">
        <is>
          <t>Design multi-region DR replication and failover architecture for ap-southeast-2 to ap-southeast-4; define RTO/RPO targets</t>
        </is>
      </c>
      <c r="D15" s="45" t="inlineStr">
        <is>
          <t>Solution Architect</t>
        </is>
      </c>
      <c r="E15" s="46" t="n">
        <v>24</v>
      </c>
      <c r="F15" s="47" t="n">
        <v>1.3</v>
      </c>
      <c r="G15" s="46" t="n">
        <v>31.2</v>
      </c>
      <c r="H15" s="48" t="n">
        <v>225</v>
      </c>
      <c r="I15" s="49">
        <f>TEXT(31.2*225,"$#,##0")</f>
        <v/>
      </c>
      <c r="J15" s="45" t="inlineStr"/>
      <c r="K15" s="45" t="inlineStr">
        <is>
          <t>Coordinate with Contoso infrastructure team</t>
        </is>
      </c>
    </row>
    <row r="16" ht="26" customHeight="1">
      <c r="A16" s="50" t="inlineStr">
        <is>
          <t>Planning</t>
        </is>
      </c>
      <c r="B16" s="51" t="inlineStr">
        <is>
          <t>Network &amp; Connectivity Design</t>
        </is>
      </c>
      <c r="C16" s="51" t="inlineStr">
        <is>
          <t>Design Transit Gateway, VPC topology, and connectivity between regions and on-premises data centres</t>
        </is>
      </c>
      <c r="D16" s="51" t="inlineStr">
        <is>
          <t>Cloud Engineer</t>
        </is>
      </c>
      <c r="E16" s="52" t="n">
        <v>24</v>
      </c>
      <c r="F16" s="53" t="n">
        <v>1.3</v>
      </c>
      <c r="G16" s="52" t="n">
        <v>31.2</v>
      </c>
      <c r="H16" s="54" t="n">
        <v>200</v>
      </c>
      <c r="I16" s="55">
        <f>TEXT(31.2*200,"$#,##0")</f>
        <v/>
      </c>
      <c r="J16" s="51" t="inlineStr"/>
      <c r="K16" s="51" t="inlineStr">
        <is>
          <t>Two data centres and two AWS regions in scope</t>
        </is>
      </c>
    </row>
    <row r="17" ht="26" customHeight="1">
      <c r="A17" s="44" t="inlineStr">
        <is>
          <t>Planning</t>
        </is>
      </c>
      <c r="B17" s="45" t="inlineStr">
        <is>
          <t>Security Architecture Design</t>
        </is>
      </c>
      <c r="C17" s="45" t="inlineStr">
        <is>
          <t>Design centralised security monitoring: Security Hub, GuardDuty, Config aggregation, and CloudTrail for audit evidence</t>
        </is>
      </c>
      <c r="D17" s="45" t="inlineStr">
        <is>
          <t>Security Engineer</t>
        </is>
      </c>
      <c r="E17" s="46" t="n">
        <v>24</v>
      </c>
      <c r="F17" s="47" t="n">
        <v>1.3</v>
      </c>
      <c r="G17" s="46" t="n">
        <v>31.2</v>
      </c>
      <c r="H17" s="48" t="n">
        <v>200</v>
      </c>
      <c r="I17" s="49">
        <f>TEXT(31.2*200,"$#,##0")</f>
        <v/>
      </c>
      <c r="J17" s="45" t="inlineStr"/>
      <c r="K17" s="45" t="inlineStr">
        <is>
          <t>Must produce audit-ready evidence before April 2026</t>
        </is>
      </c>
    </row>
    <row r="18" ht="26" customHeight="1">
      <c r="A18" s="50" t="inlineStr">
        <is>
          <t>Planning</t>
        </is>
      </c>
      <c r="B18" s="51" t="inlineStr">
        <is>
          <t>Identity Federation Design</t>
        </is>
      </c>
      <c r="C18" s="51" t="inlineStr">
        <is>
          <t>Detail IAM Identity Center permission set design, attribute-based access control, and SSO application assignments</t>
        </is>
      </c>
      <c r="D18" s="51" t="inlineStr">
        <is>
          <t>Security Engineer</t>
        </is>
      </c>
      <c r="E18" s="52" t="n">
        <v>16</v>
      </c>
      <c r="F18" s="53" t="n">
        <v>1.3</v>
      </c>
      <c r="G18" s="52" t="n">
        <v>20.8</v>
      </c>
      <c r="H18" s="54" t="n">
        <v>200</v>
      </c>
      <c r="I18" s="55">
        <f>TEXT(20.8*200,"$#,##0")</f>
        <v/>
      </c>
      <c r="J18" s="51" t="inlineStr"/>
      <c r="K18" s="51" t="inlineStr">
        <is>
          <t>On-prem IdP federation architecture confirmed in Discovery</t>
        </is>
      </c>
    </row>
    <row r="19" ht="26" customHeight="1">
      <c r="A19" s="44" t="inlineStr">
        <is>
          <t>Planning</t>
        </is>
      </c>
      <c r="B19" s="45" t="inlineStr">
        <is>
          <t>Architecture Documentation</t>
        </is>
      </c>
      <c r="C19" s="45" t="inlineStr">
        <is>
          <t>Produce as-designed architecture diagrams; document design decisions and rationale for CISO review</t>
        </is>
      </c>
      <c r="D19" s="45" t="inlineStr">
        <is>
          <t>Technical Writer</t>
        </is>
      </c>
      <c r="E19" s="46" t="n">
        <v>24</v>
      </c>
      <c r="F19" s="47" t="n">
        <v>1.3</v>
      </c>
      <c r="G19" s="46" t="n">
        <v>31.2</v>
      </c>
      <c r="H19" s="48" t="n">
        <v>125</v>
      </c>
      <c r="I19" s="49">
        <f>TEXT(31.2*125,"$#,##0")</f>
        <v/>
      </c>
      <c r="J19" s="45" t="inlineStr"/>
      <c r="K19" s="45" t="inlineStr">
        <is>
          <t>Deliverable: Architecture Design Document</t>
        </is>
      </c>
    </row>
    <row r="20" ht="26" customHeight="1">
      <c r="A20" s="50" t="inlineStr">
        <is>
          <t>Development</t>
        </is>
      </c>
      <c r="B20" s="51" t="inlineStr">
        <is>
          <t>AWS Control Tower Deployment</t>
        </is>
      </c>
      <c r="C20" s="51" t="inlineStr">
        <is>
          <t>Deploy AWS Control Tower in ap-southeast-2; configure management account, log archive, and audit accounts; establish OU hierarchy</t>
        </is>
      </c>
      <c r="D20" s="51" t="inlineStr">
        <is>
          <t>Cloud Engineer</t>
        </is>
      </c>
      <c r="E20" s="52" t="n">
        <v>40</v>
      </c>
      <c r="F20" s="53" t="n">
        <v>1.5</v>
      </c>
      <c r="G20" s="52" t="n">
        <v>60</v>
      </c>
      <c r="H20" s="54" t="n">
        <v>225</v>
      </c>
      <c r="I20" s="55">
        <f>TEXT(60*225,"$#,##0")</f>
        <v/>
      </c>
      <c r="J20" s="51" t="inlineStr"/>
      <c r="K20" s="51" t="inlineStr">
        <is>
          <t>AWS-certified architect rate applies; foundation for all workloads</t>
        </is>
      </c>
    </row>
    <row r="21" ht="26" customHeight="1">
      <c r="A21" s="44" t="inlineStr">
        <is>
          <t>Development</t>
        </is>
      </c>
      <c r="B21" s="45" t="inlineStr">
        <is>
          <t>Account Vending Machine</t>
        </is>
      </c>
      <c r="C21" s="45" t="inlineStr">
        <is>
          <t>Develop and deploy IaC-based account vending pipeline; integrate with ITSM for change-approval-gated provisioning</t>
        </is>
      </c>
      <c r="D21" s="45" t="inlineStr">
        <is>
          <t>Solutions Engineer</t>
        </is>
      </c>
      <c r="E21" s="46" t="n">
        <v>48</v>
      </c>
      <c r="F21" s="47" t="n">
        <v>1.5</v>
      </c>
      <c r="G21" s="46" t="n">
        <v>72</v>
      </c>
      <c r="H21" s="48" t="n">
        <v>200</v>
      </c>
      <c r="I21" s="49">
        <f>TEXT(72*200,"$#,##0")</f>
        <v/>
      </c>
      <c r="J21" s="45" t="inlineStr"/>
      <c r="K21" s="45" t="inlineStr">
        <is>
          <t>ITSM integration required before go-live</t>
        </is>
      </c>
    </row>
    <row r="22" ht="26" customHeight="1">
      <c r="A22" s="50" t="inlineStr">
        <is>
          <t>Development</t>
        </is>
      </c>
      <c r="B22" s="51" t="inlineStr">
        <is>
          <t>IaC Module Library</t>
        </is>
      </c>
      <c r="C22" s="51" t="inlineStr">
        <is>
          <t>Build reusable Terraform modules for VPC networking; IAM roles; logging; tagging; and environment baseline configuration</t>
        </is>
      </c>
      <c r="D22" s="51" t="inlineStr">
        <is>
          <t>Solutions Engineer</t>
        </is>
      </c>
      <c r="E22" s="52" t="n">
        <v>64</v>
      </c>
      <c r="F22" s="53" t="n">
        <v>1.5</v>
      </c>
      <c r="G22" s="52" t="n">
        <v>96</v>
      </c>
      <c r="H22" s="54" t="n">
        <v>200</v>
      </c>
      <c r="I22" s="55">
        <f>TEXT(96*200,"$#,##0")</f>
        <v/>
      </c>
      <c r="J22" s="51" t="inlineStr"/>
      <c r="K22" s="51" t="inlineStr">
        <is>
          <t>Modules must meet internal security baseline standards</t>
        </is>
      </c>
    </row>
    <row r="23" ht="26" customHeight="1">
      <c r="A23" s="44" t="inlineStr">
        <is>
          <t>Development</t>
        </is>
      </c>
      <c r="B23" s="45" t="inlineStr">
        <is>
          <t>Preventive Guardrails (SCPs)</t>
        </is>
      </c>
      <c r="C23" s="45" t="inlineStr">
        <is>
          <t>Implement Service Control Policies blocking console access in production; restrict disallowed services; enforce encryption at rest and in transit</t>
        </is>
      </c>
      <c r="D23" s="45" t="inlineStr">
        <is>
          <t>Security Engineer</t>
        </is>
      </c>
      <c r="E23" s="46" t="n">
        <v>40</v>
      </c>
      <c r="F23" s="47" t="n">
        <v>1.5</v>
      </c>
      <c r="G23" s="46" t="n">
        <v>60</v>
      </c>
      <c r="H23" s="48" t="n">
        <v>225</v>
      </c>
      <c r="I23" s="49">
        <f>TEXT(60*225,"$#,##0")</f>
        <v/>
      </c>
      <c r="J23" s="45" t="inlineStr"/>
      <c r="K23" s="45" t="inlineStr">
        <is>
          <t>Security Engineer rate + $25 for CISSP specialisation; CISO review required</t>
        </is>
      </c>
    </row>
    <row r="24" ht="26" customHeight="1">
      <c r="A24" s="50" t="inlineStr">
        <is>
          <t>Development</t>
        </is>
      </c>
      <c r="B24" s="51" t="inlineStr">
        <is>
          <t>Detective Guardrails (Config Rules)</t>
        </is>
      </c>
      <c r="C24" s="51" t="inlineStr">
        <is>
          <t>Deploy AWS Config conformance packs for ISO 27001; create custom Config rules for internal security baseline; configure auto-remediation</t>
        </is>
      </c>
      <c r="D24" s="51" t="inlineStr">
        <is>
          <t>Security Engineer</t>
        </is>
      </c>
      <c r="E24" s="52" t="n">
        <v>40</v>
      </c>
      <c r="F24" s="53" t="n">
        <v>1.5</v>
      </c>
      <c r="G24" s="52" t="n">
        <v>60</v>
      </c>
      <c r="H24" s="54" t="n">
        <v>200</v>
      </c>
      <c r="I24" s="55">
        <f>TEXT(60*200,"$#,##0")</f>
        <v/>
      </c>
      <c r="J24" s="51" t="inlineStr"/>
      <c r="K24" s="51" t="inlineStr">
        <is>
          <t>Auto-remediation rules must be tested before enabling in prod</t>
        </is>
      </c>
    </row>
    <row r="25" ht="26" customHeight="1">
      <c r="A25" s="44" t="inlineStr">
        <is>
          <t>Development</t>
        </is>
      </c>
      <c r="B25" s="45" t="inlineStr">
        <is>
          <t>Centralised Security Monitoring</t>
        </is>
      </c>
      <c r="C25" s="45" t="inlineStr">
        <is>
          <t>Configure AWS Security Hub with aggregated findings; enable GuardDuty across all accounts; configure CloudTrail with log integrity validation</t>
        </is>
      </c>
      <c r="D25" s="45" t="inlineStr">
        <is>
          <t>Security Engineer</t>
        </is>
      </c>
      <c r="E25" s="46" t="n">
        <v>32</v>
      </c>
      <c r="F25" s="47" t="n">
        <v>1.5</v>
      </c>
      <c r="G25" s="46" t="n">
        <v>48</v>
      </c>
      <c r="H25" s="48" t="n">
        <v>200</v>
      </c>
      <c r="I25" s="49">
        <f>TEXT(48*200,"$#,##0")</f>
        <v/>
      </c>
      <c r="J25" s="45" t="inlineStr"/>
      <c r="K25" s="45" t="inlineStr">
        <is>
          <t>Produces audit evidence for Q2 2026 regulatory review</t>
        </is>
      </c>
    </row>
    <row r="26" ht="26" customHeight="1">
      <c r="A26" s="50" t="inlineStr">
        <is>
          <t>Development</t>
        </is>
      </c>
      <c r="B26" s="51" t="inlineStr">
        <is>
          <t>SIEM Integration</t>
        </is>
      </c>
      <c r="C26" s="51" t="inlineStr">
        <is>
          <t>Develop and deploy integration to forward Security Hub findings and CloudTrail events to existing SIEM platform</t>
        </is>
      </c>
      <c r="D26" s="51" t="inlineStr">
        <is>
          <t>Solutions Engineer</t>
        </is>
      </c>
      <c r="E26" s="52" t="n">
        <v>32</v>
      </c>
      <c r="F26" s="53" t="n">
        <v>1.5</v>
      </c>
      <c r="G26" s="52" t="n">
        <v>48</v>
      </c>
      <c r="H26" s="54" t="n">
        <v>200</v>
      </c>
      <c r="I26" s="55">
        <f>TEXT(48*200,"$#,##0")</f>
        <v/>
      </c>
      <c r="J26" s="51" t="inlineStr"/>
      <c r="K26" s="51" t="inlineStr">
        <is>
          <t>SIEM API credentials and endpoint documentation required</t>
        </is>
      </c>
    </row>
    <row r="27" ht="26" customHeight="1">
      <c r="A27" s="44" t="inlineStr">
        <is>
          <t>Development</t>
        </is>
      </c>
      <c r="B27" s="45" t="inlineStr">
        <is>
          <t>Identity Federation Implementation</t>
        </is>
      </c>
      <c r="C27" s="45" t="inlineStr">
        <is>
          <t>Configure AWS IAM Identity Center; federate with on-premises IdP; deploy permission sets; configure SSO for workload accounts</t>
        </is>
      </c>
      <c r="D27" s="45" t="inlineStr">
        <is>
          <t>Security Engineer</t>
        </is>
      </c>
      <c r="E27" s="46" t="n">
        <v>32</v>
      </c>
      <c r="F27" s="47" t="n">
        <v>1.5</v>
      </c>
      <c r="G27" s="46" t="n">
        <v>48</v>
      </c>
      <c r="H27" s="48" t="n">
        <v>200</v>
      </c>
      <c r="I27" s="49">
        <f>TEXT(48*200,"$#,##0")</f>
        <v/>
      </c>
      <c r="J27" s="45" t="inlineStr"/>
      <c r="K27" s="45" t="inlineStr">
        <is>
          <t>On-prem IdP team availability required for federation configuration</t>
        </is>
      </c>
    </row>
    <row r="28" ht="26" customHeight="1">
      <c r="A28" s="50" t="inlineStr">
        <is>
          <t>Development</t>
        </is>
      </c>
      <c r="B28" s="51" t="inlineStr">
        <is>
          <t>ITSM Workflow Integration</t>
        </is>
      </c>
      <c r="C28" s="51" t="inlineStr">
        <is>
          <t>Develop change-approval workflow integration between account vending pipeline and existing ITSM; configure approval routing and notifications</t>
        </is>
      </c>
      <c r="D28" s="51" t="inlineStr">
        <is>
          <t>Solutions Engineer</t>
        </is>
      </c>
      <c r="E28" s="52" t="n">
        <v>32</v>
      </c>
      <c r="F28" s="53" t="n">
        <v>1.5</v>
      </c>
      <c r="G28" s="52" t="n">
        <v>48</v>
      </c>
      <c r="H28" s="54" t="n">
        <v>200</v>
      </c>
      <c r="I28" s="55">
        <f>TEXT(48*200,"$#,##0")</f>
        <v/>
      </c>
      <c r="J28" s="51" t="inlineStr"/>
      <c r="K28" s="51" t="inlineStr">
        <is>
          <t>ITSM API access and workflow documentation required</t>
        </is>
      </c>
    </row>
    <row r="29" ht="26" customHeight="1">
      <c r="A29" s="44" t="inlineStr">
        <is>
          <t>Development</t>
        </is>
      </c>
      <c r="B29" s="45" t="inlineStr">
        <is>
          <t>DR Region Baseline</t>
        </is>
      </c>
      <c r="C29" s="45" t="inlineStr">
        <is>
          <t>Deploy mirrored baseline in ap-southeast-4; configure cross-region replication for Config, CloudTrail, and Security Hub</t>
        </is>
      </c>
      <c r="D29" s="45" t="inlineStr">
        <is>
          <t>Cloud Engineer</t>
        </is>
      </c>
      <c r="E29" s="46" t="n">
        <v>32</v>
      </c>
      <c r="F29" s="47" t="n">
        <v>1.5</v>
      </c>
      <c r="G29" s="46" t="n">
        <v>48</v>
      </c>
      <c r="H29" s="48" t="n">
        <v>200</v>
      </c>
      <c r="I29" s="49">
        <f>TEXT(48*200,"$#,##0")</f>
        <v/>
      </c>
      <c r="J29" s="45" t="inlineStr"/>
      <c r="K29" s="45" t="inlineStr">
        <is>
          <t>Follows primary region deployment; data sovereignty validated</t>
        </is>
      </c>
    </row>
    <row r="30" ht="26" customHeight="1">
      <c r="A30" s="50" t="inlineStr">
        <is>
          <t>Development</t>
        </is>
      </c>
      <c r="B30" s="51" t="inlineStr">
        <is>
          <t>Network Infrastructure Deployment</t>
        </is>
      </c>
      <c r="C30" s="51" t="inlineStr">
        <is>
          <t>Deploy Transit Gateway; configure VPC peering / attachments; establish Direct Connect or VPN connectivity to on-premises data centres</t>
        </is>
      </c>
      <c r="D30" s="51" t="inlineStr">
        <is>
          <t>Cloud Engineer</t>
        </is>
      </c>
      <c r="E30" s="52" t="n">
        <v>40</v>
      </c>
      <c r="F30" s="53" t="n">
        <v>1.5</v>
      </c>
      <c r="G30" s="52" t="n">
        <v>60</v>
      </c>
      <c r="H30" s="54" t="n">
        <v>200</v>
      </c>
      <c r="I30" s="55">
        <f>TEXT(60*200,"$#,##0")</f>
        <v/>
      </c>
      <c r="J30" s="51" t="inlineStr"/>
      <c r="K30" s="51" t="inlineStr">
        <is>
          <t>Network design approved in Planning phase required</t>
        </is>
      </c>
    </row>
    <row r="31" ht="26" customHeight="1">
      <c r="A31" s="44" t="inlineStr">
        <is>
          <t>Development</t>
        </is>
      </c>
      <c r="B31" s="45" t="inlineStr">
        <is>
          <t>Workload Onboarding (3 Prod Environments)</t>
        </is>
      </c>
      <c r="C31" s="45" t="inlineStr">
        <is>
          <t>Onboard existing three production environments into new account structure; apply guardrails without service interruption</t>
        </is>
      </c>
      <c r="D31" s="45" t="inlineStr">
        <is>
          <t>Solutions Engineer</t>
        </is>
      </c>
      <c r="E31" s="46" t="n">
        <v>48</v>
      </c>
      <c r="F31" s="47" t="n">
        <v>1.5</v>
      </c>
      <c r="G31" s="46" t="n">
        <v>72</v>
      </c>
      <c r="H31" s="48" t="n">
        <v>200</v>
      </c>
      <c r="I31" s="49">
        <f>TEXT(72*200,"$#,##0")</f>
        <v/>
      </c>
      <c r="J31" s="45" t="inlineStr"/>
      <c r="K31" s="45" t="inlineStr">
        <is>
          <t>Change window approvals required; CISO sign-off before prod changes</t>
        </is>
      </c>
    </row>
    <row r="32" ht="26" customHeight="1">
      <c r="A32" s="50" t="inlineStr">
        <is>
          <t>Development</t>
        </is>
      </c>
      <c r="B32" s="51" t="inlineStr">
        <is>
          <t>CI/CD Pipeline for IaC</t>
        </is>
      </c>
      <c r="C32" s="51" t="inlineStr">
        <is>
          <t>Implement GitOps pipeline for IaC deployment; integrate with change approval gate; configure automated policy compliance checks</t>
        </is>
      </c>
      <c r="D32" s="51" t="inlineStr">
        <is>
          <t>DevOps Engineer</t>
        </is>
      </c>
      <c r="E32" s="52" t="n">
        <v>40</v>
      </c>
      <c r="F32" s="53" t="n">
        <v>1.5</v>
      </c>
      <c r="G32" s="52" t="n">
        <v>60</v>
      </c>
      <c r="H32" s="54" t="n">
        <v>200</v>
      </c>
      <c r="I32" s="55">
        <f>TEXT(60*200,"$#,##0")</f>
        <v/>
      </c>
      <c r="J32" s="51" t="inlineStr"/>
      <c r="K32" s="51" t="inlineStr">
        <is>
          <t>Pipeline must enforce no-manual-deployment policy</t>
        </is>
      </c>
    </row>
    <row r="33" ht="26" customHeight="1">
      <c r="A33" s="44" t="inlineStr">
        <is>
          <t>Development</t>
        </is>
      </c>
      <c r="B33" s="45" t="inlineStr">
        <is>
          <t>Configuration Documentation</t>
        </is>
      </c>
      <c r="C33" s="45" t="inlineStr">
        <is>
          <t>Document all configurations; produce runbook for account vending and guardrail management</t>
        </is>
      </c>
      <c r="D33" s="45" t="inlineStr">
        <is>
          <t>Technical Writer</t>
        </is>
      </c>
      <c r="E33" s="46" t="n">
        <v>32</v>
      </c>
      <c r="F33" s="47" t="n">
        <v>1.5</v>
      </c>
      <c r="G33" s="46" t="n">
        <v>48</v>
      </c>
      <c r="H33" s="48" t="n">
        <v>125</v>
      </c>
      <c r="I33" s="49">
        <f>TEXT(48*125,"$#,##0")</f>
        <v/>
      </c>
      <c r="J33" s="45" t="inlineStr"/>
      <c r="K33" s="45" t="inlineStr">
        <is>
          <t>Deliverable: Configuration and Operations Guide</t>
        </is>
      </c>
    </row>
    <row r="34" ht="26" customHeight="1">
      <c r="A34" s="50" t="inlineStr">
        <is>
          <t>Testing</t>
        </is>
      </c>
      <c r="B34" s="51" t="inlineStr">
        <is>
          <t>Test Plan Development</t>
        </is>
      </c>
      <c r="C34" s="51" t="inlineStr">
        <is>
          <t>Create test plan covering account provisioning, guardrail enforcement, identity federation, SIEM integration, and DR failover</t>
        </is>
      </c>
      <c r="D34" s="51" t="inlineStr">
        <is>
          <t>QA Engineer</t>
        </is>
      </c>
      <c r="E34" s="52" t="n">
        <v>16</v>
      </c>
      <c r="F34" s="53" t="n">
        <v>1.2</v>
      </c>
      <c r="G34" s="52" t="n">
        <v>19.2</v>
      </c>
      <c r="H34" s="54" t="n">
        <v>150</v>
      </c>
      <c r="I34" s="55">
        <f>TEXT(19.2*150,"$#,##0")</f>
        <v/>
      </c>
      <c r="J34" s="51" t="inlineStr"/>
      <c r="K34" s="51" t="inlineStr">
        <is>
          <t>Test plan requires sign-off from Priya Nair before execution</t>
        </is>
      </c>
    </row>
    <row r="35" ht="26" customHeight="1">
      <c r="A35" s="44" t="inlineStr">
        <is>
          <t>Testing</t>
        </is>
      </c>
      <c r="B35" s="45" t="inlineStr">
        <is>
          <t>Functional Testing — Account Vending</t>
        </is>
      </c>
      <c r="C35" s="45" t="inlineStr">
        <is>
          <t>Test automated account provisioning end-to-end; validate ITSM change approval workflow; confirm tagging and baseline configuration</t>
        </is>
      </c>
      <c r="D35" s="45" t="inlineStr">
        <is>
          <t>QA Engineer</t>
        </is>
      </c>
      <c r="E35" s="46" t="n">
        <v>24</v>
      </c>
      <c r="F35" s="47" t="n">
        <v>1.2</v>
      </c>
      <c r="G35" s="46" t="n">
        <v>28.8</v>
      </c>
      <c r="H35" s="48" t="n">
        <v>150</v>
      </c>
      <c r="I35" s="49">
        <f>TEXT(28.8*150,"$#,##0")</f>
        <v/>
      </c>
      <c r="J35" s="45" t="inlineStr"/>
      <c r="K35" s="45" t="inlineStr">
        <is>
          <t>Account vending machine deployment complete</t>
        </is>
      </c>
    </row>
    <row r="36" ht="26" customHeight="1">
      <c r="A36" s="50" t="inlineStr">
        <is>
          <t>Testing</t>
        </is>
      </c>
      <c r="B36" s="51" t="inlineStr">
        <is>
          <t>Functional Testing — Guardrails</t>
        </is>
      </c>
      <c r="C36" s="51" t="inlineStr">
        <is>
          <t>Validate preventive SCPs block prohibited actions; confirm detective Config rules fire alerts and trigger auto-remediation correctly</t>
        </is>
      </c>
      <c r="D36" s="51" t="inlineStr">
        <is>
          <t>Security Engineer</t>
        </is>
      </c>
      <c r="E36" s="52" t="n">
        <v>24</v>
      </c>
      <c r="F36" s="53" t="n">
        <v>1.2</v>
      </c>
      <c r="G36" s="52" t="n">
        <v>28.8</v>
      </c>
      <c r="H36" s="54" t="n">
        <v>200</v>
      </c>
      <c r="I36" s="55">
        <f>TEXT(28.8*200,"$#,##0")</f>
        <v/>
      </c>
      <c r="J36" s="51" t="inlineStr"/>
      <c r="K36" s="51" t="inlineStr">
        <is>
          <t>Test in non-production environment first; then validate in prod replica</t>
        </is>
      </c>
    </row>
    <row r="37" ht="26" customHeight="1">
      <c r="A37" s="44" t="inlineStr">
        <is>
          <t>Testing</t>
        </is>
      </c>
      <c r="B37" s="45" t="inlineStr">
        <is>
          <t>Identity Federation Testing</t>
        </is>
      </c>
      <c r="C37" s="45" t="inlineStr">
        <is>
          <t>Validate SSO login flows; test permission set assignments; confirm break-glass access procedure works and is audited</t>
        </is>
      </c>
      <c r="D37" s="45" t="inlineStr">
        <is>
          <t>Security Engineer</t>
        </is>
      </c>
      <c r="E37" s="46" t="n">
        <v>16</v>
      </c>
      <c r="F37" s="47" t="n">
        <v>1.2</v>
      </c>
      <c r="G37" s="46" t="n">
        <v>19.2</v>
      </c>
      <c r="H37" s="48" t="n">
        <v>200</v>
      </c>
      <c r="I37" s="49">
        <f>TEXT(19.2*200,"$#,##0")</f>
        <v/>
      </c>
      <c r="J37" s="45" t="inlineStr"/>
      <c r="K37" s="45" t="inlineStr">
        <is>
          <t>On-prem IdP team participation required for end-to-end test</t>
        </is>
      </c>
    </row>
    <row r="38" ht="26" customHeight="1">
      <c r="A38" s="50" t="inlineStr">
        <is>
          <t>Testing</t>
        </is>
      </c>
      <c r="B38" s="51" t="inlineStr">
        <is>
          <t>SIEM Integration Testing</t>
        </is>
      </c>
      <c r="C38" s="51" t="inlineStr">
        <is>
          <t>Validate Security Hub findings and CloudTrail events are correctly ingested and correlated in existing SIEM</t>
        </is>
      </c>
      <c r="D38" s="51" t="inlineStr">
        <is>
          <t>Solutions Engineer</t>
        </is>
      </c>
      <c r="E38" s="52" t="n">
        <v>16</v>
      </c>
      <c r="F38" s="53" t="n">
        <v>1.2</v>
      </c>
      <c r="G38" s="52" t="n">
        <v>19.2</v>
      </c>
      <c r="H38" s="54" t="n">
        <v>200</v>
      </c>
      <c r="I38" s="55">
        <f>TEXT(19.2*200,"$#,##0")</f>
        <v/>
      </c>
      <c r="J38" s="51" t="inlineStr"/>
      <c r="K38" s="51" t="inlineStr">
        <is>
          <t>SIEM team co-ordination required</t>
        </is>
      </c>
    </row>
    <row r="39" ht="26" customHeight="1">
      <c r="A39" s="44" t="inlineStr">
        <is>
          <t>Testing</t>
        </is>
      </c>
      <c r="B39" s="45" t="inlineStr">
        <is>
          <t>Compliance Validation</t>
        </is>
      </c>
      <c r="C39" s="45" t="inlineStr">
        <is>
          <t>Execute ISO 27001 control checklist; produce compliance evidence package for regulatory review; remediate any findings</t>
        </is>
      </c>
      <c r="D39" s="45" t="inlineStr">
        <is>
          <t>Security Engineer</t>
        </is>
      </c>
      <c r="E39" s="46" t="n">
        <v>32</v>
      </c>
      <c r="F39" s="47" t="n">
        <v>1.2</v>
      </c>
      <c r="G39" s="46" t="n">
        <v>38.4</v>
      </c>
      <c r="H39" s="48" t="n">
        <v>225</v>
      </c>
      <c r="I39" s="49">
        <f>TEXT(38.4*225,"$#,##0")</f>
        <v/>
      </c>
      <c r="J39" s="45" t="inlineStr"/>
      <c r="K39" s="45" t="inlineStr">
        <is>
          <t>Rate includes CISSP specialist premium; must complete before April 2026</t>
        </is>
      </c>
    </row>
    <row r="40" ht="26" customHeight="1">
      <c r="A40" s="50" t="inlineStr">
        <is>
          <t>Testing</t>
        </is>
      </c>
      <c r="B40" s="51" t="inlineStr">
        <is>
          <t>DR Failover Testing</t>
        </is>
      </c>
      <c r="C40" s="51" t="inlineStr">
        <is>
          <t>Conduct DR failover drill for ap-southeast-4; validate RTO &lt; 4h and RPO &lt; 1h; document test results</t>
        </is>
      </c>
      <c r="D40" s="51" t="inlineStr">
        <is>
          <t>Cloud Engineer</t>
        </is>
      </c>
      <c r="E40" s="52" t="n">
        <v>24</v>
      </c>
      <c r="F40" s="53" t="n">
        <v>1.2</v>
      </c>
      <c r="G40" s="52" t="n">
        <v>28.8</v>
      </c>
      <c r="H40" s="54" t="n">
        <v>200</v>
      </c>
      <c r="I40" s="55">
        <f>TEXT(28.8*200,"$#,##0")</f>
        <v/>
      </c>
      <c r="J40" s="51" t="inlineStr"/>
      <c r="K40" s="51" t="inlineStr">
        <is>
          <t>DR failover testing deliverable required for regulatory evidence pack</t>
        </is>
      </c>
    </row>
    <row r="41" ht="26" customHeight="1">
      <c r="A41" s="44" t="inlineStr">
        <is>
          <t>Testing</t>
        </is>
      </c>
      <c r="B41" s="45" t="inlineStr">
        <is>
          <t>Performance &amp; Resilience Testing</t>
        </is>
      </c>
      <c r="C41" s="45" t="inlineStr">
        <is>
          <t>Load-test account vending pipeline; validate guardrail enforcement under concurrent provisioning; confirm no throttling</t>
        </is>
      </c>
      <c r="D41" s="45" t="inlineStr">
        <is>
          <t>Solutions Engineer</t>
        </is>
      </c>
      <c r="E41" s="46" t="n">
        <v>16</v>
      </c>
      <c r="F41" s="47" t="n">
        <v>1.2</v>
      </c>
      <c r="G41" s="46" t="n">
        <v>19.2</v>
      </c>
      <c r="H41" s="48" t="n">
        <v>200</v>
      </c>
      <c r="I41" s="49">
        <f>TEXT(19.2*200,"$#,##0")</f>
        <v/>
      </c>
      <c r="J41" s="45" t="inlineStr"/>
      <c r="K41" s="45" t="inlineStr"/>
    </row>
    <row r="42" ht="26" customHeight="1">
      <c r="A42" s="50" t="inlineStr">
        <is>
          <t>Testing</t>
        </is>
      </c>
      <c r="B42" s="51" t="inlineStr">
        <is>
          <t>UAT Co-ordination</t>
        </is>
      </c>
      <c r="C42" s="51" t="inlineStr">
        <is>
          <t>Co-ordinate UAT with platform team and CISO; facilitate sign-off on all controls before production cutover</t>
        </is>
      </c>
      <c r="D42" s="51" t="inlineStr">
        <is>
          <t>Project Manager</t>
        </is>
      </c>
      <c r="E42" s="52" t="n">
        <v>16</v>
      </c>
      <c r="F42" s="53" t="n">
        <v>1.2</v>
      </c>
      <c r="G42" s="52" t="n">
        <v>19.2</v>
      </c>
      <c r="H42" s="54" t="n">
        <v>175</v>
      </c>
      <c r="I42" s="55">
        <f>TEXT(19.2*175,"$#,##0")</f>
        <v/>
      </c>
      <c r="J42" s="51" t="inlineStr"/>
      <c r="K42" s="51" t="inlineStr">
        <is>
          <t>CISO sign-off is gate for production deployment</t>
        </is>
      </c>
    </row>
    <row r="43" ht="26" customHeight="1">
      <c r="A43" s="44" t="inlineStr">
        <is>
          <t>Testing</t>
        </is>
      </c>
      <c r="B43" s="45" t="inlineStr">
        <is>
          <t>Defect Resolution</t>
        </is>
      </c>
      <c r="C43" s="45" t="inlineStr">
        <is>
          <t>Triage and resolve defects identified during functional and compliance testing; re-test resolved items</t>
        </is>
      </c>
      <c r="D43" s="45" t="inlineStr">
        <is>
          <t>Solutions Engineer</t>
        </is>
      </c>
      <c r="E43" s="46" t="n">
        <v>24</v>
      </c>
      <c r="F43" s="47" t="n">
        <v>1.2</v>
      </c>
      <c r="G43" s="46" t="n">
        <v>28.8</v>
      </c>
      <c r="H43" s="48" t="n">
        <v>200</v>
      </c>
      <c r="I43" s="49">
        <f>TEXT(28.8*200,"$#,##0")</f>
        <v/>
      </c>
      <c r="J43" s="45" t="inlineStr"/>
      <c r="K43" s="45" t="inlineStr">
        <is>
          <t>Buffer allocated for expected defects</t>
        </is>
      </c>
    </row>
    <row r="44" ht="26" customHeight="1">
      <c r="A44" s="50" t="inlineStr">
        <is>
          <t>Testing</t>
        </is>
      </c>
      <c r="B44" s="51" t="inlineStr">
        <is>
          <t>Test Results Report</t>
        </is>
      </c>
      <c r="C44" s="51" t="inlineStr">
        <is>
          <t>Document all test results and sign-off evidence; package compliance artefacts for regulatory submission</t>
        </is>
      </c>
      <c r="D44" s="51" t="inlineStr">
        <is>
          <t>Technical Writer</t>
        </is>
      </c>
      <c r="E44" s="52" t="n">
        <v>16</v>
      </c>
      <c r="F44" s="53" t="n">
        <v>1.2</v>
      </c>
      <c r="G44" s="52" t="n">
        <v>19.2</v>
      </c>
      <c r="H44" s="54" t="n">
        <v>125</v>
      </c>
      <c r="I44" s="55">
        <f>TEXT(19.2*125,"$#,##0")</f>
        <v/>
      </c>
      <c r="J44" s="51" t="inlineStr"/>
      <c r="K44" s="51" t="inlineStr">
        <is>
          <t>Deliverable: Test Results and Compliance Evidence Package</t>
        </is>
      </c>
    </row>
    <row r="45" ht="26" customHeight="1">
      <c r="A45" s="44" t="inlineStr">
        <is>
          <t>Deployment</t>
        </is>
      </c>
      <c r="B45" s="45" t="inlineStr">
        <is>
          <t>Go-Live Planning</t>
        </is>
      </c>
      <c r="C45" s="45" t="inlineStr">
        <is>
          <t>Document production cutover plan and rollback procedures for each of three production environments</t>
        </is>
      </c>
      <c r="D45" s="45" t="inlineStr">
        <is>
          <t>Project Manager</t>
        </is>
      </c>
      <c r="E45" s="46" t="n">
        <v>8</v>
      </c>
      <c r="F45" s="47" t="n">
        <v>1.2</v>
      </c>
      <c r="G45" s="46" t="n">
        <v>9.6</v>
      </c>
      <c r="H45" s="48" t="n">
        <v>175</v>
      </c>
      <c r="I45" s="49">
        <f>TEXT(9.6*175,"$#,##0")</f>
        <v/>
      </c>
      <c r="J45" s="45" t="inlineStr"/>
      <c r="K45" s="45" t="inlineStr">
        <is>
          <t>Cutover plan reviewed and approved by Rachel Moore</t>
        </is>
      </c>
    </row>
    <row r="46" ht="26" customHeight="1">
      <c r="A46" s="50" t="inlineStr">
        <is>
          <t>Deployment</t>
        </is>
      </c>
      <c r="B46" s="51" t="inlineStr">
        <is>
          <t>Production Cutover — Environment 1</t>
        </is>
      </c>
      <c r="C46" s="51" t="inlineStr">
        <is>
          <t>Deploy guardrails and account structure to first production environment; validate no service interruption</t>
        </is>
      </c>
      <c r="D46" s="51" t="inlineStr">
        <is>
          <t>Solutions Engineer</t>
        </is>
      </c>
      <c r="E46" s="52" t="n">
        <v>16</v>
      </c>
      <c r="F46" s="53" t="n">
        <v>1.2</v>
      </c>
      <c r="G46" s="52" t="n">
        <v>19.2</v>
      </c>
      <c r="H46" s="54" t="n">
        <v>200</v>
      </c>
      <c r="I46" s="55">
        <f>TEXT(19.2*200,"$#,##0")</f>
        <v/>
      </c>
      <c r="J46" s="51" t="inlineStr"/>
      <c r="K46" s="51" t="inlineStr">
        <is>
          <t>Change window approved via ITSM</t>
        </is>
      </c>
    </row>
    <row r="47" ht="26" customHeight="1">
      <c r="A47" s="44" t="inlineStr">
        <is>
          <t>Deployment</t>
        </is>
      </c>
      <c r="B47" s="45" t="inlineStr">
        <is>
          <t>Production Cutover — Environment 2</t>
        </is>
      </c>
      <c r="C47" s="45" t="inlineStr">
        <is>
          <t>Deploy guardrails and account structure to second production environment; validate no service interruption</t>
        </is>
      </c>
      <c r="D47" s="45" t="inlineStr">
        <is>
          <t>Solutions Engineer</t>
        </is>
      </c>
      <c r="E47" s="46" t="n">
        <v>16</v>
      </c>
      <c r="F47" s="47" t="n">
        <v>1.2</v>
      </c>
      <c r="G47" s="46" t="n">
        <v>19.2</v>
      </c>
      <c r="H47" s="48" t="n">
        <v>200</v>
      </c>
      <c r="I47" s="49">
        <f>TEXT(19.2*200,"$#,##0")</f>
        <v/>
      </c>
      <c r="J47" s="45" t="inlineStr"/>
      <c r="K47" s="45" t="inlineStr">
        <is>
          <t>Change window approved via ITSM</t>
        </is>
      </c>
    </row>
    <row r="48" ht="26" customHeight="1">
      <c r="A48" s="50" t="inlineStr">
        <is>
          <t>Deployment</t>
        </is>
      </c>
      <c r="B48" s="51" t="inlineStr">
        <is>
          <t>Production Cutover — Environment 3</t>
        </is>
      </c>
      <c r="C48" s="51" t="inlineStr">
        <is>
          <t>Deploy guardrails and account structure to third production environment; validate no service interruption</t>
        </is>
      </c>
      <c r="D48" s="51" t="inlineStr">
        <is>
          <t>Solutions Engineer</t>
        </is>
      </c>
      <c r="E48" s="52" t="n">
        <v>16</v>
      </c>
      <c r="F48" s="53" t="n">
        <v>1.2</v>
      </c>
      <c r="G48" s="52" t="n">
        <v>19.2</v>
      </c>
      <c r="H48" s="54" t="n">
        <v>200</v>
      </c>
      <c r="I48" s="55">
        <f>TEXT(19.2*200,"$#,##0")</f>
        <v/>
      </c>
      <c r="J48" s="51" t="inlineStr"/>
      <c r="K48" s="51" t="inlineStr">
        <is>
          <t>Change window approved via ITSM</t>
        </is>
      </c>
    </row>
    <row r="49" ht="26" customHeight="1">
      <c r="A49" s="44" t="inlineStr">
        <is>
          <t>Deployment</t>
        </is>
      </c>
      <c r="B49" s="45" t="inlineStr">
        <is>
          <t>Runbook Delivery</t>
        </is>
      </c>
      <c r="C49" s="45" t="inlineStr">
        <is>
          <t>Finalise and deliver operational runbooks for account vending; guardrail management; break-glass procedure; and DR failover</t>
        </is>
      </c>
      <c r="D49" s="45" t="inlineStr">
        <is>
          <t>Technical Writer</t>
        </is>
      </c>
      <c r="E49" s="46" t="n">
        <v>24</v>
      </c>
      <c r="F49" s="47" t="n">
        <v>1.2</v>
      </c>
      <c r="G49" s="46" t="n">
        <v>28.8</v>
      </c>
      <c r="H49" s="48" t="n">
        <v>125</v>
      </c>
      <c r="I49" s="49">
        <f>TEXT(28.8*125,"$#,##0")</f>
        <v/>
      </c>
      <c r="J49" s="45" t="inlineStr"/>
      <c r="K49" s="45" t="inlineStr">
        <is>
          <t>Deliverable: Operational Runbook Suite</t>
        </is>
      </c>
    </row>
    <row r="50" ht="26" customHeight="1">
      <c r="A50" s="50" t="inlineStr">
        <is>
          <t>Deployment</t>
        </is>
      </c>
      <c r="B50" s="51" t="inlineStr">
        <is>
          <t>Knowledge Transfer Sessions</t>
        </is>
      </c>
      <c r="C50" s="51" t="inlineStr">
        <is>
          <t>Conduct knowledge transfer sessions with platform team covering IaC pipeline, guardrail management, IAM Identity Center, and Security Hub operations</t>
        </is>
      </c>
      <c r="D50" s="51" t="inlineStr">
        <is>
          <t>Trainer</t>
        </is>
      </c>
      <c r="E50" s="52" t="n">
        <v>24</v>
      </c>
      <c r="F50" s="53" t="n">
        <v>1.2</v>
      </c>
      <c r="G50" s="52" t="n">
        <v>28.8</v>
      </c>
      <c r="H50" s="54" t="n">
        <v>150</v>
      </c>
      <c r="I50" s="55">
        <f>TEXT(28.8*150,"$#,##0")</f>
        <v/>
      </c>
      <c r="J50" s="51" t="inlineStr"/>
      <c r="K50" s="51" t="inlineStr">
        <is>
          <t>Target audience: Priya Nair's platform team</t>
        </is>
      </c>
    </row>
    <row r="51" ht="26" customHeight="1">
      <c r="A51" s="44" t="inlineStr">
        <is>
          <t>Deployment</t>
        </is>
      </c>
      <c r="B51" s="45" t="inlineStr">
        <is>
          <t>Administrator Training</t>
        </is>
      </c>
      <c r="C51" s="45" t="inlineStr">
        <is>
          <t>Train platform engineers on day-to-day operations; account onboarding; escalation procedures; and evidence collection for audits</t>
        </is>
      </c>
      <c r="D51" s="45" t="inlineStr">
        <is>
          <t>Trainer</t>
        </is>
      </c>
      <c r="E51" s="46" t="n">
        <v>16</v>
      </c>
      <c r="F51" s="47" t="n">
        <v>1.2</v>
      </c>
      <c r="G51" s="46" t="n">
        <v>19.2</v>
      </c>
      <c r="H51" s="48" t="n">
        <v>150</v>
      </c>
      <c r="I51" s="49">
        <f>TEXT(19.2*150,"$#,##0")</f>
        <v/>
      </c>
      <c r="J51" s="45" t="inlineStr"/>
      <c r="K51" s="45" t="inlineStr"/>
    </row>
    <row r="52" ht="26" customHeight="1">
      <c r="A52" s="50" t="inlineStr">
        <is>
          <t>Deployment</t>
        </is>
      </c>
      <c r="B52" s="51" t="inlineStr">
        <is>
          <t>Hypercare Support (8 weeks)</t>
        </is>
      </c>
      <c r="C52" s="51" t="inlineStr">
        <is>
          <t>Post-go-live hypercare support for 8 weeks; on-call assistance for platform team; incident triage; guardrail tuning</t>
        </is>
      </c>
      <c r="D52" s="51" t="inlineStr">
        <is>
          <t>Support Engineer</t>
        </is>
      </c>
      <c r="E52" s="52" t="n">
        <v>80</v>
      </c>
      <c r="F52" s="53" t="n">
        <v>1.2</v>
      </c>
      <c r="G52" s="52" t="n">
        <v>96</v>
      </c>
      <c r="H52" s="54" t="n">
        <v>150</v>
      </c>
      <c r="I52" s="55">
        <f>TEXT(96*150,"$#,##0")</f>
        <v/>
      </c>
      <c r="J52" s="51" t="inlineStr"/>
      <c r="K52" s="51" t="inlineStr">
        <is>
          <t>Large complexity = 8-week hypercare; covers regulatory review period</t>
        </is>
      </c>
    </row>
    <row r="53" ht="26" customHeight="1">
      <c r="A53" s="44" t="inlineStr">
        <is>
          <t>Deployment</t>
        </is>
      </c>
      <c r="B53" s="45" t="inlineStr">
        <is>
          <t>Optimisation Recommendations</t>
        </is>
      </c>
      <c r="C53" s="45" t="inlineStr">
        <is>
          <t>Document platform optimisation recommendations; cost optimisation opportunities; and roadmap for ongoing compliance automation</t>
        </is>
      </c>
      <c r="D53" s="45" t="inlineStr">
        <is>
          <t>Solution Architect</t>
        </is>
      </c>
      <c r="E53" s="46" t="n">
        <v>16</v>
      </c>
      <c r="F53" s="47" t="n">
        <v>1.2</v>
      </c>
      <c r="G53" s="46" t="n">
        <v>19.2</v>
      </c>
      <c r="H53" s="48" t="n">
        <v>225</v>
      </c>
      <c r="I53" s="49">
        <f>TEXT(19.2*225,"$#,##0")</f>
        <v/>
      </c>
      <c r="J53" s="45" t="inlineStr"/>
      <c r="K53" s="45" t="inlineStr">
        <is>
          <t>Deliverable: Platform Optimisation Roadmap</t>
        </is>
      </c>
    </row>
    <row r="54" ht="26" customHeight="1">
      <c r="A54" s="50" t="inlineStr">
        <is>
          <t>Deployment</t>
        </is>
      </c>
      <c r="B54" s="51" t="inlineStr">
        <is>
          <t>Project Closeout</t>
        </is>
      </c>
      <c r="C54" s="51" t="inlineStr">
        <is>
          <t>Project retrospective; lessons learned; final status report to James Wu and Priya Nair</t>
        </is>
      </c>
      <c r="D54" s="51" t="inlineStr">
        <is>
          <t>Project Manager</t>
        </is>
      </c>
      <c r="E54" s="52" t="n">
        <v>8</v>
      </c>
      <c r="F54" s="53" t="n">
        <v>1.2</v>
      </c>
      <c r="G54" s="52" t="n">
        <v>9.6</v>
      </c>
      <c r="H54" s="54" t="n">
        <v>175</v>
      </c>
      <c r="I54" s="55">
        <f>TEXT(9.6*175,"$#,##0")</f>
        <v/>
      </c>
      <c r="J54" s="51" t="inlineStr"/>
      <c r="K54" s="51" t="inlineStr">
        <is>
          <t>Deliverable: Project Closeout Report</t>
        </is>
      </c>
    </row>
    <row r="55" ht="26" customHeight="1">
      <c r="A55" s="44" t="inlineStr">
        <is>
          <t>Management</t>
        </is>
      </c>
      <c r="B55" s="45" t="inlineStr">
        <is>
          <t>Technical Leadership</t>
        </is>
      </c>
      <c r="C55" s="45" t="inlineStr">
        <is>
          <t>Quarterback technical oversight across all phases; escalation point for architecture and security decisions</t>
        </is>
      </c>
      <c r="D55" s="45" t="inlineStr">
        <is>
          <t>Solution Architect</t>
        </is>
      </c>
      <c r="E55" s="49">
        <f>ROUND(SUM($G$4:$G$52)*0.10,0)</f>
        <v/>
      </c>
      <c r="F55" s="47" t="n">
        <v>1</v>
      </c>
      <c r="G55" s="49">
        <f>ROUND(SUM($G$4:$G$52)*0.10,0)</f>
        <v/>
      </c>
      <c r="H55" s="48" t="n">
        <v>225</v>
      </c>
      <c r="I55" s="49">
        <f>TEXT(ROUND(SUM($G$4:$G$52)*0.10,0)*225,"$#,##0")</f>
        <v/>
      </c>
      <c r="J55" s="45" t="inlineStr"/>
      <c r="K55" s="45" t="inlineStr">
        <is>
          <t>10% of engineering hours; no circular reference</t>
        </is>
      </c>
    </row>
    <row r="56" ht="26" customHeight="1">
      <c r="A56" s="50" t="inlineStr">
        <is>
          <t>Management</t>
        </is>
      </c>
      <c r="B56" s="51" t="inlineStr">
        <is>
          <t>Project Management</t>
        </is>
      </c>
      <c r="C56" s="51" t="inlineStr">
        <is>
          <t>Project co-ordination; stakeholder reporting; risk and issue management; schedule tracking across 4-month engagement</t>
        </is>
      </c>
      <c r="D56" s="51" t="inlineStr">
        <is>
          <t>Project Manager</t>
        </is>
      </c>
      <c r="E56" s="55">
        <f>ROUND(SUM($G$4:$G$52)*0.10,0)</f>
        <v/>
      </c>
      <c r="F56" s="53" t="n">
        <v>1</v>
      </c>
      <c r="G56" s="55">
        <f>ROUND(SUM($G$4:$G$52)*0.10,0)</f>
        <v/>
      </c>
      <c r="H56" s="54" t="n">
        <v>175</v>
      </c>
      <c r="I56" s="55">
        <f>TEXT(ROUND(SUM($G$4:$G$52)*0.10,0)*175,"$#,##0")</f>
        <v/>
      </c>
      <c r="J56" s="51" t="inlineStr"/>
      <c r="K56" s="51" t="inlineStr">
        <is>
          <t>10% of engineering hours; Rachel Moore counterpart</t>
        </is>
      </c>
    </row>
    <row r="57" ht="26" customHeight="1">
      <c r="A57" s="56" t="inlineStr"/>
      <c r="B57" s="56" t="inlineStr"/>
      <c r="C57" s="56" t="inlineStr"/>
      <c r="D57" s="56" t="inlineStr"/>
      <c r="E57" s="56" t="inlineStr"/>
      <c r="F57" s="57" t="inlineStr">
        <is>
          <t>TOTAL HOURS</t>
        </is>
      </c>
      <c r="G57" s="57">
        <f>SUM($G$4:$G$54)</f>
        <v/>
      </c>
      <c r="H57" s="57" t="inlineStr">
        <is>
          <t>TOTAL COST</t>
        </is>
      </c>
      <c r="I57" s="57">
        <f>TEXT(SUMPRODUCT($G$4:$G$54,$H$4:$H$54),"$#,##0")</f>
        <v/>
      </c>
      <c r="J57" s="56" t="inlineStr"/>
      <c r="K57" s="56" t="inlineStr"/>
    </row>
  </sheetData>
  <autoFilter ref="A2:K57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58" t="n">
        <v>-10000</v>
      </c>
      <c r="C3" s="37" t="inlineStr">
        <is>
          <t>AWS Partner Network (APN) Advanced Tier credit applied to solution architecture and implementation services for Contoso Financial engagement</t>
        </is>
      </c>
    </row>
    <row r="4" ht="26" customHeight="1">
      <c r="A4" s="39" t="inlineStr">
        <is>
          <t>AWS MAP (Migration Acceleration Program)</t>
        </is>
      </c>
      <c r="B4" s="59" t="n">
        <v>-15000</v>
      </c>
      <c r="C4" s="40" t="inlineStr">
        <is>
          <t>AWS MAP professional services funding available for enterprise landing zone and workload onboarding engagements; eligibility confirmed with AWS account team</t>
        </is>
      </c>
    </row>
    <row r="5" ht="26" customHeight="1">
      <c r="A5" s="36" t="inlineStr">
        <is>
          <t>Volume Implementation Discount</t>
        </is>
      </c>
      <c r="B5" s="58" t="n">
        <v>-5000</v>
      </c>
      <c r="C5" s="37" t="inlineStr">
        <is>
          <t>Volume discount on professional services for strategic financial services engagement; 2% discount on total PS fees applied in Year 1</t>
        </is>
      </c>
    </row>
    <row r="6" ht="26" customHeight="1">
      <c r="A6" s="60" t="inlineStr">
        <is>
          <t>TOTAL</t>
        </is>
      </c>
      <c r="B6" s="61">
        <f>SUMPRODUCT($G$4:$G$54,$H$4:$H$54)-30000</f>
        <v/>
      </c>
      <c r="C6" s="62" t="inlineStr">
        <is>
          <t>Total professional services cost minus AWS Partner credits, MAP funding, and volume discount. Infrastructure costs are captured separately in infrastructure-costs.csv</t>
        </is>
      </c>
    </row>
  </sheetData>
  <autoFilter ref="A2:C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2026-06-09T19:57:00Z</dcterms:modified>
  <cp:lastModifiedBy>Kishan Siram</cp:lastModifiedBy>
</cp:coreProperties>
</file>