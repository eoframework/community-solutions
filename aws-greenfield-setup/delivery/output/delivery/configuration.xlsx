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Storage" sheetId="6" state="visible" r:id="rId6"/>
    <sheet xmlns:r="http://schemas.openxmlformats.org/officeDocument/2006/relationships" name="Application" sheetId="7" state="visible" r:id="rId7"/>
    <sheet xmlns:r="http://schemas.openxmlformats.org/officeDocument/2006/relationships" name="Monitoring" sheetId="8" state="visible" r:id="rId8"/>
    <sheet xmlns:r="http://schemas.openxmlformats.org/officeDocument/2006/relationships" name="DR" sheetId="9" state="visible" r:id="rId9"/>
    <sheet xmlns:r="http://schemas.openxmlformats.org/officeDocument/2006/relationships" name="Operations" sheetId="10" state="visible" r:id="rId10"/>
  </sheets>
  <definedNames>
    <definedName name="_xlnm._FilterDatabase" localSheetId="1" hidden="1">'All Parameters (Read Only)'!$A$4:$N$118</definedName>
    <definedName name="_xlnm._FilterDatabase" localSheetId="2" hidden="1">'Project'!$A$2:$M$22</definedName>
    <definedName name="_xlnm._FilterDatabase" localSheetId="3" hidden="1">'Networking'!$A$2:$M$17</definedName>
    <definedName name="_xlnm._FilterDatabase" localSheetId="4" hidden="1">'Security'!$A$2:$M$20</definedName>
    <definedName name="_xlnm._FilterDatabase" localSheetId="5" hidden="1">'Storage'!$A$2:$M$7</definedName>
    <definedName name="_xlnm._FilterDatabase" localSheetId="6" hidden="1">'Application'!$A$2:$M$20</definedName>
    <definedName name="_xlnm._FilterDatabase" localSheetId="7" hidden="1">'Monitoring'!$A$2:$M$25</definedName>
    <definedName name="_xlnm._FilterDatabase" localSheetId="8" hidden="1">'DR'!$A$2:$M$6</definedName>
    <definedName name="_xlnm._FilterDatabase" localSheetId="9" hidden="1">'Operations'!$A$2:$M$13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August 17, 2026</t>
        </is>
      </c>
    </row>
    <row r="6" ht="18" customHeight="1">
      <c r="B6" s="2" t="inlineStr">
        <is>
          <t>Solution:</t>
        </is>
      </c>
      <c r="C6" s="3" t="inlineStr">
        <is>
          <t>Tmpy52K93Pk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114</v>
      </c>
      <c r="B2" s="35" t="n">
        <v>8</v>
      </c>
      <c r="C2" s="35" t="n">
        <v>114</v>
      </c>
      <c r="D2" s="35" t="n">
        <v>44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40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  <c r="K12" s="39">
        <f>IF('Project'!J10="","",'Project'!J10)</f>
        <v/>
      </c>
      <c r="L12" s="39">
        <f>IF('Project'!K10="","",'Project'!K10)</f>
        <v/>
      </c>
      <c r="M12" s="39">
        <f>IF('Project'!L10="","",'Project'!L10)</f>
        <v/>
      </c>
      <c r="N12" s="40">
        <f>IF('Project'!M10="","",'Project'!M10)</f>
        <v/>
      </c>
    </row>
    <row r="13">
      <c r="A13" s="37">
        <f>IF('Project'!A11="","",'Project'!A11)</f>
        <v/>
      </c>
      <c r="B13" s="37" t="inlineStr">
        <is>
          <t>Project</t>
        </is>
      </c>
      <c r="C13" s="37">
        <f>IF('Project'!B11="","",'Project'!B11)</f>
        <v/>
      </c>
      <c r="D13" s="37">
        <f>IF('Project'!C11="","",'Project'!C11)</f>
        <v/>
      </c>
      <c r="E13" s="37">
        <f>IF('Project'!D11="","",'Project'!D11)</f>
        <v/>
      </c>
      <c r="F13" s="37">
        <f>IF('Project'!E11="","",'Project'!E11)</f>
        <v/>
      </c>
      <c r="G13" s="38">
        <f>IF('Project'!F11="","",'Project'!F11)</f>
        <v/>
      </c>
      <c r="H13" s="38">
        <f>IF('Project'!G11="","",'Project'!G11)</f>
        <v/>
      </c>
      <c r="I13" s="37">
        <f>IF('Project'!H11="","",'Project'!H11)</f>
        <v/>
      </c>
      <c r="J13" s="38">
        <f>IF('Project'!I11="","",'Project'!I11)</f>
        <v/>
      </c>
      <c r="K13" s="37">
        <f>IF('Project'!J11="","",'Project'!J11)</f>
        <v/>
      </c>
      <c r="L13" s="37">
        <f>IF('Project'!K11="","",'Project'!K11)</f>
        <v/>
      </c>
      <c r="M13" s="37">
        <f>IF('Project'!L11="","",'Project'!L11)</f>
        <v/>
      </c>
      <c r="N13" s="38">
        <f>IF('Project'!M11="","",'Project'!M11)</f>
        <v/>
      </c>
    </row>
    <row r="14">
      <c r="A14" s="39">
        <f>IF('Project'!A12="","",'Project'!A12)</f>
        <v/>
      </c>
      <c r="B14" s="39" t="inlineStr">
        <is>
          <t>Project</t>
        </is>
      </c>
      <c r="C14" s="39">
        <f>IF('Project'!B12="","",'Project'!B12)</f>
        <v/>
      </c>
      <c r="D14" s="39">
        <f>IF('Project'!C12="","",'Project'!C12)</f>
        <v/>
      </c>
      <c r="E14" s="39">
        <f>IF('Project'!D12="","",'Project'!D12)</f>
        <v/>
      </c>
      <c r="F14" s="39">
        <f>IF('Project'!E12="","",'Project'!E12)</f>
        <v/>
      </c>
      <c r="G14" s="40">
        <f>IF('Project'!F12="","",'Project'!F12)</f>
        <v/>
      </c>
      <c r="H14" s="40">
        <f>IF('Project'!G12="","",'Project'!G12)</f>
        <v/>
      </c>
      <c r="I14" s="39">
        <f>IF('Project'!H12="","",'Project'!H12)</f>
        <v/>
      </c>
      <c r="J14" s="40">
        <f>IF('Project'!I12="","",'Project'!I12)</f>
        <v/>
      </c>
      <c r="K14" s="39">
        <f>IF('Project'!J12="","",'Project'!J12)</f>
        <v/>
      </c>
      <c r="L14" s="39">
        <f>IF('Project'!K12="","",'Project'!K12)</f>
        <v/>
      </c>
      <c r="M14" s="39">
        <f>IF('Project'!L12="","",'Project'!L12)</f>
        <v/>
      </c>
      <c r="N14" s="40">
        <f>IF('Project'!M12="","",'Project'!M12)</f>
        <v/>
      </c>
    </row>
    <row r="15">
      <c r="A15" s="37">
        <f>IF('Project'!A13="","",'Project'!A13)</f>
        <v/>
      </c>
      <c r="B15" s="37" t="inlineStr">
        <is>
          <t>Project</t>
        </is>
      </c>
      <c r="C15" s="37">
        <f>IF('Project'!B13="","",'Project'!B13)</f>
        <v/>
      </c>
      <c r="D15" s="37">
        <f>IF('Project'!C13="","",'Project'!C13)</f>
        <v/>
      </c>
      <c r="E15" s="37">
        <f>IF('Project'!D13="","",'Project'!D13)</f>
        <v/>
      </c>
      <c r="F15" s="37">
        <f>IF('Project'!E13="","",'Project'!E13)</f>
        <v/>
      </c>
      <c r="G15" s="38">
        <f>IF('Project'!F13="","",'Project'!F13)</f>
        <v/>
      </c>
      <c r="H15" s="38">
        <f>IF('Project'!G13="","",'Project'!G13)</f>
        <v/>
      </c>
      <c r="I15" s="37">
        <f>IF('Project'!H13="","",'Project'!H13)</f>
        <v/>
      </c>
      <c r="J15" s="38">
        <f>IF('Project'!I13="","",'Project'!I13)</f>
        <v/>
      </c>
      <c r="K15" s="37">
        <f>IF('Project'!J13="","",'Project'!J13)</f>
        <v/>
      </c>
      <c r="L15" s="37">
        <f>IF('Project'!K13="","",'Project'!K13)</f>
        <v/>
      </c>
      <c r="M15" s="37">
        <f>IF('Project'!L13="","",'Project'!L13)</f>
        <v/>
      </c>
      <c r="N15" s="38">
        <f>IF('Project'!M13="","",'Project'!M13)</f>
        <v/>
      </c>
    </row>
    <row r="16">
      <c r="A16" s="39">
        <f>IF('Project'!A14="","",'Project'!A14)</f>
        <v/>
      </c>
      <c r="B16" s="39" t="inlineStr">
        <is>
          <t>Project</t>
        </is>
      </c>
      <c r="C16" s="39">
        <f>IF('Project'!B14="","",'Project'!B14)</f>
        <v/>
      </c>
      <c r="D16" s="39">
        <f>IF('Project'!C14="","",'Project'!C14)</f>
        <v/>
      </c>
      <c r="E16" s="39">
        <f>IF('Project'!D14="","",'Project'!D14)</f>
        <v/>
      </c>
      <c r="F16" s="39">
        <f>IF('Project'!E14="","",'Project'!E14)</f>
        <v/>
      </c>
      <c r="G16" s="40">
        <f>IF('Project'!F14="","",'Project'!F14)</f>
        <v/>
      </c>
      <c r="H16" s="40">
        <f>IF('Project'!G14="","",'Project'!G14)</f>
        <v/>
      </c>
      <c r="I16" s="39">
        <f>IF('Project'!H14="","",'Project'!H14)</f>
        <v/>
      </c>
      <c r="J16" s="40">
        <f>IF('Project'!I14="","",'Project'!I14)</f>
        <v/>
      </c>
      <c r="K16" s="39">
        <f>IF('Project'!J14="","",'Project'!J14)</f>
        <v/>
      </c>
      <c r="L16" s="39">
        <f>IF('Project'!K14="","",'Project'!K14)</f>
        <v/>
      </c>
      <c r="M16" s="39">
        <f>IF('Project'!L14="","",'Project'!L14)</f>
        <v/>
      </c>
      <c r="N16" s="40">
        <f>IF('Project'!M14="","",'Project'!M14)</f>
        <v/>
      </c>
    </row>
    <row r="17">
      <c r="A17" s="37">
        <f>IF('Project'!A15="","",'Project'!A15)</f>
        <v/>
      </c>
      <c r="B17" s="37" t="inlineStr">
        <is>
          <t>Project</t>
        </is>
      </c>
      <c r="C17" s="37">
        <f>IF('Project'!B15="","",'Project'!B15)</f>
        <v/>
      </c>
      <c r="D17" s="37">
        <f>IF('Project'!C15="","",'Project'!C15)</f>
        <v/>
      </c>
      <c r="E17" s="37">
        <f>IF('Project'!D15="","",'Project'!D15)</f>
        <v/>
      </c>
      <c r="F17" s="37">
        <f>IF('Project'!E15="","",'Project'!E15)</f>
        <v/>
      </c>
      <c r="G17" s="38">
        <f>IF('Project'!F15="","",'Project'!F15)</f>
        <v/>
      </c>
      <c r="H17" s="38">
        <f>IF('Project'!G15="","",'Project'!G15)</f>
        <v/>
      </c>
      <c r="I17" s="37">
        <f>IF('Project'!H15="","",'Project'!H15)</f>
        <v/>
      </c>
      <c r="J17" s="38">
        <f>IF('Project'!I15="","",'Project'!I15)</f>
        <v/>
      </c>
      <c r="K17" s="37">
        <f>IF('Project'!J15="","",'Project'!J15)</f>
        <v/>
      </c>
      <c r="L17" s="37">
        <f>IF('Project'!K15="","",'Project'!K15)</f>
        <v/>
      </c>
      <c r="M17" s="37">
        <f>IF('Project'!L15="","",'Project'!L15)</f>
        <v/>
      </c>
      <c r="N17" s="38">
        <f>IF('Project'!M15="","",'Project'!M15)</f>
        <v/>
      </c>
    </row>
    <row r="18">
      <c r="A18" s="39">
        <f>IF('Project'!A16="","",'Project'!A16)</f>
        <v/>
      </c>
      <c r="B18" s="39" t="inlineStr">
        <is>
          <t>Project</t>
        </is>
      </c>
      <c r="C18" s="39">
        <f>IF('Project'!B16="","",'Project'!B16)</f>
        <v/>
      </c>
      <c r="D18" s="39">
        <f>IF('Project'!C16="","",'Project'!C16)</f>
        <v/>
      </c>
      <c r="E18" s="39">
        <f>IF('Project'!D16="","",'Project'!D16)</f>
        <v/>
      </c>
      <c r="F18" s="39">
        <f>IF('Project'!E16="","",'Project'!E16)</f>
        <v/>
      </c>
      <c r="G18" s="40">
        <f>IF('Project'!F16="","",'Project'!F16)</f>
        <v/>
      </c>
      <c r="H18" s="40">
        <f>IF('Project'!G16="","",'Project'!G16)</f>
        <v/>
      </c>
      <c r="I18" s="39">
        <f>IF('Project'!H16="","",'Project'!H16)</f>
        <v/>
      </c>
      <c r="J18" s="40">
        <f>IF('Project'!I16="","",'Project'!I16)</f>
        <v/>
      </c>
      <c r="K18" s="39">
        <f>IF('Project'!J16="","",'Project'!J16)</f>
        <v/>
      </c>
      <c r="L18" s="39">
        <f>IF('Project'!K16="","",'Project'!K16)</f>
        <v/>
      </c>
      <c r="M18" s="39">
        <f>IF('Project'!L16="","",'Project'!L16)</f>
        <v/>
      </c>
      <c r="N18" s="40">
        <f>IF('Project'!M16="","",'Project'!M16)</f>
        <v/>
      </c>
    </row>
    <row r="19">
      <c r="A19" s="37">
        <f>IF('Project'!A17="","",'Project'!A17)</f>
        <v/>
      </c>
      <c r="B19" s="37" t="inlineStr">
        <is>
          <t>Project</t>
        </is>
      </c>
      <c r="C19" s="37">
        <f>IF('Project'!B17="","",'Project'!B17)</f>
        <v/>
      </c>
      <c r="D19" s="37">
        <f>IF('Project'!C17="","",'Project'!C17)</f>
        <v/>
      </c>
      <c r="E19" s="37">
        <f>IF('Project'!D17="","",'Project'!D17)</f>
        <v/>
      </c>
      <c r="F19" s="37">
        <f>IF('Project'!E17="","",'Project'!E17)</f>
        <v/>
      </c>
      <c r="G19" s="38">
        <f>IF('Project'!F17="","",'Project'!F17)</f>
        <v/>
      </c>
      <c r="H19" s="38">
        <f>IF('Project'!G17="","",'Project'!G17)</f>
        <v/>
      </c>
      <c r="I19" s="37">
        <f>IF('Project'!H17="","",'Project'!H17)</f>
        <v/>
      </c>
      <c r="J19" s="38">
        <f>IF('Project'!I17="","",'Project'!I17)</f>
        <v/>
      </c>
      <c r="K19" s="37">
        <f>IF('Project'!J17="","",'Project'!J17)</f>
        <v/>
      </c>
      <c r="L19" s="37">
        <f>IF('Project'!K17="","",'Project'!K17)</f>
        <v/>
      </c>
      <c r="M19" s="37">
        <f>IF('Project'!L17="","",'Project'!L17)</f>
        <v/>
      </c>
      <c r="N19" s="38">
        <f>IF('Project'!M17="","",'Project'!M17)</f>
        <v/>
      </c>
    </row>
    <row r="20">
      <c r="A20" s="39">
        <f>IF('Project'!A18="","",'Project'!A18)</f>
        <v/>
      </c>
      <c r="B20" s="39" t="inlineStr">
        <is>
          <t>Project</t>
        </is>
      </c>
      <c r="C20" s="39">
        <f>IF('Project'!B18="","",'Project'!B18)</f>
        <v/>
      </c>
      <c r="D20" s="39">
        <f>IF('Project'!C18="","",'Project'!C18)</f>
        <v/>
      </c>
      <c r="E20" s="39">
        <f>IF('Project'!D18="","",'Project'!D18)</f>
        <v/>
      </c>
      <c r="F20" s="39">
        <f>IF('Project'!E18="","",'Project'!E18)</f>
        <v/>
      </c>
      <c r="G20" s="40">
        <f>IF('Project'!F18="","",'Project'!F18)</f>
        <v/>
      </c>
      <c r="H20" s="40">
        <f>IF('Project'!G18="","",'Project'!G18)</f>
        <v/>
      </c>
      <c r="I20" s="39">
        <f>IF('Project'!H18="","",'Project'!H18)</f>
        <v/>
      </c>
      <c r="J20" s="40">
        <f>IF('Project'!I18="","",'Project'!I18)</f>
        <v/>
      </c>
      <c r="K20" s="39">
        <f>IF('Project'!J18="","",'Project'!J18)</f>
        <v/>
      </c>
      <c r="L20" s="39">
        <f>IF('Project'!K18="","",'Project'!K18)</f>
        <v/>
      </c>
      <c r="M20" s="39">
        <f>IF('Project'!L18="","",'Project'!L18)</f>
        <v/>
      </c>
      <c r="N20" s="40">
        <f>IF('Project'!M18="","",'Project'!M18)</f>
        <v/>
      </c>
    </row>
    <row r="21">
      <c r="A21" s="37">
        <f>IF('Project'!A19="","",'Project'!A19)</f>
        <v/>
      </c>
      <c r="B21" s="37" t="inlineStr">
        <is>
          <t>Project</t>
        </is>
      </c>
      <c r="C21" s="37">
        <f>IF('Project'!B19="","",'Project'!B19)</f>
        <v/>
      </c>
      <c r="D21" s="37">
        <f>IF('Project'!C19="","",'Project'!C19)</f>
        <v/>
      </c>
      <c r="E21" s="37">
        <f>IF('Project'!D19="","",'Project'!D19)</f>
        <v/>
      </c>
      <c r="F21" s="37">
        <f>IF('Project'!E19="","",'Project'!E19)</f>
        <v/>
      </c>
      <c r="G21" s="38">
        <f>IF('Project'!F19="","",'Project'!F19)</f>
        <v/>
      </c>
      <c r="H21" s="38">
        <f>IF('Project'!G19="","",'Project'!G19)</f>
        <v/>
      </c>
      <c r="I21" s="37">
        <f>IF('Project'!H19="","",'Project'!H19)</f>
        <v/>
      </c>
      <c r="J21" s="38">
        <f>IF('Project'!I19="","",'Project'!I19)</f>
        <v/>
      </c>
      <c r="K21" s="37">
        <f>IF('Project'!J19="","",'Project'!J19)</f>
        <v/>
      </c>
      <c r="L21" s="37">
        <f>IF('Project'!K19="","",'Project'!K19)</f>
        <v/>
      </c>
      <c r="M21" s="37">
        <f>IF('Project'!L19="","",'Project'!L19)</f>
        <v/>
      </c>
      <c r="N21" s="38">
        <f>IF('Project'!M19="","",'Project'!M19)</f>
        <v/>
      </c>
    </row>
    <row r="22">
      <c r="A22" s="39">
        <f>IF('Project'!A20="","",'Project'!A20)</f>
        <v/>
      </c>
      <c r="B22" s="39" t="inlineStr">
        <is>
          <t>Project</t>
        </is>
      </c>
      <c r="C22" s="39">
        <f>IF('Project'!B20="","",'Project'!B20)</f>
        <v/>
      </c>
      <c r="D22" s="39">
        <f>IF('Project'!C20="","",'Project'!C20)</f>
        <v/>
      </c>
      <c r="E22" s="39">
        <f>IF('Project'!D20="","",'Project'!D20)</f>
        <v/>
      </c>
      <c r="F22" s="39">
        <f>IF('Project'!E20="","",'Project'!E20)</f>
        <v/>
      </c>
      <c r="G22" s="40">
        <f>IF('Project'!F20="","",'Project'!F20)</f>
        <v/>
      </c>
      <c r="H22" s="40">
        <f>IF('Project'!G20="","",'Project'!G20)</f>
        <v/>
      </c>
      <c r="I22" s="39">
        <f>IF('Project'!H20="","",'Project'!H20)</f>
        <v/>
      </c>
      <c r="J22" s="40">
        <f>IF('Project'!I20="","",'Project'!I20)</f>
        <v/>
      </c>
      <c r="K22" s="39">
        <f>IF('Project'!J20="","",'Project'!J20)</f>
        <v/>
      </c>
      <c r="L22" s="39">
        <f>IF('Project'!K20="","",'Project'!K20)</f>
        <v/>
      </c>
      <c r="M22" s="39">
        <f>IF('Project'!L20="","",'Project'!L20)</f>
        <v/>
      </c>
      <c r="N22" s="40">
        <f>IF('Project'!M20="","",'Project'!M20)</f>
        <v/>
      </c>
    </row>
    <row r="23">
      <c r="A23" s="37">
        <f>IF('Project'!A21="","",'Project'!A21)</f>
        <v/>
      </c>
      <c r="B23" s="37" t="inlineStr">
        <is>
          <t>Project</t>
        </is>
      </c>
      <c r="C23" s="37">
        <f>IF('Project'!B21="","",'Project'!B21)</f>
        <v/>
      </c>
      <c r="D23" s="37">
        <f>IF('Project'!C21="","",'Project'!C21)</f>
        <v/>
      </c>
      <c r="E23" s="37">
        <f>IF('Project'!D21="","",'Project'!D21)</f>
        <v/>
      </c>
      <c r="F23" s="37">
        <f>IF('Project'!E21="","",'Project'!E21)</f>
        <v/>
      </c>
      <c r="G23" s="38">
        <f>IF('Project'!F21="","",'Project'!F21)</f>
        <v/>
      </c>
      <c r="H23" s="38">
        <f>IF('Project'!G21="","",'Project'!G21)</f>
        <v/>
      </c>
      <c r="I23" s="37">
        <f>IF('Project'!H21="","",'Project'!H21)</f>
        <v/>
      </c>
      <c r="J23" s="38">
        <f>IF('Project'!I21="","",'Project'!I21)</f>
        <v/>
      </c>
      <c r="K23" s="37">
        <f>IF('Project'!J21="","",'Project'!J21)</f>
        <v/>
      </c>
      <c r="L23" s="37">
        <f>IF('Project'!K21="","",'Project'!K21)</f>
        <v/>
      </c>
      <c r="M23" s="37">
        <f>IF('Project'!L21="","",'Project'!L21)</f>
        <v/>
      </c>
      <c r="N23" s="38">
        <f>IF('Project'!M21="","",'Project'!M21)</f>
        <v/>
      </c>
    </row>
    <row r="24">
      <c r="A24" s="39">
        <f>IF('Project'!A22="","",'Project'!A22)</f>
        <v/>
      </c>
      <c r="B24" s="39" t="inlineStr">
        <is>
          <t>Project</t>
        </is>
      </c>
      <c r="C24" s="39">
        <f>IF('Project'!B22="","",'Project'!B22)</f>
        <v/>
      </c>
      <c r="D24" s="39">
        <f>IF('Project'!C22="","",'Project'!C22)</f>
        <v/>
      </c>
      <c r="E24" s="39">
        <f>IF('Project'!D22="","",'Project'!D22)</f>
        <v/>
      </c>
      <c r="F24" s="39">
        <f>IF('Project'!E22="","",'Project'!E22)</f>
        <v/>
      </c>
      <c r="G24" s="40">
        <f>IF('Project'!F22="","",'Project'!F22)</f>
        <v/>
      </c>
      <c r="H24" s="40">
        <f>IF('Project'!G22="","",'Project'!G22)</f>
        <v/>
      </c>
      <c r="I24" s="39">
        <f>IF('Project'!H22="","",'Project'!H22)</f>
        <v/>
      </c>
      <c r="J24" s="40">
        <f>IF('Project'!I22="","",'Project'!I22)</f>
        <v/>
      </c>
      <c r="K24" s="39">
        <f>IF('Project'!J22="","",'Project'!J22)</f>
        <v/>
      </c>
      <c r="L24" s="39">
        <f>IF('Project'!K22="","",'Project'!K22)</f>
        <v/>
      </c>
      <c r="M24" s="39">
        <f>IF('Project'!L22="","",'Project'!L22)</f>
        <v/>
      </c>
      <c r="N24" s="40">
        <f>IF('Project'!M22="","",'Project'!M22)</f>
        <v/>
      </c>
    </row>
    <row r="25">
      <c r="A25" s="37">
        <f>IF('Networking'!A3="","",'Networking'!A3)</f>
        <v/>
      </c>
      <c r="B25" s="37" t="inlineStr">
        <is>
          <t>Networking</t>
        </is>
      </c>
      <c r="C25" s="37">
        <f>IF('Networking'!B3="","",'Networking'!B3)</f>
        <v/>
      </c>
      <c r="D25" s="37">
        <f>IF('Networking'!C3="","",'Networking'!C3)</f>
        <v/>
      </c>
      <c r="E25" s="37">
        <f>IF('Networking'!D3="","",'Networking'!D3)</f>
        <v/>
      </c>
      <c r="F25" s="37">
        <f>IF('Networking'!E3="","",'Networking'!E3)</f>
        <v/>
      </c>
      <c r="G25" s="38">
        <f>IF('Networking'!F3="","",'Networking'!F3)</f>
        <v/>
      </c>
      <c r="H25" s="38">
        <f>IF('Networking'!G3="","",'Networking'!G3)</f>
        <v/>
      </c>
      <c r="I25" s="37">
        <f>IF('Networking'!H3="","",'Networking'!H3)</f>
        <v/>
      </c>
      <c r="J25" s="38">
        <f>IF('Networking'!I3="","",'Networking'!I3)</f>
        <v/>
      </c>
      <c r="K25" s="37">
        <f>IF('Networking'!J3="","",'Networking'!J3)</f>
        <v/>
      </c>
      <c r="L25" s="37">
        <f>IF('Networking'!K3="","",'Networking'!K3)</f>
        <v/>
      </c>
      <c r="M25" s="37">
        <f>IF('Networking'!L3="","",'Networking'!L3)</f>
        <v/>
      </c>
      <c r="N25" s="38">
        <f>IF('Networking'!M3="","",'Networking'!M3)</f>
        <v/>
      </c>
    </row>
    <row r="26">
      <c r="A26" s="39">
        <f>IF('Networking'!A4="","",'Networking'!A4)</f>
        <v/>
      </c>
      <c r="B26" s="39" t="inlineStr">
        <is>
          <t>Networking</t>
        </is>
      </c>
      <c r="C26" s="39">
        <f>IF('Networking'!B4="","",'Networking'!B4)</f>
        <v/>
      </c>
      <c r="D26" s="39">
        <f>IF('Networking'!C4="","",'Networking'!C4)</f>
        <v/>
      </c>
      <c r="E26" s="39">
        <f>IF('Networking'!D4="","",'Networking'!D4)</f>
        <v/>
      </c>
      <c r="F26" s="39">
        <f>IF('Networking'!E4="","",'Networking'!E4)</f>
        <v/>
      </c>
      <c r="G26" s="40">
        <f>IF('Networking'!F4="","",'Networking'!F4)</f>
        <v/>
      </c>
      <c r="H26" s="40">
        <f>IF('Networking'!G4="","",'Networking'!G4)</f>
        <v/>
      </c>
      <c r="I26" s="39">
        <f>IF('Networking'!H4="","",'Networking'!H4)</f>
        <v/>
      </c>
      <c r="J26" s="40">
        <f>IF('Networking'!I4="","",'Networking'!I4)</f>
        <v/>
      </c>
      <c r="K26" s="39">
        <f>IF('Networking'!J4="","",'Networking'!J4)</f>
        <v/>
      </c>
      <c r="L26" s="39">
        <f>IF('Networking'!K4="","",'Networking'!K4)</f>
        <v/>
      </c>
      <c r="M26" s="39">
        <f>IF('Networking'!L4="","",'Networking'!L4)</f>
        <v/>
      </c>
      <c r="N26" s="40">
        <f>IF('Networking'!M4="","",'Networking'!M4)</f>
        <v/>
      </c>
    </row>
    <row r="27">
      <c r="A27" s="37">
        <f>IF('Networking'!A5="","",'Networking'!A5)</f>
        <v/>
      </c>
      <c r="B27" s="37" t="inlineStr">
        <is>
          <t>Networking</t>
        </is>
      </c>
      <c r="C27" s="37">
        <f>IF('Networking'!B5="","",'Networking'!B5)</f>
        <v/>
      </c>
      <c r="D27" s="37">
        <f>IF('Networking'!C5="","",'Networking'!C5)</f>
        <v/>
      </c>
      <c r="E27" s="37">
        <f>IF('Networking'!D5="","",'Networking'!D5)</f>
        <v/>
      </c>
      <c r="F27" s="37">
        <f>IF('Networking'!E5="","",'Networking'!E5)</f>
        <v/>
      </c>
      <c r="G27" s="38">
        <f>IF('Networking'!F5="","",'Networking'!F5)</f>
        <v/>
      </c>
      <c r="H27" s="38">
        <f>IF('Networking'!G5="","",'Networking'!G5)</f>
        <v/>
      </c>
      <c r="I27" s="37">
        <f>IF('Networking'!H5="","",'Networking'!H5)</f>
        <v/>
      </c>
      <c r="J27" s="38">
        <f>IF('Networking'!I5="","",'Networking'!I5)</f>
        <v/>
      </c>
      <c r="K27" s="37">
        <f>IF('Networking'!J5="","",'Networking'!J5)</f>
        <v/>
      </c>
      <c r="L27" s="37">
        <f>IF('Networking'!K5="","",'Networking'!K5)</f>
        <v/>
      </c>
      <c r="M27" s="37">
        <f>IF('Networking'!L5="","",'Networking'!L5)</f>
        <v/>
      </c>
      <c r="N27" s="38">
        <f>IF('Networking'!M5="","",'Networking'!M5)</f>
        <v/>
      </c>
    </row>
    <row r="28">
      <c r="A28" s="39">
        <f>IF('Networking'!A6="","",'Networking'!A6)</f>
        <v/>
      </c>
      <c r="B28" s="39" t="inlineStr">
        <is>
          <t>Networking</t>
        </is>
      </c>
      <c r="C28" s="39">
        <f>IF('Networking'!B6="","",'Networking'!B6)</f>
        <v/>
      </c>
      <c r="D28" s="39">
        <f>IF('Networking'!C6="","",'Networking'!C6)</f>
        <v/>
      </c>
      <c r="E28" s="39">
        <f>IF('Networking'!D6="","",'Networking'!D6)</f>
        <v/>
      </c>
      <c r="F28" s="39">
        <f>IF('Networking'!E6="","",'Networking'!E6)</f>
        <v/>
      </c>
      <c r="G28" s="40">
        <f>IF('Networking'!F6="","",'Networking'!F6)</f>
        <v/>
      </c>
      <c r="H28" s="40">
        <f>IF('Networking'!G6="","",'Networking'!G6)</f>
        <v/>
      </c>
      <c r="I28" s="39">
        <f>IF('Networking'!H6="","",'Networking'!H6)</f>
        <v/>
      </c>
      <c r="J28" s="40">
        <f>IF('Networking'!I6="","",'Networking'!I6)</f>
        <v/>
      </c>
      <c r="K28" s="39">
        <f>IF('Networking'!J6="","",'Networking'!J6)</f>
        <v/>
      </c>
      <c r="L28" s="39">
        <f>IF('Networking'!K6="","",'Networking'!K6)</f>
        <v/>
      </c>
      <c r="M28" s="39">
        <f>IF('Networking'!L6="","",'Networking'!L6)</f>
        <v/>
      </c>
      <c r="N28" s="40">
        <f>IF('Networking'!M6="","",'Networking'!M6)</f>
        <v/>
      </c>
    </row>
    <row r="29">
      <c r="A29" s="37">
        <f>IF('Networking'!A7="","",'Networking'!A7)</f>
        <v/>
      </c>
      <c r="B29" s="37" t="inlineStr">
        <is>
          <t>Networking</t>
        </is>
      </c>
      <c r="C29" s="37">
        <f>IF('Networking'!B7="","",'Networking'!B7)</f>
        <v/>
      </c>
      <c r="D29" s="37">
        <f>IF('Networking'!C7="","",'Networking'!C7)</f>
        <v/>
      </c>
      <c r="E29" s="37">
        <f>IF('Networking'!D7="","",'Networking'!D7)</f>
        <v/>
      </c>
      <c r="F29" s="37">
        <f>IF('Networking'!E7="","",'Networking'!E7)</f>
        <v/>
      </c>
      <c r="G29" s="38">
        <f>IF('Networking'!F7="","",'Networking'!F7)</f>
        <v/>
      </c>
      <c r="H29" s="38">
        <f>IF('Networking'!G7="","",'Networking'!G7)</f>
        <v/>
      </c>
      <c r="I29" s="37">
        <f>IF('Networking'!H7="","",'Networking'!H7)</f>
        <v/>
      </c>
      <c r="J29" s="38">
        <f>IF('Networking'!I7="","",'Networking'!I7)</f>
        <v/>
      </c>
      <c r="K29" s="37">
        <f>IF('Networking'!J7="","",'Networking'!J7)</f>
        <v/>
      </c>
      <c r="L29" s="37">
        <f>IF('Networking'!K7="","",'Networking'!K7)</f>
        <v/>
      </c>
      <c r="M29" s="37">
        <f>IF('Networking'!L7="","",'Networking'!L7)</f>
        <v/>
      </c>
      <c r="N29" s="38">
        <f>IF('Networking'!M7="","",'Networking'!M7)</f>
        <v/>
      </c>
    </row>
    <row r="30">
      <c r="A30" s="39">
        <f>IF('Networking'!A8="","",'Networking'!A8)</f>
        <v/>
      </c>
      <c r="B30" s="39" t="inlineStr">
        <is>
          <t>Networking</t>
        </is>
      </c>
      <c r="C30" s="39">
        <f>IF('Networking'!B8="","",'Networking'!B8)</f>
        <v/>
      </c>
      <c r="D30" s="39">
        <f>IF('Networking'!C8="","",'Networking'!C8)</f>
        <v/>
      </c>
      <c r="E30" s="39">
        <f>IF('Networking'!D8="","",'Networking'!D8)</f>
        <v/>
      </c>
      <c r="F30" s="39">
        <f>IF('Networking'!E8="","",'Networking'!E8)</f>
        <v/>
      </c>
      <c r="G30" s="40">
        <f>IF('Networking'!F8="","",'Networking'!F8)</f>
        <v/>
      </c>
      <c r="H30" s="40">
        <f>IF('Networking'!G8="","",'Networking'!G8)</f>
        <v/>
      </c>
      <c r="I30" s="39">
        <f>IF('Networking'!H8="","",'Networking'!H8)</f>
        <v/>
      </c>
      <c r="J30" s="40">
        <f>IF('Networking'!I8="","",'Networking'!I8)</f>
        <v/>
      </c>
      <c r="K30" s="39">
        <f>IF('Networking'!J8="","",'Networking'!J8)</f>
        <v/>
      </c>
      <c r="L30" s="39">
        <f>IF('Networking'!K8="","",'Networking'!K8)</f>
        <v/>
      </c>
      <c r="M30" s="39">
        <f>IF('Networking'!L8="","",'Networking'!L8)</f>
        <v/>
      </c>
      <c r="N30" s="40">
        <f>IF('Networking'!M8="","",'Networking'!M8)</f>
        <v/>
      </c>
    </row>
    <row r="31">
      <c r="A31" s="37">
        <f>IF('Networking'!A9="","",'Networking'!A9)</f>
        <v/>
      </c>
      <c r="B31" s="37" t="inlineStr">
        <is>
          <t>Networking</t>
        </is>
      </c>
      <c r="C31" s="37">
        <f>IF('Networking'!B9="","",'Networking'!B9)</f>
        <v/>
      </c>
      <c r="D31" s="37">
        <f>IF('Networking'!C9="","",'Networking'!C9)</f>
        <v/>
      </c>
      <c r="E31" s="37">
        <f>IF('Networking'!D9="","",'Networking'!D9)</f>
        <v/>
      </c>
      <c r="F31" s="37">
        <f>IF('Networking'!E9="","",'Networking'!E9)</f>
        <v/>
      </c>
      <c r="G31" s="38">
        <f>IF('Networking'!F9="","",'Networking'!F9)</f>
        <v/>
      </c>
      <c r="H31" s="38">
        <f>IF('Networking'!G9="","",'Networking'!G9)</f>
        <v/>
      </c>
      <c r="I31" s="37">
        <f>IF('Networking'!H9="","",'Networking'!H9)</f>
        <v/>
      </c>
      <c r="J31" s="38">
        <f>IF('Networking'!I9="","",'Networking'!I9)</f>
        <v/>
      </c>
      <c r="K31" s="37">
        <f>IF('Networking'!J9="","",'Networking'!J9)</f>
        <v/>
      </c>
      <c r="L31" s="37">
        <f>IF('Networking'!K9="","",'Networking'!K9)</f>
        <v/>
      </c>
      <c r="M31" s="37">
        <f>IF('Networking'!L9="","",'Networking'!L9)</f>
        <v/>
      </c>
      <c r="N31" s="38">
        <f>IF('Networking'!M9="","",'Networking'!M9)</f>
        <v/>
      </c>
    </row>
    <row r="32">
      <c r="A32" s="39">
        <f>IF('Networking'!A10="","",'Networking'!A10)</f>
        <v/>
      </c>
      <c r="B32" s="39" t="inlineStr">
        <is>
          <t>Networking</t>
        </is>
      </c>
      <c r="C32" s="39">
        <f>IF('Networking'!B10="","",'Networking'!B10)</f>
        <v/>
      </c>
      <c r="D32" s="39">
        <f>IF('Networking'!C10="","",'Networking'!C10)</f>
        <v/>
      </c>
      <c r="E32" s="39">
        <f>IF('Networking'!D10="","",'Networking'!D10)</f>
        <v/>
      </c>
      <c r="F32" s="39">
        <f>IF('Networking'!E10="","",'Networking'!E10)</f>
        <v/>
      </c>
      <c r="G32" s="40">
        <f>IF('Networking'!F10="","",'Networking'!F10)</f>
        <v/>
      </c>
      <c r="H32" s="40">
        <f>IF('Networking'!G10="","",'Networking'!G10)</f>
        <v/>
      </c>
      <c r="I32" s="39">
        <f>IF('Networking'!H10="","",'Networking'!H10)</f>
        <v/>
      </c>
      <c r="J32" s="40">
        <f>IF('Networking'!I10="","",'Networking'!I10)</f>
        <v/>
      </c>
      <c r="K32" s="39">
        <f>IF('Networking'!J10="","",'Networking'!J10)</f>
        <v/>
      </c>
      <c r="L32" s="39">
        <f>IF('Networking'!K10="","",'Networking'!K10)</f>
        <v/>
      </c>
      <c r="M32" s="39">
        <f>IF('Networking'!L10="","",'Networking'!L10)</f>
        <v/>
      </c>
      <c r="N32" s="40">
        <f>IF('Networking'!M10="","",'Networking'!M10)</f>
        <v/>
      </c>
    </row>
    <row r="33">
      <c r="A33" s="37">
        <f>IF('Networking'!A11="","",'Networking'!A11)</f>
        <v/>
      </c>
      <c r="B33" s="37" t="inlineStr">
        <is>
          <t>Networking</t>
        </is>
      </c>
      <c r="C33" s="37">
        <f>IF('Networking'!B11="","",'Networking'!B11)</f>
        <v/>
      </c>
      <c r="D33" s="37">
        <f>IF('Networking'!C11="","",'Networking'!C11)</f>
        <v/>
      </c>
      <c r="E33" s="37">
        <f>IF('Networking'!D11="","",'Networking'!D11)</f>
        <v/>
      </c>
      <c r="F33" s="37">
        <f>IF('Networking'!E11="","",'Networking'!E11)</f>
        <v/>
      </c>
      <c r="G33" s="38">
        <f>IF('Networking'!F11="","",'Networking'!F11)</f>
        <v/>
      </c>
      <c r="H33" s="38">
        <f>IF('Networking'!G11="","",'Networking'!G11)</f>
        <v/>
      </c>
      <c r="I33" s="37">
        <f>IF('Networking'!H11="","",'Networking'!H11)</f>
        <v/>
      </c>
      <c r="J33" s="38">
        <f>IF('Networking'!I11="","",'Networking'!I11)</f>
        <v/>
      </c>
      <c r="K33" s="37">
        <f>IF('Networking'!J11="","",'Networking'!J11)</f>
        <v/>
      </c>
      <c r="L33" s="37">
        <f>IF('Networking'!K11="","",'Networking'!K11)</f>
        <v/>
      </c>
      <c r="M33" s="37">
        <f>IF('Networking'!L11="","",'Networking'!L11)</f>
        <v/>
      </c>
      <c r="N33" s="38">
        <f>IF('Networking'!M11="","",'Networking'!M11)</f>
        <v/>
      </c>
    </row>
    <row r="34">
      <c r="A34" s="39">
        <f>IF('Networking'!A12="","",'Networking'!A12)</f>
        <v/>
      </c>
      <c r="B34" s="39" t="inlineStr">
        <is>
          <t>Networking</t>
        </is>
      </c>
      <c r="C34" s="39">
        <f>IF('Networking'!B12="","",'Networking'!B12)</f>
        <v/>
      </c>
      <c r="D34" s="39">
        <f>IF('Networking'!C12="","",'Networking'!C12)</f>
        <v/>
      </c>
      <c r="E34" s="39">
        <f>IF('Networking'!D12="","",'Networking'!D12)</f>
        <v/>
      </c>
      <c r="F34" s="39">
        <f>IF('Networking'!E12="","",'Networking'!E12)</f>
        <v/>
      </c>
      <c r="G34" s="40">
        <f>IF('Networking'!F12="","",'Networking'!F12)</f>
        <v/>
      </c>
      <c r="H34" s="40">
        <f>IF('Networking'!G12="","",'Networking'!G12)</f>
        <v/>
      </c>
      <c r="I34" s="39">
        <f>IF('Networking'!H12="","",'Networking'!H12)</f>
        <v/>
      </c>
      <c r="J34" s="40">
        <f>IF('Networking'!I12="","",'Networking'!I12)</f>
        <v/>
      </c>
      <c r="K34" s="39">
        <f>IF('Networking'!J12="","",'Networking'!J12)</f>
        <v/>
      </c>
      <c r="L34" s="39">
        <f>IF('Networking'!K12="","",'Networking'!K12)</f>
        <v/>
      </c>
      <c r="M34" s="39">
        <f>IF('Networking'!L12="","",'Networking'!L12)</f>
        <v/>
      </c>
      <c r="N34" s="40">
        <f>IF('Networking'!M12="","",'Networking'!M12)</f>
        <v/>
      </c>
    </row>
    <row r="35">
      <c r="A35" s="37">
        <f>IF('Networking'!A13="","",'Networking'!A13)</f>
        <v/>
      </c>
      <c r="B35" s="37" t="inlineStr">
        <is>
          <t>Networking</t>
        </is>
      </c>
      <c r="C35" s="37">
        <f>IF('Networking'!B13="","",'Networking'!B13)</f>
        <v/>
      </c>
      <c r="D35" s="37">
        <f>IF('Networking'!C13="","",'Networking'!C13)</f>
        <v/>
      </c>
      <c r="E35" s="37">
        <f>IF('Networking'!D13="","",'Networking'!D13)</f>
        <v/>
      </c>
      <c r="F35" s="37">
        <f>IF('Networking'!E13="","",'Networking'!E13)</f>
        <v/>
      </c>
      <c r="G35" s="38">
        <f>IF('Networking'!F13="","",'Networking'!F13)</f>
        <v/>
      </c>
      <c r="H35" s="38">
        <f>IF('Networking'!G13="","",'Networking'!G13)</f>
        <v/>
      </c>
      <c r="I35" s="37">
        <f>IF('Networking'!H13="","",'Networking'!H13)</f>
        <v/>
      </c>
      <c r="J35" s="38">
        <f>IF('Networking'!I13="","",'Networking'!I13)</f>
        <v/>
      </c>
      <c r="K35" s="37">
        <f>IF('Networking'!J13="","",'Networking'!J13)</f>
        <v/>
      </c>
      <c r="L35" s="37">
        <f>IF('Networking'!K13="","",'Networking'!K13)</f>
        <v/>
      </c>
      <c r="M35" s="37">
        <f>IF('Networking'!L13="","",'Networking'!L13)</f>
        <v/>
      </c>
      <c r="N35" s="38">
        <f>IF('Networking'!M13="","",'Networking'!M13)</f>
        <v/>
      </c>
    </row>
    <row r="36">
      <c r="A36" s="39">
        <f>IF('Networking'!A14="","",'Networking'!A14)</f>
        <v/>
      </c>
      <c r="B36" s="39" t="inlineStr">
        <is>
          <t>Networking</t>
        </is>
      </c>
      <c r="C36" s="39">
        <f>IF('Networking'!B14="","",'Networking'!B14)</f>
        <v/>
      </c>
      <c r="D36" s="39">
        <f>IF('Networking'!C14="","",'Networking'!C14)</f>
        <v/>
      </c>
      <c r="E36" s="39">
        <f>IF('Networking'!D14="","",'Networking'!D14)</f>
        <v/>
      </c>
      <c r="F36" s="39">
        <f>IF('Networking'!E14="","",'Networking'!E14)</f>
        <v/>
      </c>
      <c r="G36" s="40">
        <f>IF('Networking'!F14="","",'Networking'!F14)</f>
        <v/>
      </c>
      <c r="H36" s="40">
        <f>IF('Networking'!G14="","",'Networking'!G14)</f>
        <v/>
      </c>
      <c r="I36" s="39">
        <f>IF('Networking'!H14="","",'Networking'!H14)</f>
        <v/>
      </c>
      <c r="J36" s="40">
        <f>IF('Networking'!I14="","",'Networking'!I14)</f>
        <v/>
      </c>
      <c r="K36" s="39">
        <f>IF('Networking'!J14="","",'Networking'!J14)</f>
        <v/>
      </c>
      <c r="L36" s="39">
        <f>IF('Networking'!K14="","",'Networking'!K14)</f>
        <v/>
      </c>
      <c r="M36" s="39">
        <f>IF('Networking'!L14="","",'Networking'!L14)</f>
        <v/>
      </c>
      <c r="N36" s="40">
        <f>IF('Networking'!M14="","",'Networking'!M14)</f>
        <v/>
      </c>
    </row>
    <row r="37">
      <c r="A37" s="37">
        <f>IF('Networking'!A15="","",'Networking'!A15)</f>
        <v/>
      </c>
      <c r="B37" s="37" t="inlineStr">
        <is>
          <t>Networking</t>
        </is>
      </c>
      <c r="C37" s="37">
        <f>IF('Networking'!B15="","",'Networking'!B15)</f>
        <v/>
      </c>
      <c r="D37" s="37">
        <f>IF('Networking'!C15="","",'Networking'!C15)</f>
        <v/>
      </c>
      <c r="E37" s="37">
        <f>IF('Networking'!D15="","",'Networking'!D15)</f>
        <v/>
      </c>
      <c r="F37" s="37">
        <f>IF('Networking'!E15="","",'Networking'!E15)</f>
        <v/>
      </c>
      <c r="G37" s="38">
        <f>IF('Networking'!F15="","",'Networking'!F15)</f>
        <v/>
      </c>
      <c r="H37" s="38">
        <f>IF('Networking'!G15="","",'Networking'!G15)</f>
        <v/>
      </c>
      <c r="I37" s="37">
        <f>IF('Networking'!H15="","",'Networking'!H15)</f>
        <v/>
      </c>
      <c r="J37" s="38">
        <f>IF('Networking'!I15="","",'Networking'!I15)</f>
        <v/>
      </c>
      <c r="K37" s="37">
        <f>IF('Networking'!J15="","",'Networking'!J15)</f>
        <v/>
      </c>
      <c r="L37" s="37">
        <f>IF('Networking'!K15="","",'Networking'!K15)</f>
        <v/>
      </c>
      <c r="M37" s="37">
        <f>IF('Networking'!L15="","",'Networking'!L15)</f>
        <v/>
      </c>
      <c r="N37" s="38">
        <f>IF('Networking'!M15="","",'Networking'!M15)</f>
        <v/>
      </c>
    </row>
    <row r="38">
      <c r="A38" s="39">
        <f>IF('Networking'!A16="","",'Networking'!A16)</f>
        <v/>
      </c>
      <c r="B38" s="39" t="inlineStr">
        <is>
          <t>Networking</t>
        </is>
      </c>
      <c r="C38" s="39">
        <f>IF('Networking'!B16="","",'Networking'!B16)</f>
        <v/>
      </c>
      <c r="D38" s="39">
        <f>IF('Networking'!C16="","",'Networking'!C16)</f>
        <v/>
      </c>
      <c r="E38" s="39">
        <f>IF('Networking'!D16="","",'Networking'!D16)</f>
        <v/>
      </c>
      <c r="F38" s="39">
        <f>IF('Networking'!E16="","",'Networking'!E16)</f>
        <v/>
      </c>
      <c r="G38" s="40">
        <f>IF('Networking'!F16="","",'Networking'!F16)</f>
        <v/>
      </c>
      <c r="H38" s="40">
        <f>IF('Networking'!G16="","",'Networking'!G16)</f>
        <v/>
      </c>
      <c r="I38" s="39">
        <f>IF('Networking'!H16="","",'Networking'!H16)</f>
        <v/>
      </c>
      <c r="J38" s="40">
        <f>IF('Networking'!I16="","",'Networking'!I16)</f>
        <v/>
      </c>
      <c r="K38" s="39">
        <f>IF('Networking'!J16="","",'Networking'!J16)</f>
        <v/>
      </c>
      <c r="L38" s="39">
        <f>IF('Networking'!K16="","",'Networking'!K16)</f>
        <v/>
      </c>
      <c r="M38" s="39">
        <f>IF('Networking'!L16="","",'Networking'!L16)</f>
        <v/>
      </c>
      <c r="N38" s="40">
        <f>IF('Networking'!M16="","",'Networking'!M16)</f>
        <v/>
      </c>
    </row>
    <row r="39">
      <c r="A39" s="37">
        <f>IF('Networking'!A17="","",'Networking'!A17)</f>
        <v/>
      </c>
      <c r="B39" s="37" t="inlineStr">
        <is>
          <t>Networking</t>
        </is>
      </c>
      <c r="C39" s="37">
        <f>IF('Networking'!B17="","",'Networking'!B17)</f>
        <v/>
      </c>
      <c r="D39" s="37">
        <f>IF('Networking'!C17="","",'Networking'!C17)</f>
        <v/>
      </c>
      <c r="E39" s="37">
        <f>IF('Networking'!D17="","",'Networking'!D17)</f>
        <v/>
      </c>
      <c r="F39" s="37">
        <f>IF('Networking'!E17="","",'Networking'!E17)</f>
        <v/>
      </c>
      <c r="G39" s="38">
        <f>IF('Networking'!F17="","",'Networking'!F17)</f>
        <v/>
      </c>
      <c r="H39" s="38">
        <f>IF('Networking'!G17="","",'Networking'!G17)</f>
        <v/>
      </c>
      <c r="I39" s="37">
        <f>IF('Networking'!H17="","",'Networking'!H17)</f>
        <v/>
      </c>
      <c r="J39" s="38">
        <f>IF('Networking'!I17="","",'Networking'!I17)</f>
        <v/>
      </c>
      <c r="K39" s="37">
        <f>IF('Networking'!J17="","",'Networking'!J17)</f>
        <v/>
      </c>
      <c r="L39" s="37">
        <f>IF('Networking'!K17="","",'Networking'!K17)</f>
        <v/>
      </c>
      <c r="M39" s="37">
        <f>IF('Networking'!L17="","",'Networking'!L17)</f>
        <v/>
      </c>
      <c r="N39" s="38">
        <f>IF('Networking'!M17="","",'Networking'!M17)</f>
        <v/>
      </c>
    </row>
    <row r="40">
      <c r="A40" s="39">
        <f>IF('Security'!A3="","",'Security'!A3)</f>
        <v/>
      </c>
      <c r="B40" s="39" t="inlineStr">
        <is>
          <t>Security</t>
        </is>
      </c>
      <c r="C40" s="39">
        <f>IF('Security'!B3="","",'Security'!B3)</f>
        <v/>
      </c>
      <c r="D40" s="39">
        <f>IF('Security'!C3="","",'Security'!C3)</f>
        <v/>
      </c>
      <c r="E40" s="39">
        <f>IF('Security'!D3="","",'Security'!D3)</f>
        <v/>
      </c>
      <c r="F40" s="39">
        <f>IF('Security'!E3="","",'Security'!E3)</f>
        <v/>
      </c>
      <c r="G40" s="40">
        <f>IF('Security'!F3="","",'Security'!F3)</f>
        <v/>
      </c>
      <c r="H40" s="40">
        <f>IF('Security'!G3="","",'Security'!G3)</f>
        <v/>
      </c>
      <c r="I40" s="39">
        <f>IF('Security'!H3="","",'Security'!H3)</f>
        <v/>
      </c>
      <c r="J40" s="40">
        <f>IF('Security'!I3="","",'Security'!I3)</f>
        <v/>
      </c>
      <c r="K40" s="39">
        <f>IF('Security'!J3="","",'Security'!J3)</f>
        <v/>
      </c>
      <c r="L40" s="39">
        <f>IF('Security'!K3="","",'Security'!K3)</f>
        <v/>
      </c>
      <c r="M40" s="39">
        <f>IF('Security'!L3="","",'Security'!L3)</f>
        <v/>
      </c>
      <c r="N40" s="40">
        <f>IF('Security'!M3="","",'Security'!M3)</f>
        <v/>
      </c>
    </row>
    <row r="41">
      <c r="A41" s="37">
        <f>IF('Security'!A4="","",'Security'!A4)</f>
        <v/>
      </c>
      <c r="B41" s="37" t="inlineStr">
        <is>
          <t>Security</t>
        </is>
      </c>
      <c r="C41" s="37">
        <f>IF('Security'!B4="","",'Security'!B4)</f>
        <v/>
      </c>
      <c r="D41" s="37">
        <f>IF('Security'!C4="","",'Security'!C4)</f>
        <v/>
      </c>
      <c r="E41" s="37">
        <f>IF('Security'!D4="","",'Security'!D4)</f>
        <v/>
      </c>
      <c r="F41" s="37">
        <f>IF('Security'!E4="","",'Security'!E4)</f>
        <v/>
      </c>
      <c r="G41" s="38">
        <f>IF('Security'!F4="","",'Security'!F4)</f>
        <v/>
      </c>
      <c r="H41" s="38">
        <f>IF('Security'!G4="","",'Security'!G4)</f>
        <v/>
      </c>
      <c r="I41" s="37">
        <f>IF('Security'!H4="","",'Security'!H4)</f>
        <v/>
      </c>
      <c r="J41" s="38">
        <f>IF('Security'!I4="","",'Security'!I4)</f>
        <v/>
      </c>
      <c r="K41" s="37">
        <f>IF('Security'!J4="","",'Security'!J4)</f>
        <v/>
      </c>
      <c r="L41" s="37">
        <f>IF('Security'!K4="","",'Security'!K4)</f>
        <v/>
      </c>
      <c r="M41" s="37">
        <f>IF('Security'!L4="","",'Security'!L4)</f>
        <v/>
      </c>
      <c r="N41" s="38">
        <f>IF('Security'!M4="","",'Security'!M4)</f>
        <v/>
      </c>
    </row>
    <row r="42">
      <c r="A42" s="39">
        <f>IF('Security'!A5="","",'Security'!A5)</f>
        <v/>
      </c>
      <c r="B42" s="39" t="inlineStr">
        <is>
          <t>Security</t>
        </is>
      </c>
      <c r="C42" s="39">
        <f>IF('Security'!B5="","",'Security'!B5)</f>
        <v/>
      </c>
      <c r="D42" s="39">
        <f>IF('Security'!C5="","",'Security'!C5)</f>
        <v/>
      </c>
      <c r="E42" s="39">
        <f>IF('Security'!D5="","",'Security'!D5)</f>
        <v/>
      </c>
      <c r="F42" s="39">
        <f>IF('Security'!E5="","",'Security'!E5)</f>
        <v/>
      </c>
      <c r="G42" s="40">
        <f>IF('Security'!F5="","",'Security'!F5)</f>
        <v/>
      </c>
      <c r="H42" s="40">
        <f>IF('Security'!G5="","",'Security'!G5)</f>
        <v/>
      </c>
      <c r="I42" s="39">
        <f>IF('Security'!H5="","",'Security'!H5)</f>
        <v/>
      </c>
      <c r="J42" s="40">
        <f>IF('Security'!I5="","",'Security'!I5)</f>
        <v/>
      </c>
      <c r="K42" s="39">
        <f>IF('Security'!J5="","",'Security'!J5)</f>
        <v/>
      </c>
      <c r="L42" s="39">
        <f>IF('Security'!K5="","",'Security'!K5)</f>
        <v/>
      </c>
      <c r="M42" s="39">
        <f>IF('Security'!L5="","",'Security'!L5)</f>
        <v/>
      </c>
      <c r="N42" s="40">
        <f>IF('Security'!M5="","",'Security'!M5)</f>
        <v/>
      </c>
    </row>
    <row r="43">
      <c r="A43" s="37">
        <f>IF('Security'!A6="","",'Security'!A6)</f>
        <v/>
      </c>
      <c r="B43" s="37" t="inlineStr">
        <is>
          <t>Security</t>
        </is>
      </c>
      <c r="C43" s="37">
        <f>IF('Security'!B6="","",'Security'!B6)</f>
        <v/>
      </c>
      <c r="D43" s="37">
        <f>IF('Security'!C6="","",'Security'!C6)</f>
        <v/>
      </c>
      <c r="E43" s="37">
        <f>IF('Security'!D6="","",'Security'!D6)</f>
        <v/>
      </c>
      <c r="F43" s="37">
        <f>IF('Security'!E6="","",'Security'!E6)</f>
        <v/>
      </c>
      <c r="G43" s="38">
        <f>IF('Security'!F6="","",'Security'!F6)</f>
        <v/>
      </c>
      <c r="H43" s="38">
        <f>IF('Security'!G6="","",'Security'!G6)</f>
        <v/>
      </c>
      <c r="I43" s="37">
        <f>IF('Security'!H6="","",'Security'!H6)</f>
        <v/>
      </c>
      <c r="J43" s="38">
        <f>IF('Security'!I6="","",'Security'!I6)</f>
        <v/>
      </c>
      <c r="K43" s="37">
        <f>IF('Security'!J6="","",'Security'!J6)</f>
        <v/>
      </c>
      <c r="L43" s="37">
        <f>IF('Security'!K6="","",'Security'!K6)</f>
        <v/>
      </c>
      <c r="M43" s="37">
        <f>IF('Security'!L6="","",'Security'!L6)</f>
        <v/>
      </c>
      <c r="N43" s="38">
        <f>IF('Security'!M6="","",'Security'!M6)</f>
        <v/>
      </c>
    </row>
    <row r="44">
      <c r="A44" s="39">
        <f>IF('Security'!A7="","",'Security'!A7)</f>
        <v/>
      </c>
      <c r="B44" s="39" t="inlineStr">
        <is>
          <t>Security</t>
        </is>
      </c>
      <c r="C44" s="39">
        <f>IF('Security'!B7="","",'Security'!B7)</f>
        <v/>
      </c>
      <c r="D44" s="39">
        <f>IF('Security'!C7="","",'Security'!C7)</f>
        <v/>
      </c>
      <c r="E44" s="39">
        <f>IF('Security'!D7="","",'Security'!D7)</f>
        <v/>
      </c>
      <c r="F44" s="39">
        <f>IF('Security'!E7="","",'Security'!E7)</f>
        <v/>
      </c>
      <c r="G44" s="40">
        <f>IF('Security'!F7="","",'Security'!F7)</f>
        <v/>
      </c>
      <c r="H44" s="40">
        <f>IF('Security'!G7="","",'Security'!G7)</f>
        <v/>
      </c>
      <c r="I44" s="39">
        <f>IF('Security'!H7="","",'Security'!H7)</f>
        <v/>
      </c>
      <c r="J44" s="40">
        <f>IF('Security'!I7="","",'Security'!I7)</f>
        <v/>
      </c>
      <c r="K44" s="39">
        <f>IF('Security'!J7="","",'Security'!J7)</f>
        <v/>
      </c>
      <c r="L44" s="39">
        <f>IF('Security'!K7="","",'Security'!K7)</f>
        <v/>
      </c>
      <c r="M44" s="39">
        <f>IF('Security'!L7="","",'Security'!L7)</f>
        <v/>
      </c>
      <c r="N44" s="40">
        <f>IF('Security'!M7="","",'Security'!M7)</f>
        <v/>
      </c>
    </row>
    <row r="45">
      <c r="A45" s="37">
        <f>IF('Security'!A8="","",'Security'!A8)</f>
        <v/>
      </c>
      <c r="B45" s="37" t="inlineStr">
        <is>
          <t>Security</t>
        </is>
      </c>
      <c r="C45" s="37">
        <f>IF('Security'!B8="","",'Security'!B8)</f>
        <v/>
      </c>
      <c r="D45" s="37">
        <f>IF('Security'!C8="","",'Security'!C8)</f>
        <v/>
      </c>
      <c r="E45" s="37">
        <f>IF('Security'!D8="","",'Security'!D8)</f>
        <v/>
      </c>
      <c r="F45" s="37">
        <f>IF('Security'!E8="","",'Security'!E8)</f>
        <v/>
      </c>
      <c r="G45" s="38">
        <f>IF('Security'!F8="","",'Security'!F8)</f>
        <v/>
      </c>
      <c r="H45" s="38">
        <f>IF('Security'!G8="","",'Security'!G8)</f>
        <v/>
      </c>
      <c r="I45" s="37">
        <f>IF('Security'!H8="","",'Security'!H8)</f>
        <v/>
      </c>
      <c r="J45" s="38">
        <f>IF('Security'!I8="","",'Security'!I8)</f>
        <v/>
      </c>
      <c r="K45" s="37">
        <f>IF('Security'!J8="","",'Security'!J8)</f>
        <v/>
      </c>
      <c r="L45" s="37">
        <f>IF('Security'!K8="","",'Security'!K8)</f>
        <v/>
      </c>
      <c r="M45" s="37">
        <f>IF('Security'!L8="","",'Security'!L8)</f>
        <v/>
      </c>
      <c r="N45" s="38">
        <f>IF('Security'!M8="","",'Security'!M8)</f>
        <v/>
      </c>
    </row>
    <row r="46">
      <c r="A46" s="39">
        <f>IF('Security'!A9="","",'Security'!A9)</f>
        <v/>
      </c>
      <c r="B46" s="39" t="inlineStr">
        <is>
          <t>Security</t>
        </is>
      </c>
      <c r="C46" s="39">
        <f>IF('Security'!B9="","",'Security'!B9)</f>
        <v/>
      </c>
      <c r="D46" s="39">
        <f>IF('Security'!C9="","",'Security'!C9)</f>
        <v/>
      </c>
      <c r="E46" s="39">
        <f>IF('Security'!D9="","",'Security'!D9)</f>
        <v/>
      </c>
      <c r="F46" s="39">
        <f>IF('Security'!E9="","",'Security'!E9)</f>
        <v/>
      </c>
      <c r="G46" s="40">
        <f>IF('Security'!F9="","",'Security'!F9)</f>
        <v/>
      </c>
      <c r="H46" s="40">
        <f>IF('Security'!G9="","",'Security'!G9)</f>
        <v/>
      </c>
      <c r="I46" s="39">
        <f>IF('Security'!H9="","",'Security'!H9)</f>
        <v/>
      </c>
      <c r="J46" s="40">
        <f>IF('Security'!I9="","",'Security'!I9)</f>
        <v/>
      </c>
      <c r="K46" s="39">
        <f>IF('Security'!J9="","",'Security'!J9)</f>
        <v/>
      </c>
      <c r="L46" s="39">
        <f>IF('Security'!K9="","",'Security'!K9)</f>
        <v/>
      </c>
      <c r="M46" s="39">
        <f>IF('Security'!L9="","",'Security'!L9)</f>
        <v/>
      </c>
      <c r="N46" s="40">
        <f>IF('Security'!M9="","",'Security'!M9)</f>
        <v/>
      </c>
    </row>
    <row r="47">
      <c r="A47" s="37">
        <f>IF('Security'!A10="","",'Security'!A10)</f>
        <v/>
      </c>
      <c r="B47" s="37" t="inlineStr">
        <is>
          <t>Security</t>
        </is>
      </c>
      <c r="C47" s="37">
        <f>IF('Security'!B10="","",'Security'!B10)</f>
        <v/>
      </c>
      <c r="D47" s="37">
        <f>IF('Security'!C10="","",'Security'!C10)</f>
        <v/>
      </c>
      <c r="E47" s="37">
        <f>IF('Security'!D10="","",'Security'!D10)</f>
        <v/>
      </c>
      <c r="F47" s="37">
        <f>IF('Security'!E10="","",'Security'!E10)</f>
        <v/>
      </c>
      <c r="G47" s="38">
        <f>IF('Security'!F10="","",'Security'!F10)</f>
        <v/>
      </c>
      <c r="H47" s="38">
        <f>IF('Security'!G10="","",'Security'!G10)</f>
        <v/>
      </c>
      <c r="I47" s="37">
        <f>IF('Security'!H10="","",'Security'!H10)</f>
        <v/>
      </c>
      <c r="J47" s="38">
        <f>IF('Security'!I10="","",'Security'!I10)</f>
        <v/>
      </c>
      <c r="K47" s="37">
        <f>IF('Security'!J10="","",'Security'!J10)</f>
        <v/>
      </c>
      <c r="L47" s="37">
        <f>IF('Security'!K10="","",'Security'!K10)</f>
        <v/>
      </c>
      <c r="M47" s="37">
        <f>IF('Security'!L10="","",'Security'!L10)</f>
        <v/>
      </c>
      <c r="N47" s="38">
        <f>IF('Security'!M10="","",'Security'!M10)</f>
        <v/>
      </c>
    </row>
    <row r="48">
      <c r="A48" s="39">
        <f>IF('Security'!A11="","",'Security'!A11)</f>
        <v/>
      </c>
      <c r="B48" s="39" t="inlineStr">
        <is>
          <t>Security</t>
        </is>
      </c>
      <c r="C48" s="39">
        <f>IF('Security'!B11="","",'Security'!B11)</f>
        <v/>
      </c>
      <c r="D48" s="39">
        <f>IF('Security'!C11="","",'Security'!C11)</f>
        <v/>
      </c>
      <c r="E48" s="39">
        <f>IF('Security'!D11="","",'Security'!D11)</f>
        <v/>
      </c>
      <c r="F48" s="39">
        <f>IF('Security'!E11="","",'Security'!E11)</f>
        <v/>
      </c>
      <c r="G48" s="40">
        <f>IF('Security'!F11="","",'Security'!F11)</f>
        <v/>
      </c>
      <c r="H48" s="40">
        <f>IF('Security'!G11="","",'Security'!G11)</f>
        <v/>
      </c>
      <c r="I48" s="39">
        <f>IF('Security'!H11="","",'Security'!H11)</f>
        <v/>
      </c>
      <c r="J48" s="40">
        <f>IF('Security'!I11="","",'Security'!I11)</f>
        <v/>
      </c>
      <c r="K48" s="39">
        <f>IF('Security'!J11="","",'Security'!J11)</f>
        <v/>
      </c>
      <c r="L48" s="39">
        <f>IF('Security'!K11="","",'Security'!K11)</f>
        <v/>
      </c>
      <c r="M48" s="39">
        <f>IF('Security'!L11="","",'Security'!L11)</f>
        <v/>
      </c>
      <c r="N48" s="40">
        <f>IF('Security'!M11="","",'Security'!M11)</f>
        <v/>
      </c>
    </row>
    <row r="49">
      <c r="A49" s="37">
        <f>IF('Security'!A12="","",'Security'!A12)</f>
        <v/>
      </c>
      <c r="B49" s="37" t="inlineStr">
        <is>
          <t>Security</t>
        </is>
      </c>
      <c r="C49" s="37">
        <f>IF('Security'!B12="","",'Security'!B12)</f>
        <v/>
      </c>
      <c r="D49" s="37">
        <f>IF('Security'!C12="","",'Security'!C12)</f>
        <v/>
      </c>
      <c r="E49" s="37">
        <f>IF('Security'!D12="","",'Security'!D12)</f>
        <v/>
      </c>
      <c r="F49" s="37">
        <f>IF('Security'!E12="","",'Security'!E12)</f>
        <v/>
      </c>
      <c r="G49" s="38">
        <f>IF('Security'!F12="","",'Security'!F12)</f>
        <v/>
      </c>
      <c r="H49" s="38">
        <f>IF('Security'!G12="","",'Security'!G12)</f>
        <v/>
      </c>
      <c r="I49" s="37">
        <f>IF('Security'!H12="","",'Security'!H12)</f>
        <v/>
      </c>
      <c r="J49" s="38">
        <f>IF('Security'!I12="","",'Security'!I12)</f>
        <v/>
      </c>
      <c r="K49" s="37">
        <f>IF('Security'!J12="","",'Security'!J12)</f>
        <v/>
      </c>
      <c r="L49" s="37">
        <f>IF('Security'!K12="","",'Security'!K12)</f>
        <v/>
      </c>
      <c r="M49" s="37">
        <f>IF('Security'!L12="","",'Security'!L12)</f>
        <v/>
      </c>
      <c r="N49" s="38">
        <f>IF('Security'!M12="","",'Security'!M12)</f>
        <v/>
      </c>
    </row>
    <row r="50">
      <c r="A50" s="39">
        <f>IF('Security'!A13="","",'Security'!A13)</f>
        <v/>
      </c>
      <c r="B50" s="39" t="inlineStr">
        <is>
          <t>Security</t>
        </is>
      </c>
      <c r="C50" s="39">
        <f>IF('Security'!B13="","",'Security'!B13)</f>
        <v/>
      </c>
      <c r="D50" s="39">
        <f>IF('Security'!C13="","",'Security'!C13)</f>
        <v/>
      </c>
      <c r="E50" s="39">
        <f>IF('Security'!D13="","",'Security'!D13)</f>
        <v/>
      </c>
      <c r="F50" s="39">
        <f>IF('Security'!E13="","",'Security'!E13)</f>
        <v/>
      </c>
      <c r="G50" s="40">
        <f>IF('Security'!F13="","",'Security'!F13)</f>
        <v/>
      </c>
      <c r="H50" s="40">
        <f>IF('Security'!G13="","",'Security'!G13)</f>
        <v/>
      </c>
      <c r="I50" s="39">
        <f>IF('Security'!H13="","",'Security'!H13)</f>
        <v/>
      </c>
      <c r="J50" s="40">
        <f>IF('Security'!I13="","",'Security'!I13)</f>
        <v/>
      </c>
      <c r="K50" s="39">
        <f>IF('Security'!J13="","",'Security'!J13)</f>
        <v/>
      </c>
      <c r="L50" s="39">
        <f>IF('Security'!K13="","",'Security'!K13)</f>
        <v/>
      </c>
      <c r="M50" s="39">
        <f>IF('Security'!L13="","",'Security'!L13)</f>
        <v/>
      </c>
      <c r="N50" s="40">
        <f>IF('Security'!M13="","",'Security'!M13)</f>
        <v/>
      </c>
    </row>
    <row r="51">
      <c r="A51" s="37">
        <f>IF('Security'!A14="","",'Security'!A14)</f>
        <v/>
      </c>
      <c r="B51" s="37" t="inlineStr">
        <is>
          <t>Security</t>
        </is>
      </c>
      <c r="C51" s="37">
        <f>IF('Security'!B14="","",'Security'!B14)</f>
        <v/>
      </c>
      <c r="D51" s="37">
        <f>IF('Security'!C14="","",'Security'!C14)</f>
        <v/>
      </c>
      <c r="E51" s="37">
        <f>IF('Security'!D14="","",'Security'!D14)</f>
        <v/>
      </c>
      <c r="F51" s="37">
        <f>IF('Security'!E14="","",'Security'!E14)</f>
        <v/>
      </c>
      <c r="G51" s="38">
        <f>IF('Security'!F14="","",'Security'!F14)</f>
        <v/>
      </c>
      <c r="H51" s="38">
        <f>IF('Security'!G14="","",'Security'!G14)</f>
        <v/>
      </c>
      <c r="I51" s="37">
        <f>IF('Security'!H14="","",'Security'!H14)</f>
        <v/>
      </c>
      <c r="J51" s="38">
        <f>IF('Security'!I14="","",'Security'!I14)</f>
        <v/>
      </c>
      <c r="K51" s="37">
        <f>IF('Security'!J14="","",'Security'!J14)</f>
        <v/>
      </c>
      <c r="L51" s="37">
        <f>IF('Security'!K14="","",'Security'!K14)</f>
        <v/>
      </c>
      <c r="M51" s="37">
        <f>IF('Security'!L14="","",'Security'!L14)</f>
        <v/>
      </c>
      <c r="N51" s="38">
        <f>IF('Security'!M14="","",'Security'!M14)</f>
        <v/>
      </c>
    </row>
    <row r="52">
      <c r="A52" s="39">
        <f>IF('Security'!A15="","",'Security'!A15)</f>
        <v/>
      </c>
      <c r="B52" s="39" t="inlineStr">
        <is>
          <t>Security</t>
        </is>
      </c>
      <c r="C52" s="39">
        <f>IF('Security'!B15="","",'Security'!B15)</f>
        <v/>
      </c>
      <c r="D52" s="39">
        <f>IF('Security'!C15="","",'Security'!C15)</f>
        <v/>
      </c>
      <c r="E52" s="39">
        <f>IF('Security'!D15="","",'Security'!D15)</f>
        <v/>
      </c>
      <c r="F52" s="39">
        <f>IF('Security'!E15="","",'Security'!E15)</f>
        <v/>
      </c>
      <c r="G52" s="40">
        <f>IF('Security'!F15="","",'Security'!F15)</f>
        <v/>
      </c>
      <c r="H52" s="40">
        <f>IF('Security'!G15="","",'Security'!G15)</f>
        <v/>
      </c>
      <c r="I52" s="39">
        <f>IF('Security'!H15="","",'Security'!H15)</f>
        <v/>
      </c>
      <c r="J52" s="40">
        <f>IF('Security'!I15="","",'Security'!I15)</f>
        <v/>
      </c>
      <c r="K52" s="39">
        <f>IF('Security'!J15="","",'Security'!J15)</f>
        <v/>
      </c>
      <c r="L52" s="39">
        <f>IF('Security'!K15="","",'Security'!K15)</f>
        <v/>
      </c>
      <c r="M52" s="39">
        <f>IF('Security'!L15="","",'Security'!L15)</f>
        <v/>
      </c>
      <c r="N52" s="40">
        <f>IF('Security'!M15="","",'Security'!M15)</f>
        <v/>
      </c>
    </row>
    <row r="53">
      <c r="A53" s="37">
        <f>IF('Security'!A16="","",'Security'!A16)</f>
        <v/>
      </c>
      <c r="B53" s="37" t="inlineStr">
        <is>
          <t>Security</t>
        </is>
      </c>
      <c r="C53" s="37">
        <f>IF('Security'!B16="","",'Security'!B16)</f>
        <v/>
      </c>
      <c r="D53" s="37">
        <f>IF('Security'!C16="","",'Security'!C16)</f>
        <v/>
      </c>
      <c r="E53" s="37">
        <f>IF('Security'!D16="","",'Security'!D16)</f>
        <v/>
      </c>
      <c r="F53" s="37">
        <f>IF('Security'!E16="","",'Security'!E16)</f>
        <v/>
      </c>
      <c r="G53" s="38">
        <f>IF('Security'!F16="","",'Security'!F16)</f>
        <v/>
      </c>
      <c r="H53" s="38">
        <f>IF('Security'!G16="","",'Security'!G16)</f>
        <v/>
      </c>
      <c r="I53" s="37">
        <f>IF('Security'!H16="","",'Security'!H16)</f>
        <v/>
      </c>
      <c r="J53" s="38">
        <f>IF('Security'!I16="","",'Security'!I16)</f>
        <v/>
      </c>
      <c r="K53" s="37">
        <f>IF('Security'!J16="","",'Security'!J16)</f>
        <v/>
      </c>
      <c r="L53" s="37">
        <f>IF('Security'!K16="","",'Security'!K16)</f>
        <v/>
      </c>
      <c r="M53" s="37">
        <f>IF('Security'!L16="","",'Security'!L16)</f>
        <v/>
      </c>
      <c r="N53" s="38">
        <f>IF('Security'!M16="","",'Security'!M16)</f>
        <v/>
      </c>
    </row>
    <row r="54">
      <c r="A54" s="39">
        <f>IF('Security'!A17="","",'Security'!A17)</f>
        <v/>
      </c>
      <c r="B54" s="39" t="inlineStr">
        <is>
          <t>Security</t>
        </is>
      </c>
      <c r="C54" s="39">
        <f>IF('Security'!B17="","",'Security'!B17)</f>
        <v/>
      </c>
      <c r="D54" s="39">
        <f>IF('Security'!C17="","",'Security'!C17)</f>
        <v/>
      </c>
      <c r="E54" s="39">
        <f>IF('Security'!D17="","",'Security'!D17)</f>
        <v/>
      </c>
      <c r="F54" s="39">
        <f>IF('Security'!E17="","",'Security'!E17)</f>
        <v/>
      </c>
      <c r="G54" s="40">
        <f>IF('Security'!F17="","",'Security'!F17)</f>
        <v/>
      </c>
      <c r="H54" s="40">
        <f>IF('Security'!G17="","",'Security'!G17)</f>
        <v/>
      </c>
      <c r="I54" s="39">
        <f>IF('Security'!H17="","",'Security'!H17)</f>
        <v/>
      </c>
      <c r="J54" s="40">
        <f>IF('Security'!I17="","",'Security'!I17)</f>
        <v/>
      </c>
      <c r="K54" s="39">
        <f>IF('Security'!J17="","",'Security'!J17)</f>
        <v/>
      </c>
      <c r="L54" s="39">
        <f>IF('Security'!K17="","",'Security'!K17)</f>
        <v/>
      </c>
      <c r="M54" s="39">
        <f>IF('Security'!L17="","",'Security'!L17)</f>
        <v/>
      </c>
      <c r="N54" s="40">
        <f>IF('Security'!M17="","",'Security'!M17)</f>
        <v/>
      </c>
    </row>
    <row r="55">
      <c r="A55" s="37">
        <f>IF('Security'!A18="","",'Security'!A18)</f>
        <v/>
      </c>
      <c r="B55" s="37" t="inlineStr">
        <is>
          <t>Security</t>
        </is>
      </c>
      <c r="C55" s="37">
        <f>IF('Security'!B18="","",'Security'!B18)</f>
        <v/>
      </c>
      <c r="D55" s="37">
        <f>IF('Security'!C18="","",'Security'!C18)</f>
        <v/>
      </c>
      <c r="E55" s="37">
        <f>IF('Security'!D18="","",'Security'!D18)</f>
        <v/>
      </c>
      <c r="F55" s="37">
        <f>IF('Security'!E18="","",'Security'!E18)</f>
        <v/>
      </c>
      <c r="G55" s="38">
        <f>IF('Security'!F18="","",'Security'!F18)</f>
        <v/>
      </c>
      <c r="H55" s="38">
        <f>IF('Security'!G18="","",'Security'!G18)</f>
        <v/>
      </c>
      <c r="I55" s="37">
        <f>IF('Security'!H18="","",'Security'!H18)</f>
        <v/>
      </c>
      <c r="J55" s="38">
        <f>IF('Security'!I18="","",'Security'!I18)</f>
        <v/>
      </c>
      <c r="K55" s="37">
        <f>IF('Security'!J18="","",'Security'!J18)</f>
        <v/>
      </c>
      <c r="L55" s="37">
        <f>IF('Security'!K18="","",'Security'!K18)</f>
        <v/>
      </c>
      <c r="M55" s="37">
        <f>IF('Security'!L18="","",'Security'!L18)</f>
        <v/>
      </c>
      <c r="N55" s="38">
        <f>IF('Security'!M18="","",'Security'!M18)</f>
        <v/>
      </c>
    </row>
    <row r="56">
      <c r="A56" s="39">
        <f>IF('Security'!A19="","",'Security'!A19)</f>
        <v/>
      </c>
      <c r="B56" s="39" t="inlineStr">
        <is>
          <t>Security</t>
        </is>
      </c>
      <c r="C56" s="39">
        <f>IF('Security'!B19="","",'Security'!B19)</f>
        <v/>
      </c>
      <c r="D56" s="39">
        <f>IF('Security'!C19="","",'Security'!C19)</f>
        <v/>
      </c>
      <c r="E56" s="39">
        <f>IF('Security'!D19="","",'Security'!D19)</f>
        <v/>
      </c>
      <c r="F56" s="39">
        <f>IF('Security'!E19="","",'Security'!E19)</f>
        <v/>
      </c>
      <c r="G56" s="40">
        <f>IF('Security'!F19="","",'Security'!F19)</f>
        <v/>
      </c>
      <c r="H56" s="40">
        <f>IF('Security'!G19="","",'Security'!G19)</f>
        <v/>
      </c>
      <c r="I56" s="39">
        <f>IF('Security'!H19="","",'Security'!H19)</f>
        <v/>
      </c>
      <c r="J56" s="40">
        <f>IF('Security'!I19="","",'Security'!I19)</f>
        <v/>
      </c>
      <c r="K56" s="39">
        <f>IF('Security'!J19="","",'Security'!J19)</f>
        <v/>
      </c>
      <c r="L56" s="39">
        <f>IF('Security'!K19="","",'Security'!K19)</f>
        <v/>
      </c>
      <c r="M56" s="39">
        <f>IF('Security'!L19="","",'Security'!L19)</f>
        <v/>
      </c>
      <c r="N56" s="40">
        <f>IF('Security'!M19="","",'Security'!M19)</f>
        <v/>
      </c>
    </row>
    <row r="57">
      <c r="A57" s="37">
        <f>IF('Security'!A20="","",'Security'!A20)</f>
        <v/>
      </c>
      <c r="B57" s="37" t="inlineStr">
        <is>
          <t>Security</t>
        </is>
      </c>
      <c r="C57" s="37">
        <f>IF('Security'!B20="","",'Security'!B20)</f>
        <v/>
      </c>
      <c r="D57" s="37">
        <f>IF('Security'!C20="","",'Security'!C20)</f>
        <v/>
      </c>
      <c r="E57" s="37">
        <f>IF('Security'!D20="","",'Security'!D20)</f>
        <v/>
      </c>
      <c r="F57" s="37">
        <f>IF('Security'!E20="","",'Security'!E20)</f>
        <v/>
      </c>
      <c r="G57" s="38">
        <f>IF('Security'!F20="","",'Security'!F20)</f>
        <v/>
      </c>
      <c r="H57" s="38">
        <f>IF('Security'!G20="","",'Security'!G20)</f>
        <v/>
      </c>
      <c r="I57" s="37">
        <f>IF('Security'!H20="","",'Security'!H20)</f>
        <v/>
      </c>
      <c r="J57" s="38">
        <f>IF('Security'!I20="","",'Security'!I20)</f>
        <v/>
      </c>
      <c r="K57" s="37">
        <f>IF('Security'!J20="","",'Security'!J20)</f>
        <v/>
      </c>
      <c r="L57" s="37">
        <f>IF('Security'!K20="","",'Security'!K20)</f>
        <v/>
      </c>
      <c r="M57" s="37">
        <f>IF('Security'!L20="","",'Security'!L20)</f>
        <v/>
      </c>
      <c r="N57" s="38">
        <f>IF('Security'!M20="","",'Security'!M20)</f>
        <v/>
      </c>
    </row>
    <row r="58">
      <c r="A58" s="39">
        <f>IF('Storage'!A3="","",'Storage'!A3)</f>
        <v/>
      </c>
      <c r="B58" s="39" t="inlineStr">
        <is>
          <t>Storage</t>
        </is>
      </c>
      <c r="C58" s="39">
        <f>IF('Storage'!B3="","",'Storage'!B3)</f>
        <v/>
      </c>
      <c r="D58" s="39">
        <f>IF('Storage'!C3="","",'Storage'!C3)</f>
        <v/>
      </c>
      <c r="E58" s="39">
        <f>IF('Storage'!D3="","",'Storage'!D3)</f>
        <v/>
      </c>
      <c r="F58" s="39">
        <f>IF('Storage'!E3="","",'Storage'!E3)</f>
        <v/>
      </c>
      <c r="G58" s="40">
        <f>IF('Storage'!F3="","",'Storage'!F3)</f>
        <v/>
      </c>
      <c r="H58" s="40">
        <f>IF('Storage'!G3="","",'Storage'!G3)</f>
        <v/>
      </c>
      <c r="I58" s="39">
        <f>IF('Storage'!H3="","",'Storage'!H3)</f>
        <v/>
      </c>
      <c r="J58" s="40">
        <f>IF('Storage'!I3="","",'Storage'!I3)</f>
        <v/>
      </c>
      <c r="K58" s="39">
        <f>IF('Storage'!J3="","",'Storage'!J3)</f>
        <v/>
      </c>
      <c r="L58" s="39">
        <f>IF('Storage'!K3="","",'Storage'!K3)</f>
        <v/>
      </c>
      <c r="M58" s="39">
        <f>IF('Storage'!L3="","",'Storage'!L3)</f>
        <v/>
      </c>
      <c r="N58" s="40">
        <f>IF('Storage'!M3="","",'Storage'!M3)</f>
        <v/>
      </c>
    </row>
    <row r="59">
      <c r="A59" s="37">
        <f>IF('Storage'!A4="","",'Storage'!A4)</f>
        <v/>
      </c>
      <c r="B59" s="37" t="inlineStr">
        <is>
          <t>Storage</t>
        </is>
      </c>
      <c r="C59" s="37">
        <f>IF('Storage'!B4="","",'Storage'!B4)</f>
        <v/>
      </c>
      <c r="D59" s="37">
        <f>IF('Storage'!C4="","",'Storage'!C4)</f>
        <v/>
      </c>
      <c r="E59" s="37">
        <f>IF('Storage'!D4="","",'Storage'!D4)</f>
        <v/>
      </c>
      <c r="F59" s="37">
        <f>IF('Storage'!E4="","",'Storage'!E4)</f>
        <v/>
      </c>
      <c r="G59" s="38">
        <f>IF('Storage'!F4="","",'Storage'!F4)</f>
        <v/>
      </c>
      <c r="H59" s="38">
        <f>IF('Storage'!G4="","",'Storage'!G4)</f>
        <v/>
      </c>
      <c r="I59" s="37">
        <f>IF('Storage'!H4="","",'Storage'!H4)</f>
        <v/>
      </c>
      <c r="J59" s="38">
        <f>IF('Storage'!I4="","",'Storage'!I4)</f>
        <v/>
      </c>
      <c r="K59" s="37">
        <f>IF('Storage'!J4="","",'Storage'!J4)</f>
        <v/>
      </c>
      <c r="L59" s="37">
        <f>IF('Storage'!K4="","",'Storage'!K4)</f>
        <v/>
      </c>
      <c r="M59" s="37">
        <f>IF('Storage'!L4="","",'Storage'!L4)</f>
        <v/>
      </c>
      <c r="N59" s="38">
        <f>IF('Storage'!M4="","",'Storage'!M4)</f>
        <v/>
      </c>
    </row>
    <row r="60">
      <c r="A60" s="39">
        <f>IF('Storage'!A5="","",'Storage'!A5)</f>
        <v/>
      </c>
      <c r="B60" s="39" t="inlineStr">
        <is>
          <t>Storage</t>
        </is>
      </c>
      <c r="C60" s="39">
        <f>IF('Storage'!B5="","",'Storage'!B5)</f>
        <v/>
      </c>
      <c r="D60" s="39">
        <f>IF('Storage'!C5="","",'Storage'!C5)</f>
        <v/>
      </c>
      <c r="E60" s="39">
        <f>IF('Storage'!D5="","",'Storage'!D5)</f>
        <v/>
      </c>
      <c r="F60" s="39">
        <f>IF('Storage'!E5="","",'Storage'!E5)</f>
        <v/>
      </c>
      <c r="G60" s="40">
        <f>IF('Storage'!F5="","",'Storage'!F5)</f>
        <v/>
      </c>
      <c r="H60" s="40">
        <f>IF('Storage'!G5="","",'Storage'!G5)</f>
        <v/>
      </c>
      <c r="I60" s="39">
        <f>IF('Storage'!H5="","",'Storage'!H5)</f>
        <v/>
      </c>
      <c r="J60" s="40">
        <f>IF('Storage'!I5="","",'Storage'!I5)</f>
        <v/>
      </c>
      <c r="K60" s="39">
        <f>IF('Storage'!J5="","",'Storage'!J5)</f>
        <v/>
      </c>
      <c r="L60" s="39">
        <f>IF('Storage'!K5="","",'Storage'!K5)</f>
        <v/>
      </c>
      <c r="M60" s="39">
        <f>IF('Storage'!L5="","",'Storage'!L5)</f>
        <v/>
      </c>
      <c r="N60" s="40">
        <f>IF('Storage'!M5="","",'Storage'!M5)</f>
        <v/>
      </c>
    </row>
    <row r="61">
      <c r="A61" s="37">
        <f>IF('Storage'!A6="","",'Storage'!A6)</f>
        <v/>
      </c>
      <c r="B61" s="37" t="inlineStr">
        <is>
          <t>Storage</t>
        </is>
      </c>
      <c r="C61" s="37">
        <f>IF('Storage'!B6="","",'Storage'!B6)</f>
        <v/>
      </c>
      <c r="D61" s="37">
        <f>IF('Storage'!C6="","",'Storage'!C6)</f>
        <v/>
      </c>
      <c r="E61" s="37">
        <f>IF('Storage'!D6="","",'Storage'!D6)</f>
        <v/>
      </c>
      <c r="F61" s="37">
        <f>IF('Storage'!E6="","",'Storage'!E6)</f>
        <v/>
      </c>
      <c r="G61" s="38">
        <f>IF('Storage'!F6="","",'Storage'!F6)</f>
        <v/>
      </c>
      <c r="H61" s="38">
        <f>IF('Storage'!G6="","",'Storage'!G6)</f>
        <v/>
      </c>
      <c r="I61" s="37">
        <f>IF('Storage'!H6="","",'Storage'!H6)</f>
        <v/>
      </c>
      <c r="J61" s="38">
        <f>IF('Storage'!I6="","",'Storage'!I6)</f>
        <v/>
      </c>
      <c r="K61" s="37">
        <f>IF('Storage'!J6="","",'Storage'!J6)</f>
        <v/>
      </c>
      <c r="L61" s="37">
        <f>IF('Storage'!K6="","",'Storage'!K6)</f>
        <v/>
      </c>
      <c r="M61" s="37">
        <f>IF('Storage'!L6="","",'Storage'!L6)</f>
        <v/>
      </c>
      <c r="N61" s="38">
        <f>IF('Storage'!M6="","",'Storage'!M6)</f>
        <v/>
      </c>
    </row>
    <row r="62">
      <c r="A62" s="39">
        <f>IF('Storage'!A7="","",'Storage'!A7)</f>
        <v/>
      </c>
      <c r="B62" s="39" t="inlineStr">
        <is>
          <t>Storage</t>
        </is>
      </c>
      <c r="C62" s="39">
        <f>IF('Storage'!B7="","",'Storage'!B7)</f>
        <v/>
      </c>
      <c r="D62" s="39">
        <f>IF('Storage'!C7="","",'Storage'!C7)</f>
        <v/>
      </c>
      <c r="E62" s="39">
        <f>IF('Storage'!D7="","",'Storage'!D7)</f>
        <v/>
      </c>
      <c r="F62" s="39">
        <f>IF('Storage'!E7="","",'Storage'!E7)</f>
        <v/>
      </c>
      <c r="G62" s="40">
        <f>IF('Storage'!F7="","",'Storage'!F7)</f>
        <v/>
      </c>
      <c r="H62" s="40">
        <f>IF('Storage'!G7="","",'Storage'!G7)</f>
        <v/>
      </c>
      <c r="I62" s="39">
        <f>IF('Storage'!H7="","",'Storage'!H7)</f>
        <v/>
      </c>
      <c r="J62" s="40">
        <f>IF('Storage'!I7="","",'Storage'!I7)</f>
        <v/>
      </c>
      <c r="K62" s="39">
        <f>IF('Storage'!J7="","",'Storage'!J7)</f>
        <v/>
      </c>
      <c r="L62" s="39">
        <f>IF('Storage'!K7="","",'Storage'!K7)</f>
        <v/>
      </c>
      <c r="M62" s="39">
        <f>IF('Storage'!L7="","",'Storage'!L7)</f>
        <v/>
      </c>
      <c r="N62" s="40">
        <f>IF('Storage'!M7="","",'Storage'!M7)</f>
        <v/>
      </c>
    </row>
    <row r="63">
      <c r="A63" s="37">
        <f>IF('Application'!A3="","",'Application'!A3)</f>
        <v/>
      </c>
      <c r="B63" s="37" t="inlineStr">
        <is>
          <t>Application</t>
        </is>
      </c>
      <c r="C63" s="37">
        <f>IF('Application'!B3="","",'Application'!B3)</f>
        <v/>
      </c>
      <c r="D63" s="37">
        <f>IF('Application'!C3="","",'Application'!C3)</f>
        <v/>
      </c>
      <c r="E63" s="37">
        <f>IF('Application'!D3="","",'Application'!D3)</f>
        <v/>
      </c>
      <c r="F63" s="37">
        <f>IF('Application'!E3="","",'Application'!E3)</f>
        <v/>
      </c>
      <c r="G63" s="38">
        <f>IF('Application'!F3="","",'Application'!F3)</f>
        <v/>
      </c>
      <c r="H63" s="38">
        <f>IF('Application'!G3="","",'Application'!G3)</f>
        <v/>
      </c>
      <c r="I63" s="37">
        <f>IF('Application'!H3="","",'Application'!H3)</f>
        <v/>
      </c>
      <c r="J63" s="38">
        <f>IF('Application'!I3="","",'Application'!I3)</f>
        <v/>
      </c>
      <c r="K63" s="37">
        <f>IF('Application'!J3="","",'Application'!J3)</f>
        <v/>
      </c>
      <c r="L63" s="37">
        <f>IF('Application'!K3="","",'Application'!K3)</f>
        <v/>
      </c>
      <c r="M63" s="37">
        <f>IF('Application'!L3="","",'Application'!L3)</f>
        <v/>
      </c>
      <c r="N63" s="38">
        <f>IF('Application'!M3="","",'Application'!M3)</f>
        <v/>
      </c>
    </row>
    <row r="64">
      <c r="A64" s="39">
        <f>IF('Application'!A4="","",'Application'!A4)</f>
        <v/>
      </c>
      <c r="B64" s="39" t="inlineStr">
        <is>
          <t>Application</t>
        </is>
      </c>
      <c r="C64" s="39">
        <f>IF('Application'!B4="","",'Application'!B4)</f>
        <v/>
      </c>
      <c r="D64" s="39">
        <f>IF('Application'!C4="","",'Application'!C4)</f>
        <v/>
      </c>
      <c r="E64" s="39">
        <f>IF('Application'!D4="","",'Application'!D4)</f>
        <v/>
      </c>
      <c r="F64" s="39">
        <f>IF('Application'!E4="","",'Application'!E4)</f>
        <v/>
      </c>
      <c r="G64" s="40">
        <f>IF('Application'!F4="","",'Application'!F4)</f>
        <v/>
      </c>
      <c r="H64" s="40">
        <f>IF('Application'!G4="","",'Application'!G4)</f>
        <v/>
      </c>
      <c r="I64" s="39">
        <f>IF('Application'!H4="","",'Application'!H4)</f>
        <v/>
      </c>
      <c r="J64" s="40">
        <f>IF('Application'!I4="","",'Application'!I4)</f>
        <v/>
      </c>
      <c r="K64" s="39">
        <f>IF('Application'!J4="","",'Application'!J4)</f>
        <v/>
      </c>
      <c r="L64" s="39">
        <f>IF('Application'!K4="","",'Application'!K4)</f>
        <v/>
      </c>
      <c r="M64" s="39">
        <f>IF('Application'!L4="","",'Application'!L4)</f>
        <v/>
      </c>
      <c r="N64" s="40">
        <f>IF('Application'!M4="","",'Application'!M4)</f>
        <v/>
      </c>
    </row>
    <row r="65">
      <c r="A65" s="37">
        <f>IF('Application'!A5="","",'Application'!A5)</f>
        <v/>
      </c>
      <c r="B65" s="37" t="inlineStr">
        <is>
          <t>Application</t>
        </is>
      </c>
      <c r="C65" s="37">
        <f>IF('Application'!B5="","",'Application'!B5)</f>
        <v/>
      </c>
      <c r="D65" s="37">
        <f>IF('Application'!C5="","",'Application'!C5)</f>
        <v/>
      </c>
      <c r="E65" s="37">
        <f>IF('Application'!D5="","",'Application'!D5)</f>
        <v/>
      </c>
      <c r="F65" s="37">
        <f>IF('Application'!E5="","",'Application'!E5)</f>
        <v/>
      </c>
      <c r="G65" s="38">
        <f>IF('Application'!F5="","",'Application'!F5)</f>
        <v/>
      </c>
      <c r="H65" s="38">
        <f>IF('Application'!G5="","",'Application'!G5)</f>
        <v/>
      </c>
      <c r="I65" s="37">
        <f>IF('Application'!H5="","",'Application'!H5)</f>
        <v/>
      </c>
      <c r="J65" s="38">
        <f>IF('Application'!I5="","",'Application'!I5)</f>
        <v/>
      </c>
      <c r="K65" s="37">
        <f>IF('Application'!J5="","",'Application'!J5)</f>
        <v/>
      </c>
      <c r="L65" s="37">
        <f>IF('Application'!K5="","",'Application'!K5)</f>
        <v/>
      </c>
      <c r="M65" s="37">
        <f>IF('Application'!L5="","",'Application'!L5)</f>
        <v/>
      </c>
      <c r="N65" s="38">
        <f>IF('Application'!M5="","",'Application'!M5)</f>
        <v/>
      </c>
    </row>
    <row r="66">
      <c r="A66" s="39">
        <f>IF('Application'!A6="","",'Application'!A6)</f>
        <v/>
      </c>
      <c r="B66" s="39" t="inlineStr">
        <is>
          <t>Application</t>
        </is>
      </c>
      <c r="C66" s="39">
        <f>IF('Application'!B6="","",'Application'!B6)</f>
        <v/>
      </c>
      <c r="D66" s="39">
        <f>IF('Application'!C6="","",'Application'!C6)</f>
        <v/>
      </c>
      <c r="E66" s="39">
        <f>IF('Application'!D6="","",'Application'!D6)</f>
        <v/>
      </c>
      <c r="F66" s="39">
        <f>IF('Application'!E6="","",'Application'!E6)</f>
        <v/>
      </c>
      <c r="G66" s="40">
        <f>IF('Application'!F6="","",'Application'!F6)</f>
        <v/>
      </c>
      <c r="H66" s="40">
        <f>IF('Application'!G6="","",'Application'!G6)</f>
        <v/>
      </c>
      <c r="I66" s="39">
        <f>IF('Application'!H6="","",'Application'!H6)</f>
        <v/>
      </c>
      <c r="J66" s="40">
        <f>IF('Application'!I6="","",'Application'!I6)</f>
        <v/>
      </c>
      <c r="K66" s="39">
        <f>IF('Application'!J6="","",'Application'!J6)</f>
        <v/>
      </c>
      <c r="L66" s="39">
        <f>IF('Application'!K6="","",'Application'!K6)</f>
        <v/>
      </c>
      <c r="M66" s="39">
        <f>IF('Application'!L6="","",'Application'!L6)</f>
        <v/>
      </c>
      <c r="N66" s="40">
        <f>IF('Application'!M6="","",'Application'!M6)</f>
        <v/>
      </c>
    </row>
    <row r="67">
      <c r="A67" s="37">
        <f>IF('Application'!A7="","",'Application'!A7)</f>
        <v/>
      </c>
      <c r="B67" s="37" t="inlineStr">
        <is>
          <t>Application</t>
        </is>
      </c>
      <c r="C67" s="37">
        <f>IF('Application'!B7="","",'Application'!B7)</f>
        <v/>
      </c>
      <c r="D67" s="37">
        <f>IF('Application'!C7="","",'Application'!C7)</f>
        <v/>
      </c>
      <c r="E67" s="37">
        <f>IF('Application'!D7="","",'Application'!D7)</f>
        <v/>
      </c>
      <c r="F67" s="37">
        <f>IF('Application'!E7="","",'Application'!E7)</f>
        <v/>
      </c>
      <c r="G67" s="38">
        <f>IF('Application'!F7="","",'Application'!F7)</f>
        <v/>
      </c>
      <c r="H67" s="38">
        <f>IF('Application'!G7="","",'Application'!G7)</f>
        <v/>
      </c>
      <c r="I67" s="37">
        <f>IF('Application'!H7="","",'Application'!H7)</f>
        <v/>
      </c>
      <c r="J67" s="38">
        <f>IF('Application'!I7="","",'Application'!I7)</f>
        <v/>
      </c>
      <c r="K67" s="37">
        <f>IF('Application'!J7="","",'Application'!J7)</f>
        <v/>
      </c>
      <c r="L67" s="37">
        <f>IF('Application'!K7="","",'Application'!K7)</f>
        <v/>
      </c>
      <c r="M67" s="37">
        <f>IF('Application'!L7="","",'Application'!L7)</f>
        <v/>
      </c>
      <c r="N67" s="38">
        <f>IF('Application'!M7="","",'Application'!M7)</f>
        <v/>
      </c>
    </row>
    <row r="68">
      <c r="A68" s="39">
        <f>IF('Application'!A8="","",'Application'!A8)</f>
        <v/>
      </c>
      <c r="B68" s="39" t="inlineStr">
        <is>
          <t>Application</t>
        </is>
      </c>
      <c r="C68" s="39">
        <f>IF('Application'!B8="","",'Application'!B8)</f>
        <v/>
      </c>
      <c r="D68" s="39">
        <f>IF('Application'!C8="","",'Application'!C8)</f>
        <v/>
      </c>
      <c r="E68" s="39">
        <f>IF('Application'!D8="","",'Application'!D8)</f>
        <v/>
      </c>
      <c r="F68" s="39">
        <f>IF('Application'!E8="","",'Application'!E8)</f>
        <v/>
      </c>
      <c r="G68" s="40">
        <f>IF('Application'!F8="","",'Application'!F8)</f>
        <v/>
      </c>
      <c r="H68" s="40">
        <f>IF('Application'!G8="","",'Application'!G8)</f>
        <v/>
      </c>
      <c r="I68" s="39">
        <f>IF('Application'!H8="","",'Application'!H8)</f>
        <v/>
      </c>
      <c r="J68" s="40">
        <f>IF('Application'!I8="","",'Application'!I8)</f>
        <v/>
      </c>
      <c r="K68" s="39">
        <f>IF('Application'!J8="","",'Application'!J8)</f>
        <v/>
      </c>
      <c r="L68" s="39">
        <f>IF('Application'!K8="","",'Application'!K8)</f>
        <v/>
      </c>
      <c r="M68" s="39">
        <f>IF('Application'!L8="","",'Application'!L8)</f>
        <v/>
      </c>
      <c r="N68" s="40">
        <f>IF('Application'!M8="","",'Application'!M8)</f>
        <v/>
      </c>
    </row>
    <row r="69">
      <c r="A69" s="37">
        <f>IF('Application'!A9="","",'Application'!A9)</f>
        <v/>
      </c>
      <c r="B69" s="37" t="inlineStr">
        <is>
          <t>Application</t>
        </is>
      </c>
      <c r="C69" s="37">
        <f>IF('Application'!B9="","",'Application'!B9)</f>
        <v/>
      </c>
      <c r="D69" s="37">
        <f>IF('Application'!C9="","",'Application'!C9)</f>
        <v/>
      </c>
      <c r="E69" s="37">
        <f>IF('Application'!D9="","",'Application'!D9)</f>
        <v/>
      </c>
      <c r="F69" s="37">
        <f>IF('Application'!E9="","",'Application'!E9)</f>
        <v/>
      </c>
      <c r="G69" s="38">
        <f>IF('Application'!F9="","",'Application'!F9)</f>
        <v/>
      </c>
      <c r="H69" s="38">
        <f>IF('Application'!G9="","",'Application'!G9)</f>
        <v/>
      </c>
      <c r="I69" s="37">
        <f>IF('Application'!H9="","",'Application'!H9)</f>
        <v/>
      </c>
      <c r="J69" s="38">
        <f>IF('Application'!I9="","",'Application'!I9)</f>
        <v/>
      </c>
      <c r="K69" s="37">
        <f>IF('Application'!J9="","",'Application'!J9)</f>
        <v/>
      </c>
      <c r="L69" s="37">
        <f>IF('Application'!K9="","",'Application'!K9)</f>
        <v/>
      </c>
      <c r="M69" s="37">
        <f>IF('Application'!L9="","",'Application'!L9)</f>
        <v/>
      </c>
      <c r="N69" s="38">
        <f>IF('Application'!M9="","",'Application'!M9)</f>
        <v/>
      </c>
    </row>
    <row r="70">
      <c r="A70" s="39">
        <f>IF('Application'!A10="","",'Application'!A10)</f>
        <v/>
      </c>
      <c r="B70" s="39" t="inlineStr">
        <is>
          <t>Application</t>
        </is>
      </c>
      <c r="C70" s="39">
        <f>IF('Application'!B10="","",'Application'!B10)</f>
        <v/>
      </c>
      <c r="D70" s="39">
        <f>IF('Application'!C10="","",'Application'!C10)</f>
        <v/>
      </c>
      <c r="E70" s="39">
        <f>IF('Application'!D10="","",'Application'!D10)</f>
        <v/>
      </c>
      <c r="F70" s="39">
        <f>IF('Application'!E10="","",'Application'!E10)</f>
        <v/>
      </c>
      <c r="G70" s="40">
        <f>IF('Application'!F10="","",'Application'!F10)</f>
        <v/>
      </c>
      <c r="H70" s="40">
        <f>IF('Application'!G10="","",'Application'!G10)</f>
        <v/>
      </c>
      <c r="I70" s="39">
        <f>IF('Application'!H10="","",'Application'!H10)</f>
        <v/>
      </c>
      <c r="J70" s="40">
        <f>IF('Application'!I10="","",'Application'!I10)</f>
        <v/>
      </c>
      <c r="K70" s="39">
        <f>IF('Application'!J10="","",'Application'!J10)</f>
        <v/>
      </c>
      <c r="L70" s="39">
        <f>IF('Application'!K10="","",'Application'!K10)</f>
        <v/>
      </c>
      <c r="M70" s="39">
        <f>IF('Application'!L10="","",'Application'!L10)</f>
        <v/>
      </c>
      <c r="N70" s="40">
        <f>IF('Application'!M10="","",'Application'!M10)</f>
        <v/>
      </c>
    </row>
    <row r="71">
      <c r="A71" s="37">
        <f>IF('Application'!A11="","",'Application'!A11)</f>
        <v/>
      </c>
      <c r="B71" s="37" t="inlineStr">
        <is>
          <t>Application</t>
        </is>
      </c>
      <c r="C71" s="37">
        <f>IF('Application'!B11="","",'Application'!B11)</f>
        <v/>
      </c>
      <c r="D71" s="37">
        <f>IF('Application'!C11="","",'Application'!C11)</f>
        <v/>
      </c>
      <c r="E71" s="37">
        <f>IF('Application'!D11="","",'Application'!D11)</f>
        <v/>
      </c>
      <c r="F71" s="37">
        <f>IF('Application'!E11="","",'Application'!E11)</f>
        <v/>
      </c>
      <c r="G71" s="38">
        <f>IF('Application'!F11="","",'Application'!F11)</f>
        <v/>
      </c>
      <c r="H71" s="38">
        <f>IF('Application'!G11="","",'Application'!G11)</f>
        <v/>
      </c>
      <c r="I71" s="37">
        <f>IF('Application'!H11="","",'Application'!H11)</f>
        <v/>
      </c>
      <c r="J71" s="38">
        <f>IF('Application'!I11="","",'Application'!I11)</f>
        <v/>
      </c>
      <c r="K71" s="37">
        <f>IF('Application'!J11="","",'Application'!J11)</f>
        <v/>
      </c>
      <c r="L71" s="37">
        <f>IF('Application'!K11="","",'Application'!K11)</f>
        <v/>
      </c>
      <c r="M71" s="37">
        <f>IF('Application'!L11="","",'Application'!L11)</f>
        <v/>
      </c>
      <c r="N71" s="38">
        <f>IF('Application'!M11="","",'Application'!M11)</f>
        <v/>
      </c>
    </row>
    <row r="72">
      <c r="A72" s="39">
        <f>IF('Application'!A12="","",'Application'!A12)</f>
        <v/>
      </c>
      <c r="B72" s="39" t="inlineStr">
        <is>
          <t>Application</t>
        </is>
      </c>
      <c r="C72" s="39">
        <f>IF('Application'!B12="","",'Application'!B12)</f>
        <v/>
      </c>
      <c r="D72" s="39">
        <f>IF('Application'!C12="","",'Application'!C12)</f>
        <v/>
      </c>
      <c r="E72" s="39">
        <f>IF('Application'!D12="","",'Application'!D12)</f>
        <v/>
      </c>
      <c r="F72" s="39">
        <f>IF('Application'!E12="","",'Application'!E12)</f>
        <v/>
      </c>
      <c r="G72" s="40">
        <f>IF('Application'!F12="","",'Application'!F12)</f>
        <v/>
      </c>
      <c r="H72" s="40">
        <f>IF('Application'!G12="","",'Application'!G12)</f>
        <v/>
      </c>
      <c r="I72" s="39">
        <f>IF('Application'!H12="","",'Application'!H12)</f>
        <v/>
      </c>
      <c r="J72" s="40">
        <f>IF('Application'!I12="","",'Application'!I12)</f>
        <v/>
      </c>
      <c r="K72" s="39">
        <f>IF('Application'!J12="","",'Application'!J12)</f>
        <v/>
      </c>
      <c r="L72" s="39">
        <f>IF('Application'!K12="","",'Application'!K12)</f>
        <v/>
      </c>
      <c r="M72" s="39">
        <f>IF('Application'!L12="","",'Application'!L12)</f>
        <v/>
      </c>
      <c r="N72" s="40">
        <f>IF('Application'!M12="","",'Application'!M12)</f>
        <v/>
      </c>
    </row>
    <row r="73">
      <c r="A73" s="37">
        <f>IF('Application'!A13="","",'Application'!A13)</f>
        <v/>
      </c>
      <c r="B73" s="37" t="inlineStr">
        <is>
          <t>Application</t>
        </is>
      </c>
      <c r="C73" s="37">
        <f>IF('Application'!B13="","",'Application'!B13)</f>
        <v/>
      </c>
      <c r="D73" s="37">
        <f>IF('Application'!C13="","",'Application'!C13)</f>
        <v/>
      </c>
      <c r="E73" s="37">
        <f>IF('Application'!D13="","",'Application'!D13)</f>
        <v/>
      </c>
      <c r="F73" s="37">
        <f>IF('Application'!E13="","",'Application'!E13)</f>
        <v/>
      </c>
      <c r="G73" s="38">
        <f>IF('Application'!F13="","",'Application'!F13)</f>
        <v/>
      </c>
      <c r="H73" s="38">
        <f>IF('Application'!G13="","",'Application'!G13)</f>
        <v/>
      </c>
      <c r="I73" s="37">
        <f>IF('Application'!H13="","",'Application'!H13)</f>
        <v/>
      </c>
      <c r="J73" s="38">
        <f>IF('Application'!I13="","",'Application'!I13)</f>
        <v/>
      </c>
      <c r="K73" s="37">
        <f>IF('Application'!J13="","",'Application'!J13)</f>
        <v/>
      </c>
      <c r="L73" s="37">
        <f>IF('Application'!K13="","",'Application'!K13)</f>
        <v/>
      </c>
      <c r="M73" s="37">
        <f>IF('Application'!L13="","",'Application'!L13)</f>
        <v/>
      </c>
      <c r="N73" s="38">
        <f>IF('Application'!M13="","",'Application'!M13)</f>
        <v/>
      </c>
    </row>
    <row r="74">
      <c r="A74" s="39">
        <f>IF('Application'!A14="","",'Application'!A14)</f>
        <v/>
      </c>
      <c r="B74" s="39" t="inlineStr">
        <is>
          <t>Application</t>
        </is>
      </c>
      <c r="C74" s="39">
        <f>IF('Application'!B14="","",'Application'!B14)</f>
        <v/>
      </c>
      <c r="D74" s="39">
        <f>IF('Application'!C14="","",'Application'!C14)</f>
        <v/>
      </c>
      <c r="E74" s="39">
        <f>IF('Application'!D14="","",'Application'!D14)</f>
        <v/>
      </c>
      <c r="F74" s="39">
        <f>IF('Application'!E14="","",'Application'!E14)</f>
        <v/>
      </c>
      <c r="G74" s="40">
        <f>IF('Application'!F14="","",'Application'!F14)</f>
        <v/>
      </c>
      <c r="H74" s="40">
        <f>IF('Application'!G14="","",'Application'!G14)</f>
        <v/>
      </c>
      <c r="I74" s="39">
        <f>IF('Application'!H14="","",'Application'!H14)</f>
        <v/>
      </c>
      <c r="J74" s="40">
        <f>IF('Application'!I14="","",'Application'!I14)</f>
        <v/>
      </c>
      <c r="K74" s="39">
        <f>IF('Application'!J14="","",'Application'!J14)</f>
        <v/>
      </c>
      <c r="L74" s="39">
        <f>IF('Application'!K14="","",'Application'!K14)</f>
        <v/>
      </c>
      <c r="M74" s="39">
        <f>IF('Application'!L14="","",'Application'!L14)</f>
        <v/>
      </c>
      <c r="N74" s="40">
        <f>IF('Application'!M14="","",'Application'!M14)</f>
        <v/>
      </c>
    </row>
    <row r="75">
      <c r="A75" s="37">
        <f>IF('Application'!A15="","",'Application'!A15)</f>
        <v/>
      </c>
      <c r="B75" s="37" t="inlineStr">
        <is>
          <t>Application</t>
        </is>
      </c>
      <c r="C75" s="37">
        <f>IF('Application'!B15="","",'Application'!B15)</f>
        <v/>
      </c>
      <c r="D75" s="37">
        <f>IF('Application'!C15="","",'Application'!C15)</f>
        <v/>
      </c>
      <c r="E75" s="37">
        <f>IF('Application'!D15="","",'Application'!D15)</f>
        <v/>
      </c>
      <c r="F75" s="37">
        <f>IF('Application'!E15="","",'Application'!E15)</f>
        <v/>
      </c>
      <c r="G75" s="38">
        <f>IF('Application'!F15="","",'Application'!F15)</f>
        <v/>
      </c>
      <c r="H75" s="38">
        <f>IF('Application'!G15="","",'Application'!G15)</f>
        <v/>
      </c>
      <c r="I75" s="37">
        <f>IF('Application'!H15="","",'Application'!H15)</f>
        <v/>
      </c>
      <c r="J75" s="38">
        <f>IF('Application'!I15="","",'Application'!I15)</f>
        <v/>
      </c>
      <c r="K75" s="37">
        <f>IF('Application'!J15="","",'Application'!J15)</f>
        <v/>
      </c>
      <c r="L75" s="37">
        <f>IF('Application'!K15="","",'Application'!K15)</f>
        <v/>
      </c>
      <c r="M75" s="37">
        <f>IF('Application'!L15="","",'Application'!L15)</f>
        <v/>
      </c>
      <c r="N75" s="38">
        <f>IF('Application'!M15="","",'Application'!M15)</f>
        <v/>
      </c>
    </row>
    <row r="76">
      <c r="A76" s="39">
        <f>IF('Application'!A16="","",'Application'!A16)</f>
        <v/>
      </c>
      <c r="B76" s="39" t="inlineStr">
        <is>
          <t>Application</t>
        </is>
      </c>
      <c r="C76" s="39">
        <f>IF('Application'!B16="","",'Application'!B16)</f>
        <v/>
      </c>
      <c r="D76" s="39">
        <f>IF('Application'!C16="","",'Application'!C16)</f>
        <v/>
      </c>
      <c r="E76" s="39">
        <f>IF('Application'!D16="","",'Application'!D16)</f>
        <v/>
      </c>
      <c r="F76" s="39">
        <f>IF('Application'!E16="","",'Application'!E16)</f>
        <v/>
      </c>
      <c r="G76" s="40">
        <f>IF('Application'!F16="","",'Application'!F16)</f>
        <v/>
      </c>
      <c r="H76" s="40">
        <f>IF('Application'!G16="","",'Application'!G16)</f>
        <v/>
      </c>
      <c r="I76" s="39">
        <f>IF('Application'!H16="","",'Application'!H16)</f>
        <v/>
      </c>
      <c r="J76" s="40">
        <f>IF('Application'!I16="","",'Application'!I16)</f>
        <v/>
      </c>
      <c r="K76" s="39">
        <f>IF('Application'!J16="","",'Application'!J16)</f>
        <v/>
      </c>
      <c r="L76" s="39">
        <f>IF('Application'!K16="","",'Application'!K16)</f>
        <v/>
      </c>
      <c r="M76" s="39">
        <f>IF('Application'!L16="","",'Application'!L16)</f>
        <v/>
      </c>
      <c r="N76" s="40">
        <f>IF('Application'!M16="","",'Application'!M16)</f>
        <v/>
      </c>
    </row>
    <row r="77">
      <c r="A77" s="37">
        <f>IF('Application'!A17="","",'Application'!A17)</f>
        <v/>
      </c>
      <c r="B77" s="37" t="inlineStr">
        <is>
          <t>Application</t>
        </is>
      </c>
      <c r="C77" s="37">
        <f>IF('Application'!B17="","",'Application'!B17)</f>
        <v/>
      </c>
      <c r="D77" s="37">
        <f>IF('Application'!C17="","",'Application'!C17)</f>
        <v/>
      </c>
      <c r="E77" s="37">
        <f>IF('Application'!D17="","",'Application'!D17)</f>
        <v/>
      </c>
      <c r="F77" s="37">
        <f>IF('Application'!E17="","",'Application'!E17)</f>
        <v/>
      </c>
      <c r="G77" s="38">
        <f>IF('Application'!F17="","",'Application'!F17)</f>
        <v/>
      </c>
      <c r="H77" s="38">
        <f>IF('Application'!G17="","",'Application'!G17)</f>
        <v/>
      </c>
      <c r="I77" s="37">
        <f>IF('Application'!H17="","",'Application'!H17)</f>
        <v/>
      </c>
      <c r="J77" s="38">
        <f>IF('Application'!I17="","",'Application'!I17)</f>
        <v/>
      </c>
      <c r="K77" s="37">
        <f>IF('Application'!J17="","",'Application'!J17)</f>
        <v/>
      </c>
      <c r="L77" s="37">
        <f>IF('Application'!K17="","",'Application'!K17)</f>
        <v/>
      </c>
      <c r="M77" s="37">
        <f>IF('Application'!L17="","",'Application'!L17)</f>
        <v/>
      </c>
      <c r="N77" s="38">
        <f>IF('Application'!M17="","",'Application'!M17)</f>
        <v/>
      </c>
    </row>
    <row r="78">
      <c r="A78" s="39">
        <f>IF('Application'!A18="","",'Application'!A18)</f>
        <v/>
      </c>
      <c r="B78" s="39" t="inlineStr">
        <is>
          <t>Application</t>
        </is>
      </c>
      <c r="C78" s="39">
        <f>IF('Application'!B18="","",'Application'!B18)</f>
        <v/>
      </c>
      <c r="D78" s="39">
        <f>IF('Application'!C18="","",'Application'!C18)</f>
        <v/>
      </c>
      <c r="E78" s="39">
        <f>IF('Application'!D18="","",'Application'!D18)</f>
        <v/>
      </c>
      <c r="F78" s="39">
        <f>IF('Application'!E18="","",'Application'!E18)</f>
        <v/>
      </c>
      <c r="G78" s="40">
        <f>IF('Application'!F18="","",'Application'!F18)</f>
        <v/>
      </c>
      <c r="H78" s="40">
        <f>IF('Application'!G18="","",'Application'!G18)</f>
        <v/>
      </c>
      <c r="I78" s="39">
        <f>IF('Application'!H18="","",'Application'!H18)</f>
        <v/>
      </c>
      <c r="J78" s="40">
        <f>IF('Application'!I18="","",'Application'!I18)</f>
        <v/>
      </c>
      <c r="K78" s="39">
        <f>IF('Application'!J18="","",'Application'!J18)</f>
        <v/>
      </c>
      <c r="L78" s="39">
        <f>IF('Application'!K18="","",'Application'!K18)</f>
        <v/>
      </c>
      <c r="M78" s="39">
        <f>IF('Application'!L18="","",'Application'!L18)</f>
        <v/>
      </c>
      <c r="N78" s="40">
        <f>IF('Application'!M18="","",'Application'!M18)</f>
        <v/>
      </c>
    </row>
    <row r="79">
      <c r="A79" s="37">
        <f>IF('Application'!A19="","",'Application'!A19)</f>
        <v/>
      </c>
      <c r="B79" s="37" t="inlineStr">
        <is>
          <t>Application</t>
        </is>
      </c>
      <c r="C79" s="37">
        <f>IF('Application'!B19="","",'Application'!B19)</f>
        <v/>
      </c>
      <c r="D79" s="37">
        <f>IF('Application'!C19="","",'Application'!C19)</f>
        <v/>
      </c>
      <c r="E79" s="37">
        <f>IF('Application'!D19="","",'Application'!D19)</f>
        <v/>
      </c>
      <c r="F79" s="37">
        <f>IF('Application'!E19="","",'Application'!E19)</f>
        <v/>
      </c>
      <c r="G79" s="38">
        <f>IF('Application'!F19="","",'Application'!F19)</f>
        <v/>
      </c>
      <c r="H79" s="38">
        <f>IF('Application'!G19="","",'Application'!G19)</f>
        <v/>
      </c>
      <c r="I79" s="37">
        <f>IF('Application'!H19="","",'Application'!H19)</f>
        <v/>
      </c>
      <c r="J79" s="38">
        <f>IF('Application'!I19="","",'Application'!I19)</f>
        <v/>
      </c>
      <c r="K79" s="37">
        <f>IF('Application'!J19="","",'Application'!J19)</f>
        <v/>
      </c>
      <c r="L79" s="37">
        <f>IF('Application'!K19="","",'Application'!K19)</f>
        <v/>
      </c>
      <c r="M79" s="37">
        <f>IF('Application'!L19="","",'Application'!L19)</f>
        <v/>
      </c>
      <c r="N79" s="38">
        <f>IF('Application'!M19="","",'Application'!M19)</f>
        <v/>
      </c>
    </row>
    <row r="80">
      <c r="A80" s="39">
        <f>IF('Application'!A20="","",'Application'!A20)</f>
        <v/>
      </c>
      <c r="B80" s="39" t="inlineStr">
        <is>
          <t>Application</t>
        </is>
      </c>
      <c r="C80" s="39">
        <f>IF('Application'!B20="","",'Application'!B20)</f>
        <v/>
      </c>
      <c r="D80" s="39">
        <f>IF('Application'!C20="","",'Application'!C20)</f>
        <v/>
      </c>
      <c r="E80" s="39">
        <f>IF('Application'!D20="","",'Application'!D20)</f>
        <v/>
      </c>
      <c r="F80" s="39">
        <f>IF('Application'!E20="","",'Application'!E20)</f>
        <v/>
      </c>
      <c r="G80" s="40">
        <f>IF('Application'!F20="","",'Application'!F20)</f>
        <v/>
      </c>
      <c r="H80" s="40">
        <f>IF('Application'!G20="","",'Application'!G20)</f>
        <v/>
      </c>
      <c r="I80" s="39">
        <f>IF('Application'!H20="","",'Application'!H20)</f>
        <v/>
      </c>
      <c r="J80" s="40">
        <f>IF('Application'!I20="","",'Application'!I20)</f>
        <v/>
      </c>
      <c r="K80" s="39">
        <f>IF('Application'!J20="","",'Application'!J20)</f>
        <v/>
      </c>
      <c r="L80" s="39">
        <f>IF('Application'!K20="","",'Application'!K20)</f>
        <v/>
      </c>
      <c r="M80" s="39">
        <f>IF('Application'!L20="","",'Application'!L20)</f>
        <v/>
      </c>
      <c r="N80" s="40">
        <f>IF('Application'!M20="","",'Application'!M20)</f>
        <v/>
      </c>
    </row>
    <row r="81">
      <c r="A81" s="37">
        <f>IF('Monitoring'!A3="","",'Monitoring'!A3)</f>
        <v/>
      </c>
      <c r="B81" s="37" t="inlineStr">
        <is>
          <t>Monitoring</t>
        </is>
      </c>
      <c r="C81" s="37">
        <f>IF('Monitoring'!B3="","",'Monitoring'!B3)</f>
        <v/>
      </c>
      <c r="D81" s="37">
        <f>IF('Monitoring'!C3="","",'Monitoring'!C3)</f>
        <v/>
      </c>
      <c r="E81" s="37">
        <f>IF('Monitoring'!D3="","",'Monitoring'!D3)</f>
        <v/>
      </c>
      <c r="F81" s="37">
        <f>IF('Monitoring'!E3="","",'Monitoring'!E3)</f>
        <v/>
      </c>
      <c r="G81" s="38">
        <f>IF('Monitoring'!F3="","",'Monitoring'!F3)</f>
        <v/>
      </c>
      <c r="H81" s="38">
        <f>IF('Monitoring'!G3="","",'Monitoring'!G3)</f>
        <v/>
      </c>
      <c r="I81" s="37">
        <f>IF('Monitoring'!H3="","",'Monitoring'!H3)</f>
        <v/>
      </c>
      <c r="J81" s="38">
        <f>IF('Monitoring'!I3="","",'Monitoring'!I3)</f>
        <v/>
      </c>
      <c r="K81" s="37">
        <f>IF('Monitoring'!J3="","",'Monitoring'!J3)</f>
        <v/>
      </c>
      <c r="L81" s="37">
        <f>IF('Monitoring'!K3="","",'Monitoring'!K3)</f>
        <v/>
      </c>
      <c r="M81" s="37">
        <f>IF('Monitoring'!L3="","",'Monitoring'!L3)</f>
        <v/>
      </c>
      <c r="N81" s="38">
        <f>IF('Monitoring'!M3="","",'Monitoring'!M3)</f>
        <v/>
      </c>
    </row>
    <row r="82">
      <c r="A82" s="39">
        <f>IF('Monitoring'!A4="","",'Monitoring'!A4)</f>
        <v/>
      </c>
      <c r="B82" s="39" t="inlineStr">
        <is>
          <t>Monitoring</t>
        </is>
      </c>
      <c r="C82" s="39">
        <f>IF('Monitoring'!B4="","",'Monitoring'!B4)</f>
        <v/>
      </c>
      <c r="D82" s="39">
        <f>IF('Monitoring'!C4="","",'Monitoring'!C4)</f>
        <v/>
      </c>
      <c r="E82" s="39">
        <f>IF('Monitoring'!D4="","",'Monitoring'!D4)</f>
        <v/>
      </c>
      <c r="F82" s="39">
        <f>IF('Monitoring'!E4="","",'Monitoring'!E4)</f>
        <v/>
      </c>
      <c r="G82" s="40">
        <f>IF('Monitoring'!F4="","",'Monitoring'!F4)</f>
        <v/>
      </c>
      <c r="H82" s="40">
        <f>IF('Monitoring'!G4="","",'Monitoring'!G4)</f>
        <v/>
      </c>
      <c r="I82" s="39">
        <f>IF('Monitoring'!H4="","",'Monitoring'!H4)</f>
        <v/>
      </c>
      <c r="J82" s="40">
        <f>IF('Monitoring'!I4="","",'Monitoring'!I4)</f>
        <v/>
      </c>
      <c r="K82" s="39">
        <f>IF('Monitoring'!J4="","",'Monitoring'!J4)</f>
        <v/>
      </c>
      <c r="L82" s="39">
        <f>IF('Monitoring'!K4="","",'Monitoring'!K4)</f>
        <v/>
      </c>
      <c r="M82" s="39">
        <f>IF('Monitoring'!L4="","",'Monitoring'!L4)</f>
        <v/>
      </c>
      <c r="N82" s="40">
        <f>IF('Monitoring'!M4="","",'Monitoring'!M4)</f>
        <v/>
      </c>
    </row>
    <row r="83">
      <c r="A83" s="37">
        <f>IF('Monitoring'!A5="","",'Monitoring'!A5)</f>
        <v/>
      </c>
      <c r="B83" s="37" t="inlineStr">
        <is>
          <t>Monitoring</t>
        </is>
      </c>
      <c r="C83" s="37">
        <f>IF('Monitoring'!B5="","",'Monitoring'!B5)</f>
        <v/>
      </c>
      <c r="D83" s="37">
        <f>IF('Monitoring'!C5="","",'Monitoring'!C5)</f>
        <v/>
      </c>
      <c r="E83" s="37">
        <f>IF('Monitoring'!D5="","",'Monitoring'!D5)</f>
        <v/>
      </c>
      <c r="F83" s="37">
        <f>IF('Monitoring'!E5="","",'Monitoring'!E5)</f>
        <v/>
      </c>
      <c r="G83" s="38">
        <f>IF('Monitoring'!F5="","",'Monitoring'!F5)</f>
        <v/>
      </c>
      <c r="H83" s="38">
        <f>IF('Monitoring'!G5="","",'Monitoring'!G5)</f>
        <v/>
      </c>
      <c r="I83" s="37">
        <f>IF('Monitoring'!H5="","",'Monitoring'!H5)</f>
        <v/>
      </c>
      <c r="J83" s="38">
        <f>IF('Monitoring'!I5="","",'Monitoring'!I5)</f>
        <v/>
      </c>
      <c r="K83" s="37">
        <f>IF('Monitoring'!J5="","",'Monitoring'!J5)</f>
        <v/>
      </c>
      <c r="L83" s="37">
        <f>IF('Monitoring'!K5="","",'Monitoring'!K5)</f>
        <v/>
      </c>
      <c r="M83" s="37">
        <f>IF('Monitoring'!L5="","",'Monitoring'!L5)</f>
        <v/>
      </c>
      <c r="N83" s="38">
        <f>IF('Monitoring'!M5="","",'Monitoring'!M5)</f>
        <v/>
      </c>
    </row>
    <row r="84">
      <c r="A84" s="39">
        <f>IF('Monitoring'!A6="","",'Monitoring'!A6)</f>
        <v/>
      </c>
      <c r="B84" s="39" t="inlineStr">
        <is>
          <t>Monitoring</t>
        </is>
      </c>
      <c r="C84" s="39">
        <f>IF('Monitoring'!B6="","",'Monitoring'!B6)</f>
        <v/>
      </c>
      <c r="D84" s="39">
        <f>IF('Monitoring'!C6="","",'Monitoring'!C6)</f>
        <v/>
      </c>
      <c r="E84" s="39">
        <f>IF('Monitoring'!D6="","",'Monitoring'!D6)</f>
        <v/>
      </c>
      <c r="F84" s="39">
        <f>IF('Monitoring'!E6="","",'Monitoring'!E6)</f>
        <v/>
      </c>
      <c r="G84" s="40">
        <f>IF('Monitoring'!F6="","",'Monitoring'!F6)</f>
        <v/>
      </c>
      <c r="H84" s="40">
        <f>IF('Monitoring'!G6="","",'Monitoring'!G6)</f>
        <v/>
      </c>
      <c r="I84" s="39">
        <f>IF('Monitoring'!H6="","",'Monitoring'!H6)</f>
        <v/>
      </c>
      <c r="J84" s="40">
        <f>IF('Monitoring'!I6="","",'Monitoring'!I6)</f>
        <v/>
      </c>
      <c r="K84" s="39">
        <f>IF('Monitoring'!J6="","",'Monitoring'!J6)</f>
        <v/>
      </c>
      <c r="L84" s="39">
        <f>IF('Monitoring'!K6="","",'Monitoring'!K6)</f>
        <v/>
      </c>
      <c r="M84" s="39">
        <f>IF('Monitoring'!L6="","",'Monitoring'!L6)</f>
        <v/>
      </c>
      <c r="N84" s="40">
        <f>IF('Monitoring'!M6="","",'Monitoring'!M6)</f>
        <v/>
      </c>
    </row>
    <row r="85">
      <c r="A85" s="37">
        <f>IF('Monitoring'!A7="","",'Monitoring'!A7)</f>
        <v/>
      </c>
      <c r="B85" s="37" t="inlineStr">
        <is>
          <t>Monitoring</t>
        </is>
      </c>
      <c r="C85" s="37">
        <f>IF('Monitoring'!B7="","",'Monitoring'!B7)</f>
        <v/>
      </c>
      <c r="D85" s="37">
        <f>IF('Monitoring'!C7="","",'Monitoring'!C7)</f>
        <v/>
      </c>
      <c r="E85" s="37">
        <f>IF('Monitoring'!D7="","",'Monitoring'!D7)</f>
        <v/>
      </c>
      <c r="F85" s="37">
        <f>IF('Monitoring'!E7="","",'Monitoring'!E7)</f>
        <v/>
      </c>
      <c r="G85" s="38">
        <f>IF('Monitoring'!F7="","",'Monitoring'!F7)</f>
        <v/>
      </c>
      <c r="H85" s="38">
        <f>IF('Monitoring'!G7="","",'Monitoring'!G7)</f>
        <v/>
      </c>
      <c r="I85" s="37">
        <f>IF('Monitoring'!H7="","",'Monitoring'!H7)</f>
        <v/>
      </c>
      <c r="J85" s="38">
        <f>IF('Monitoring'!I7="","",'Monitoring'!I7)</f>
        <v/>
      </c>
      <c r="K85" s="37">
        <f>IF('Monitoring'!J7="","",'Monitoring'!J7)</f>
        <v/>
      </c>
      <c r="L85" s="37">
        <f>IF('Monitoring'!K7="","",'Monitoring'!K7)</f>
        <v/>
      </c>
      <c r="M85" s="37">
        <f>IF('Monitoring'!L7="","",'Monitoring'!L7)</f>
        <v/>
      </c>
      <c r="N85" s="38">
        <f>IF('Monitoring'!M7="","",'Monitoring'!M7)</f>
        <v/>
      </c>
    </row>
    <row r="86">
      <c r="A86" s="39">
        <f>IF('Monitoring'!A8="","",'Monitoring'!A8)</f>
        <v/>
      </c>
      <c r="B86" s="39" t="inlineStr">
        <is>
          <t>Monitoring</t>
        </is>
      </c>
      <c r="C86" s="39">
        <f>IF('Monitoring'!B8="","",'Monitoring'!B8)</f>
        <v/>
      </c>
      <c r="D86" s="39">
        <f>IF('Monitoring'!C8="","",'Monitoring'!C8)</f>
        <v/>
      </c>
      <c r="E86" s="39">
        <f>IF('Monitoring'!D8="","",'Monitoring'!D8)</f>
        <v/>
      </c>
      <c r="F86" s="39">
        <f>IF('Monitoring'!E8="","",'Monitoring'!E8)</f>
        <v/>
      </c>
      <c r="G86" s="40">
        <f>IF('Monitoring'!F8="","",'Monitoring'!F8)</f>
        <v/>
      </c>
      <c r="H86" s="40">
        <f>IF('Monitoring'!G8="","",'Monitoring'!G8)</f>
        <v/>
      </c>
      <c r="I86" s="39">
        <f>IF('Monitoring'!H8="","",'Monitoring'!H8)</f>
        <v/>
      </c>
      <c r="J86" s="40">
        <f>IF('Monitoring'!I8="","",'Monitoring'!I8)</f>
        <v/>
      </c>
      <c r="K86" s="39">
        <f>IF('Monitoring'!J8="","",'Monitoring'!J8)</f>
        <v/>
      </c>
      <c r="L86" s="39">
        <f>IF('Monitoring'!K8="","",'Monitoring'!K8)</f>
        <v/>
      </c>
      <c r="M86" s="39">
        <f>IF('Monitoring'!L8="","",'Monitoring'!L8)</f>
        <v/>
      </c>
      <c r="N86" s="40">
        <f>IF('Monitoring'!M8="","",'Monitoring'!M8)</f>
        <v/>
      </c>
    </row>
    <row r="87">
      <c r="A87" s="37">
        <f>IF('Monitoring'!A9="","",'Monitoring'!A9)</f>
        <v/>
      </c>
      <c r="B87" s="37" t="inlineStr">
        <is>
          <t>Monitoring</t>
        </is>
      </c>
      <c r="C87" s="37">
        <f>IF('Monitoring'!B9="","",'Monitoring'!B9)</f>
        <v/>
      </c>
      <c r="D87" s="37">
        <f>IF('Monitoring'!C9="","",'Monitoring'!C9)</f>
        <v/>
      </c>
      <c r="E87" s="37">
        <f>IF('Monitoring'!D9="","",'Monitoring'!D9)</f>
        <v/>
      </c>
      <c r="F87" s="37">
        <f>IF('Monitoring'!E9="","",'Monitoring'!E9)</f>
        <v/>
      </c>
      <c r="G87" s="38">
        <f>IF('Monitoring'!F9="","",'Monitoring'!F9)</f>
        <v/>
      </c>
      <c r="H87" s="38">
        <f>IF('Monitoring'!G9="","",'Monitoring'!G9)</f>
        <v/>
      </c>
      <c r="I87" s="37">
        <f>IF('Monitoring'!H9="","",'Monitoring'!H9)</f>
        <v/>
      </c>
      <c r="J87" s="38">
        <f>IF('Monitoring'!I9="","",'Monitoring'!I9)</f>
        <v/>
      </c>
      <c r="K87" s="37">
        <f>IF('Monitoring'!J9="","",'Monitoring'!J9)</f>
        <v/>
      </c>
      <c r="L87" s="37">
        <f>IF('Monitoring'!K9="","",'Monitoring'!K9)</f>
        <v/>
      </c>
      <c r="M87" s="37">
        <f>IF('Monitoring'!L9="","",'Monitoring'!L9)</f>
        <v/>
      </c>
      <c r="N87" s="38">
        <f>IF('Monitoring'!M9="","",'Monitoring'!M9)</f>
        <v/>
      </c>
    </row>
    <row r="88">
      <c r="A88" s="39">
        <f>IF('Monitoring'!A10="","",'Monitoring'!A10)</f>
        <v/>
      </c>
      <c r="B88" s="39" t="inlineStr">
        <is>
          <t>Monitoring</t>
        </is>
      </c>
      <c r="C88" s="39">
        <f>IF('Monitoring'!B10="","",'Monitoring'!B10)</f>
        <v/>
      </c>
      <c r="D88" s="39">
        <f>IF('Monitoring'!C10="","",'Monitoring'!C10)</f>
        <v/>
      </c>
      <c r="E88" s="39">
        <f>IF('Monitoring'!D10="","",'Monitoring'!D10)</f>
        <v/>
      </c>
      <c r="F88" s="39">
        <f>IF('Monitoring'!E10="","",'Monitoring'!E10)</f>
        <v/>
      </c>
      <c r="G88" s="40">
        <f>IF('Monitoring'!F10="","",'Monitoring'!F10)</f>
        <v/>
      </c>
      <c r="H88" s="40">
        <f>IF('Monitoring'!G10="","",'Monitoring'!G10)</f>
        <v/>
      </c>
      <c r="I88" s="39">
        <f>IF('Monitoring'!H10="","",'Monitoring'!H10)</f>
        <v/>
      </c>
      <c r="J88" s="40">
        <f>IF('Monitoring'!I10="","",'Monitoring'!I10)</f>
        <v/>
      </c>
      <c r="K88" s="39">
        <f>IF('Monitoring'!J10="","",'Monitoring'!J10)</f>
        <v/>
      </c>
      <c r="L88" s="39">
        <f>IF('Monitoring'!K10="","",'Monitoring'!K10)</f>
        <v/>
      </c>
      <c r="M88" s="39">
        <f>IF('Monitoring'!L10="","",'Monitoring'!L10)</f>
        <v/>
      </c>
      <c r="N88" s="40">
        <f>IF('Monitoring'!M10="","",'Monitoring'!M10)</f>
        <v/>
      </c>
    </row>
    <row r="89">
      <c r="A89" s="37">
        <f>IF('Monitoring'!A11="","",'Monitoring'!A11)</f>
        <v/>
      </c>
      <c r="B89" s="37" t="inlineStr">
        <is>
          <t>Monitoring</t>
        </is>
      </c>
      <c r="C89" s="37">
        <f>IF('Monitoring'!B11="","",'Monitoring'!B11)</f>
        <v/>
      </c>
      <c r="D89" s="37">
        <f>IF('Monitoring'!C11="","",'Monitoring'!C11)</f>
        <v/>
      </c>
      <c r="E89" s="37">
        <f>IF('Monitoring'!D11="","",'Monitoring'!D11)</f>
        <v/>
      </c>
      <c r="F89" s="37">
        <f>IF('Monitoring'!E11="","",'Monitoring'!E11)</f>
        <v/>
      </c>
      <c r="G89" s="38">
        <f>IF('Monitoring'!F11="","",'Monitoring'!F11)</f>
        <v/>
      </c>
      <c r="H89" s="38">
        <f>IF('Monitoring'!G11="","",'Monitoring'!G11)</f>
        <v/>
      </c>
      <c r="I89" s="37">
        <f>IF('Monitoring'!H11="","",'Monitoring'!H11)</f>
        <v/>
      </c>
      <c r="J89" s="38">
        <f>IF('Monitoring'!I11="","",'Monitoring'!I11)</f>
        <v/>
      </c>
      <c r="K89" s="37">
        <f>IF('Monitoring'!J11="","",'Monitoring'!J11)</f>
        <v/>
      </c>
      <c r="L89" s="37">
        <f>IF('Monitoring'!K11="","",'Monitoring'!K11)</f>
        <v/>
      </c>
      <c r="M89" s="37">
        <f>IF('Monitoring'!L11="","",'Monitoring'!L11)</f>
        <v/>
      </c>
      <c r="N89" s="38">
        <f>IF('Monitoring'!M11="","",'Monitoring'!M11)</f>
        <v/>
      </c>
    </row>
    <row r="90">
      <c r="A90" s="39">
        <f>IF('Monitoring'!A12="","",'Monitoring'!A12)</f>
        <v/>
      </c>
      <c r="B90" s="39" t="inlineStr">
        <is>
          <t>Monitoring</t>
        </is>
      </c>
      <c r="C90" s="39">
        <f>IF('Monitoring'!B12="","",'Monitoring'!B12)</f>
        <v/>
      </c>
      <c r="D90" s="39">
        <f>IF('Monitoring'!C12="","",'Monitoring'!C12)</f>
        <v/>
      </c>
      <c r="E90" s="39">
        <f>IF('Monitoring'!D12="","",'Monitoring'!D12)</f>
        <v/>
      </c>
      <c r="F90" s="39">
        <f>IF('Monitoring'!E12="","",'Monitoring'!E12)</f>
        <v/>
      </c>
      <c r="G90" s="40">
        <f>IF('Monitoring'!F12="","",'Monitoring'!F12)</f>
        <v/>
      </c>
      <c r="H90" s="40">
        <f>IF('Monitoring'!G12="","",'Monitoring'!G12)</f>
        <v/>
      </c>
      <c r="I90" s="39">
        <f>IF('Monitoring'!H12="","",'Monitoring'!H12)</f>
        <v/>
      </c>
      <c r="J90" s="40">
        <f>IF('Monitoring'!I12="","",'Monitoring'!I12)</f>
        <v/>
      </c>
      <c r="K90" s="39">
        <f>IF('Monitoring'!J12="","",'Monitoring'!J12)</f>
        <v/>
      </c>
      <c r="L90" s="39">
        <f>IF('Monitoring'!K12="","",'Monitoring'!K12)</f>
        <v/>
      </c>
      <c r="M90" s="39">
        <f>IF('Monitoring'!L12="","",'Monitoring'!L12)</f>
        <v/>
      </c>
      <c r="N90" s="40">
        <f>IF('Monitoring'!M12="","",'Monitoring'!M12)</f>
        <v/>
      </c>
    </row>
    <row r="91">
      <c r="A91" s="37">
        <f>IF('Monitoring'!A13="","",'Monitoring'!A13)</f>
        <v/>
      </c>
      <c r="B91" s="37" t="inlineStr">
        <is>
          <t>Monitoring</t>
        </is>
      </c>
      <c r="C91" s="37">
        <f>IF('Monitoring'!B13="","",'Monitoring'!B13)</f>
        <v/>
      </c>
      <c r="D91" s="37">
        <f>IF('Monitoring'!C13="","",'Monitoring'!C13)</f>
        <v/>
      </c>
      <c r="E91" s="37">
        <f>IF('Monitoring'!D13="","",'Monitoring'!D13)</f>
        <v/>
      </c>
      <c r="F91" s="37">
        <f>IF('Monitoring'!E13="","",'Monitoring'!E13)</f>
        <v/>
      </c>
      <c r="G91" s="38">
        <f>IF('Monitoring'!F13="","",'Monitoring'!F13)</f>
        <v/>
      </c>
      <c r="H91" s="38">
        <f>IF('Monitoring'!G13="","",'Monitoring'!G13)</f>
        <v/>
      </c>
      <c r="I91" s="37">
        <f>IF('Monitoring'!H13="","",'Monitoring'!H13)</f>
        <v/>
      </c>
      <c r="J91" s="38">
        <f>IF('Monitoring'!I13="","",'Monitoring'!I13)</f>
        <v/>
      </c>
      <c r="K91" s="37">
        <f>IF('Monitoring'!J13="","",'Monitoring'!J13)</f>
        <v/>
      </c>
      <c r="L91" s="37">
        <f>IF('Monitoring'!K13="","",'Monitoring'!K13)</f>
        <v/>
      </c>
      <c r="M91" s="37">
        <f>IF('Monitoring'!L13="","",'Monitoring'!L13)</f>
        <v/>
      </c>
      <c r="N91" s="38">
        <f>IF('Monitoring'!M13="","",'Monitoring'!M13)</f>
        <v/>
      </c>
    </row>
    <row r="92">
      <c r="A92" s="39">
        <f>IF('Monitoring'!A14="","",'Monitoring'!A14)</f>
        <v/>
      </c>
      <c r="B92" s="39" t="inlineStr">
        <is>
          <t>Monitoring</t>
        </is>
      </c>
      <c r="C92" s="39">
        <f>IF('Monitoring'!B14="","",'Monitoring'!B14)</f>
        <v/>
      </c>
      <c r="D92" s="39">
        <f>IF('Monitoring'!C14="","",'Monitoring'!C14)</f>
        <v/>
      </c>
      <c r="E92" s="39">
        <f>IF('Monitoring'!D14="","",'Monitoring'!D14)</f>
        <v/>
      </c>
      <c r="F92" s="39">
        <f>IF('Monitoring'!E14="","",'Monitoring'!E14)</f>
        <v/>
      </c>
      <c r="G92" s="40">
        <f>IF('Monitoring'!F14="","",'Monitoring'!F14)</f>
        <v/>
      </c>
      <c r="H92" s="40">
        <f>IF('Monitoring'!G14="","",'Monitoring'!G14)</f>
        <v/>
      </c>
      <c r="I92" s="39">
        <f>IF('Monitoring'!H14="","",'Monitoring'!H14)</f>
        <v/>
      </c>
      <c r="J92" s="40">
        <f>IF('Monitoring'!I14="","",'Monitoring'!I14)</f>
        <v/>
      </c>
      <c r="K92" s="39">
        <f>IF('Monitoring'!J14="","",'Monitoring'!J14)</f>
        <v/>
      </c>
      <c r="L92" s="39">
        <f>IF('Monitoring'!K14="","",'Monitoring'!K14)</f>
        <v/>
      </c>
      <c r="M92" s="39">
        <f>IF('Monitoring'!L14="","",'Monitoring'!L14)</f>
        <v/>
      </c>
      <c r="N92" s="40">
        <f>IF('Monitoring'!M14="","",'Monitoring'!M14)</f>
        <v/>
      </c>
    </row>
    <row r="93">
      <c r="A93" s="37">
        <f>IF('Monitoring'!A15="","",'Monitoring'!A15)</f>
        <v/>
      </c>
      <c r="B93" s="37" t="inlineStr">
        <is>
          <t>Monitoring</t>
        </is>
      </c>
      <c r="C93" s="37">
        <f>IF('Monitoring'!B15="","",'Monitoring'!B15)</f>
        <v/>
      </c>
      <c r="D93" s="37">
        <f>IF('Monitoring'!C15="","",'Monitoring'!C15)</f>
        <v/>
      </c>
      <c r="E93" s="37">
        <f>IF('Monitoring'!D15="","",'Monitoring'!D15)</f>
        <v/>
      </c>
      <c r="F93" s="37">
        <f>IF('Monitoring'!E15="","",'Monitoring'!E15)</f>
        <v/>
      </c>
      <c r="G93" s="38">
        <f>IF('Monitoring'!F15="","",'Monitoring'!F15)</f>
        <v/>
      </c>
      <c r="H93" s="38">
        <f>IF('Monitoring'!G15="","",'Monitoring'!G15)</f>
        <v/>
      </c>
      <c r="I93" s="37">
        <f>IF('Monitoring'!H15="","",'Monitoring'!H15)</f>
        <v/>
      </c>
      <c r="J93" s="38">
        <f>IF('Monitoring'!I15="","",'Monitoring'!I15)</f>
        <v/>
      </c>
      <c r="K93" s="37">
        <f>IF('Monitoring'!J15="","",'Monitoring'!J15)</f>
        <v/>
      </c>
      <c r="L93" s="37">
        <f>IF('Monitoring'!K15="","",'Monitoring'!K15)</f>
        <v/>
      </c>
      <c r="M93" s="37">
        <f>IF('Monitoring'!L15="","",'Monitoring'!L15)</f>
        <v/>
      </c>
      <c r="N93" s="38">
        <f>IF('Monitoring'!M15="","",'Monitoring'!M15)</f>
        <v/>
      </c>
    </row>
    <row r="94">
      <c r="A94" s="39">
        <f>IF('Monitoring'!A16="","",'Monitoring'!A16)</f>
        <v/>
      </c>
      <c r="B94" s="39" t="inlineStr">
        <is>
          <t>Monitoring</t>
        </is>
      </c>
      <c r="C94" s="39">
        <f>IF('Monitoring'!B16="","",'Monitoring'!B16)</f>
        <v/>
      </c>
      <c r="D94" s="39">
        <f>IF('Monitoring'!C16="","",'Monitoring'!C16)</f>
        <v/>
      </c>
      <c r="E94" s="39">
        <f>IF('Monitoring'!D16="","",'Monitoring'!D16)</f>
        <v/>
      </c>
      <c r="F94" s="39">
        <f>IF('Monitoring'!E16="","",'Monitoring'!E16)</f>
        <v/>
      </c>
      <c r="G94" s="40">
        <f>IF('Monitoring'!F16="","",'Monitoring'!F16)</f>
        <v/>
      </c>
      <c r="H94" s="40">
        <f>IF('Monitoring'!G16="","",'Monitoring'!G16)</f>
        <v/>
      </c>
      <c r="I94" s="39">
        <f>IF('Monitoring'!H16="","",'Monitoring'!H16)</f>
        <v/>
      </c>
      <c r="J94" s="40">
        <f>IF('Monitoring'!I16="","",'Monitoring'!I16)</f>
        <v/>
      </c>
      <c r="K94" s="39">
        <f>IF('Monitoring'!J16="","",'Monitoring'!J16)</f>
        <v/>
      </c>
      <c r="L94" s="39">
        <f>IF('Monitoring'!K16="","",'Monitoring'!K16)</f>
        <v/>
      </c>
      <c r="M94" s="39">
        <f>IF('Monitoring'!L16="","",'Monitoring'!L16)</f>
        <v/>
      </c>
      <c r="N94" s="40">
        <f>IF('Monitoring'!M16="","",'Monitoring'!M16)</f>
        <v/>
      </c>
    </row>
    <row r="95">
      <c r="A95" s="37">
        <f>IF('Monitoring'!A17="","",'Monitoring'!A17)</f>
        <v/>
      </c>
      <c r="B95" s="37" t="inlineStr">
        <is>
          <t>Monitoring</t>
        </is>
      </c>
      <c r="C95" s="37">
        <f>IF('Monitoring'!B17="","",'Monitoring'!B17)</f>
        <v/>
      </c>
      <c r="D95" s="37">
        <f>IF('Monitoring'!C17="","",'Monitoring'!C17)</f>
        <v/>
      </c>
      <c r="E95" s="37">
        <f>IF('Monitoring'!D17="","",'Monitoring'!D17)</f>
        <v/>
      </c>
      <c r="F95" s="37">
        <f>IF('Monitoring'!E17="","",'Monitoring'!E17)</f>
        <v/>
      </c>
      <c r="G95" s="38">
        <f>IF('Monitoring'!F17="","",'Monitoring'!F17)</f>
        <v/>
      </c>
      <c r="H95" s="38">
        <f>IF('Monitoring'!G17="","",'Monitoring'!G17)</f>
        <v/>
      </c>
      <c r="I95" s="37">
        <f>IF('Monitoring'!H17="","",'Monitoring'!H17)</f>
        <v/>
      </c>
      <c r="J95" s="38">
        <f>IF('Monitoring'!I17="","",'Monitoring'!I17)</f>
        <v/>
      </c>
      <c r="K95" s="37">
        <f>IF('Monitoring'!J17="","",'Monitoring'!J17)</f>
        <v/>
      </c>
      <c r="L95" s="37">
        <f>IF('Monitoring'!K17="","",'Monitoring'!K17)</f>
        <v/>
      </c>
      <c r="M95" s="37">
        <f>IF('Monitoring'!L17="","",'Monitoring'!L17)</f>
        <v/>
      </c>
      <c r="N95" s="38">
        <f>IF('Monitoring'!M17="","",'Monitoring'!M17)</f>
        <v/>
      </c>
    </row>
    <row r="96">
      <c r="A96" s="39">
        <f>IF('Monitoring'!A18="","",'Monitoring'!A18)</f>
        <v/>
      </c>
      <c r="B96" s="39" t="inlineStr">
        <is>
          <t>Monitoring</t>
        </is>
      </c>
      <c r="C96" s="39">
        <f>IF('Monitoring'!B18="","",'Monitoring'!B18)</f>
        <v/>
      </c>
      <c r="D96" s="39">
        <f>IF('Monitoring'!C18="","",'Monitoring'!C18)</f>
        <v/>
      </c>
      <c r="E96" s="39">
        <f>IF('Monitoring'!D18="","",'Monitoring'!D18)</f>
        <v/>
      </c>
      <c r="F96" s="39">
        <f>IF('Monitoring'!E18="","",'Monitoring'!E18)</f>
        <v/>
      </c>
      <c r="G96" s="40">
        <f>IF('Monitoring'!F18="","",'Monitoring'!F18)</f>
        <v/>
      </c>
      <c r="H96" s="40">
        <f>IF('Monitoring'!G18="","",'Monitoring'!G18)</f>
        <v/>
      </c>
      <c r="I96" s="39">
        <f>IF('Monitoring'!H18="","",'Monitoring'!H18)</f>
        <v/>
      </c>
      <c r="J96" s="40">
        <f>IF('Monitoring'!I18="","",'Monitoring'!I18)</f>
        <v/>
      </c>
      <c r="K96" s="39">
        <f>IF('Monitoring'!J18="","",'Monitoring'!J18)</f>
        <v/>
      </c>
      <c r="L96" s="39">
        <f>IF('Monitoring'!K18="","",'Monitoring'!K18)</f>
        <v/>
      </c>
      <c r="M96" s="39">
        <f>IF('Monitoring'!L18="","",'Monitoring'!L18)</f>
        <v/>
      </c>
      <c r="N96" s="40">
        <f>IF('Monitoring'!M18="","",'Monitoring'!M18)</f>
        <v/>
      </c>
    </row>
    <row r="97">
      <c r="A97" s="37">
        <f>IF('Monitoring'!A19="","",'Monitoring'!A19)</f>
        <v/>
      </c>
      <c r="B97" s="37" t="inlineStr">
        <is>
          <t>Monitoring</t>
        </is>
      </c>
      <c r="C97" s="37">
        <f>IF('Monitoring'!B19="","",'Monitoring'!B19)</f>
        <v/>
      </c>
      <c r="D97" s="37">
        <f>IF('Monitoring'!C19="","",'Monitoring'!C19)</f>
        <v/>
      </c>
      <c r="E97" s="37">
        <f>IF('Monitoring'!D19="","",'Monitoring'!D19)</f>
        <v/>
      </c>
      <c r="F97" s="37">
        <f>IF('Monitoring'!E19="","",'Monitoring'!E19)</f>
        <v/>
      </c>
      <c r="G97" s="38">
        <f>IF('Monitoring'!F19="","",'Monitoring'!F19)</f>
        <v/>
      </c>
      <c r="H97" s="38">
        <f>IF('Monitoring'!G19="","",'Monitoring'!G19)</f>
        <v/>
      </c>
      <c r="I97" s="37">
        <f>IF('Monitoring'!H19="","",'Monitoring'!H19)</f>
        <v/>
      </c>
      <c r="J97" s="38">
        <f>IF('Monitoring'!I19="","",'Monitoring'!I19)</f>
        <v/>
      </c>
      <c r="K97" s="37">
        <f>IF('Monitoring'!J19="","",'Monitoring'!J19)</f>
        <v/>
      </c>
      <c r="L97" s="37">
        <f>IF('Monitoring'!K19="","",'Monitoring'!K19)</f>
        <v/>
      </c>
      <c r="M97" s="37">
        <f>IF('Monitoring'!L19="","",'Monitoring'!L19)</f>
        <v/>
      </c>
      <c r="N97" s="38">
        <f>IF('Monitoring'!M19="","",'Monitoring'!M19)</f>
        <v/>
      </c>
    </row>
    <row r="98">
      <c r="A98" s="39">
        <f>IF('Monitoring'!A20="","",'Monitoring'!A20)</f>
        <v/>
      </c>
      <c r="B98" s="39" t="inlineStr">
        <is>
          <t>Monitoring</t>
        </is>
      </c>
      <c r="C98" s="39">
        <f>IF('Monitoring'!B20="","",'Monitoring'!B20)</f>
        <v/>
      </c>
      <c r="D98" s="39">
        <f>IF('Monitoring'!C20="","",'Monitoring'!C20)</f>
        <v/>
      </c>
      <c r="E98" s="39">
        <f>IF('Monitoring'!D20="","",'Monitoring'!D20)</f>
        <v/>
      </c>
      <c r="F98" s="39">
        <f>IF('Monitoring'!E20="","",'Monitoring'!E20)</f>
        <v/>
      </c>
      <c r="G98" s="40">
        <f>IF('Monitoring'!F20="","",'Monitoring'!F20)</f>
        <v/>
      </c>
      <c r="H98" s="40">
        <f>IF('Monitoring'!G20="","",'Monitoring'!G20)</f>
        <v/>
      </c>
      <c r="I98" s="39">
        <f>IF('Monitoring'!H20="","",'Monitoring'!H20)</f>
        <v/>
      </c>
      <c r="J98" s="40">
        <f>IF('Monitoring'!I20="","",'Monitoring'!I20)</f>
        <v/>
      </c>
      <c r="K98" s="39">
        <f>IF('Monitoring'!J20="","",'Monitoring'!J20)</f>
        <v/>
      </c>
      <c r="L98" s="39">
        <f>IF('Monitoring'!K20="","",'Monitoring'!K20)</f>
        <v/>
      </c>
      <c r="M98" s="39">
        <f>IF('Monitoring'!L20="","",'Monitoring'!L20)</f>
        <v/>
      </c>
      <c r="N98" s="40">
        <f>IF('Monitoring'!M20="","",'Monitoring'!M20)</f>
        <v/>
      </c>
    </row>
    <row r="99">
      <c r="A99" s="37">
        <f>IF('Monitoring'!A21="","",'Monitoring'!A21)</f>
        <v/>
      </c>
      <c r="B99" s="37" t="inlineStr">
        <is>
          <t>Monitoring</t>
        </is>
      </c>
      <c r="C99" s="37">
        <f>IF('Monitoring'!B21="","",'Monitoring'!B21)</f>
        <v/>
      </c>
      <c r="D99" s="37">
        <f>IF('Monitoring'!C21="","",'Monitoring'!C21)</f>
        <v/>
      </c>
      <c r="E99" s="37">
        <f>IF('Monitoring'!D21="","",'Monitoring'!D21)</f>
        <v/>
      </c>
      <c r="F99" s="37">
        <f>IF('Monitoring'!E21="","",'Monitoring'!E21)</f>
        <v/>
      </c>
      <c r="G99" s="38">
        <f>IF('Monitoring'!F21="","",'Monitoring'!F21)</f>
        <v/>
      </c>
      <c r="H99" s="38">
        <f>IF('Monitoring'!G21="","",'Monitoring'!G21)</f>
        <v/>
      </c>
      <c r="I99" s="37">
        <f>IF('Monitoring'!H21="","",'Monitoring'!H21)</f>
        <v/>
      </c>
      <c r="J99" s="38">
        <f>IF('Monitoring'!I21="","",'Monitoring'!I21)</f>
        <v/>
      </c>
      <c r="K99" s="37">
        <f>IF('Monitoring'!J21="","",'Monitoring'!J21)</f>
        <v/>
      </c>
      <c r="L99" s="37">
        <f>IF('Monitoring'!K21="","",'Monitoring'!K21)</f>
        <v/>
      </c>
      <c r="M99" s="37">
        <f>IF('Monitoring'!L21="","",'Monitoring'!L21)</f>
        <v/>
      </c>
      <c r="N99" s="38">
        <f>IF('Monitoring'!M21="","",'Monitoring'!M21)</f>
        <v/>
      </c>
    </row>
    <row r="100">
      <c r="A100" s="39">
        <f>IF('Monitoring'!A22="","",'Monitoring'!A22)</f>
        <v/>
      </c>
      <c r="B100" s="39" t="inlineStr">
        <is>
          <t>Monitoring</t>
        </is>
      </c>
      <c r="C100" s="39">
        <f>IF('Monitoring'!B22="","",'Monitoring'!B22)</f>
        <v/>
      </c>
      <c r="D100" s="39">
        <f>IF('Monitoring'!C22="","",'Monitoring'!C22)</f>
        <v/>
      </c>
      <c r="E100" s="39">
        <f>IF('Monitoring'!D22="","",'Monitoring'!D22)</f>
        <v/>
      </c>
      <c r="F100" s="39">
        <f>IF('Monitoring'!E22="","",'Monitoring'!E22)</f>
        <v/>
      </c>
      <c r="G100" s="40">
        <f>IF('Monitoring'!F22="","",'Monitoring'!F22)</f>
        <v/>
      </c>
      <c r="H100" s="40">
        <f>IF('Monitoring'!G22="","",'Monitoring'!G22)</f>
        <v/>
      </c>
      <c r="I100" s="39">
        <f>IF('Monitoring'!H22="","",'Monitoring'!H22)</f>
        <v/>
      </c>
      <c r="J100" s="40">
        <f>IF('Monitoring'!I22="","",'Monitoring'!I22)</f>
        <v/>
      </c>
      <c r="K100" s="39">
        <f>IF('Monitoring'!J22="","",'Monitoring'!J22)</f>
        <v/>
      </c>
      <c r="L100" s="39">
        <f>IF('Monitoring'!K22="","",'Monitoring'!K22)</f>
        <v/>
      </c>
      <c r="M100" s="39">
        <f>IF('Monitoring'!L22="","",'Monitoring'!L22)</f>
        <v/>
      </c>
      <c r="N100" s="40">
        <f>IF('Monitoring'!M22="","",'Monitoring'!M22)</f>
        <v/>
      </c>
    </row>
    <row r="101">
      <c r="A101" s="37">
        <f>IF('Monitoring'!A23="","",'Monitoring'!A23)</f>
        <v/>
      </c>
      <c r="B101" s="37" t="inlineStr">
        <is>
          <t>Monitoring</t>
        </is>
      </c>
      <c r="C101" s="37">
        <f>IF('Monitoring'!B23="","",'Monitoring'!B23)</f>
        <v/>
      </c>
      <c r="D101" s="37">
        <f>IF('Monitoring'!C23="","",'Monitoring'!C23)</f>
        <v/>
      </c>
      <c r="E101" s="37">
        <f>IF('Monitoring'!D23="","",'Monitoring'!D23)</f>
        <v/>
      </c>
      <c r="F101" s="37">
        <f>IF('Monitoring'!E23="","",'Monitoring'!E23)</f>
        <v/>
      </c>
      <c r="G101" s="38">
        <f>IF('Monitoring'!F23="","",'Monitoring'!F23)</f>
        <v/>
      </c>
      <c r="H101" s="38">
        <f>IF('Monitoring'!G23="","",'Monitoring'!G23)</f>
        <v/>
      </c>
      <c r="I101" s="37">
        <f>IF('Monitoring'!H23="","",'Monitoring'!H23)</f>
        <v/>
      </c>
      <c r="J101" s="38">
        <f>IF('Monitoring'!I23="","",'Monitoring'!I23)</f>
        <v/>
      </c>
      <c r="K101" s="37">
        <f>IF('Monitoring'!J23="","",'Monitoring'!J23)</f>
        <v/>
      </c>
      <c r="L101" s="37">
        <f>IF('Monitoring'!K23="","",'Monitoring'!K23)</f>
        <v/>
      </c>
      <c r="M101" s="37">
        <f>IF('Monitoring'!L23="","",'Monitoring'!L23)</f>
        <v/>
      </c>
      <c r="N101" s="38">
        <f>IF('Monitoring'!M23="","",'Monitoring'!M23)</f>
        <v/>
      </c>
    </row>
    <row r="102">
      <c r="A102" s="39">
        <f>IF('Monitoring'!A24="","",'Monitoring'!A24)</f>
        <v/>
      </c>
      <c r="B102" s="39" t="inlineStr">
        <is>
          <t>Monitoring</t>
        </is>
      </c>
      <c r="C102" s="39">
        <f>IF('Monitoring'!B24="","",'Monitoring'!B24)</f>
        <v/>
      </c>
      <c r="D102" s="39">
        <f>IF('Monitoring'!C24="","",'Monitoring'!C24)</f>
        <v/>
      </c>
      <c r="E102" s="39">
        <f>IF('Monitoring'!D24="","",'Monitoring'!D24)</f>
        <v/>
      </c>
      <c r="F102" s="39">
        <f>IF('Monitoring'!E24="","",'Monitoring'!E24)</f>
        <v/>
      </c>
      <c r="G102" s="40">
        <f>IF('Monitoring'!F24="","",'Monitoring'!F24)</f>
        <v/>
      </c>
      <c r="H102" s="40">
        <f>IF('Monitoring'!G24="","",'Monitoring'!G24)</f>
        <v/>
      </c>
      <c r="I102" s="39">
        <f>IF('Monitoring'!H24="","",'Monitoring'!H24)</f>
        <v/>
      </c>
      <c r="J102" s="40">
        <f>IF('Monitoring'!I24="","",'Monitoring'!I24)</f>
        <v/>
      </c>
      <c r="K102" s="39">
        <f>IF('Monitoring'!J24="","",'Monitoring'!J24)</f>
        <v/>
      </c>
      <c r="L102" s="39">
        <f>IF('Monitoring'!K24="","",'Monitoring'!K24)</f>
        <v/>
      </c>
      <c r="M102" s="39">
        <f>IF('Monitoring'!L24="","",'Monitoring'!L24)</f>
        <v/>
      </c>
      <c r="N102" s="40">
        <f>IF('Monitoring'!M24="","",'Monitoring'!M24)</f>
        <v/>
      </c>
    </row>
    <row r="103">
      <c r="A103" s="37">
        <f>IF('Monitoring'!A25="","",'Monitoring'!A25)</f>
        <v/>
      </c>
      <c r="B103" s="37" t="inlineStr">
        <is>
          <t>Monitoring</t>
        </is>
      </c>
      <c r="C103" s="37">
        <f>IF('Monitoring'!B25="","",'Monitoring'!B25)</f>
        <v/>
      </c>
      <c r="D103" s="37">
        <f>IF('Monitoring'!C25="","",'Monitoring'!C25)</f>
        <v/>
      </c>
      <c r="E103" s="37">
        <f>IF('Monitoring'!D25="","",'Monitoring'!D25)</f>
        <v/>
      </c>
      <c r="F103" s="37">
        <f>IF('Monitoring'!E25="","",'Monitoring'!E25)</f>
        <v/>
      </c>
      <c r="G103" s="38">
        <f>IF('Monitoring'!F25="","",'Monitoring'!F25)</f>
        <v/>
      </c>
      <c r="H103" s="38">
        <f>IF('Monitoring'!G25="","",'Monitoring'!G25)</f>
        <v/>
      </c>
      <c r="I103" s="37">
        <f>IF('Monitoring'!H25="","",'Monitoring'!H25)</f>
        <v/>
      </c>
      <c r="J103" s="38">
        <f>IF('Monitoring'!I25="","",'Monitoring'!I25)</f>
        <v/>
      </c>
      <c r="K103" s="37">
        <f>IF('Monitoring'!J25="","",'Monitoring'!J25)</f>
        <v/>
      </c>
      <c r="L103" s="37">
        <f>IF('Monitoring'!K25="","",'Monitoring'!K25)</f>
        <v/>
      </c>
      <c r="M103" s="37">
        <f>IF('Monitoring'!L25="","",'Monitoring'!L25)</f>
        <v/>
      </c>
      <c r="N103" s="38">
        <f>IF('Monitoring'!M25="","",'Monitoring'!M25)</f>
        <v/>
      </c>
    </row>
    <row r="104">
      <c r="A104" s="39">
        <f>IF('DR'!A3="","",'DR'!A3)</f>
        <v/>
      </c>
      <c r="B104" s="39" t="inlineStr">
        <is>
          <t>DR</t>
        </is>
      </c>
      <c r="C104" s="39">
        <f>IF('DR'!B3="","",'DR'!B3)</f>
        <v/>
      </c>
      <c r="D104" s="39">
        <f>IF('DR'!C3="","",'DR'!C3)</f>
        <v/>
      </c>
      <c r="E104" s="39">
        <f>IF('DR'!D3="","",'DR'!D3)</f>
        <v/>
      </c>
      <c r="F104" s="39">
        <f>IF('DR'!E3="","",'DR'!E3)</f>
        <v/>
      </c>
      <c r="G104" s="40">
        <f>IF('DR'!F3="","",'DR'!F3)</f>
        <v/>
      </c>
      <c r="H104" s="40">
        <f>IF('DR'!G3="","",'DR'!G3)</f>
        <v/>
      </c>
      <c r="I104" s="39">
        <f>IF('DR'!H3="","",'DR'!H3)</f>
        <v/>
      </c>
      <c r="J104" s="40">
        <f>IF('DR'!I3="","",'DR'!I3)</f>
        <v/>
      </c>
      <c r="K104" s="39">
        <f>IF('DR'!J3="","",'DR'!J3)</f>
        <v/>
      </c>
      <c r="L104" s="39">
        <f>IF('DR'!K3="","",'DR'!K3)</f>
        <v/>
      </c>
      <c r="M104" s="39">
        <f>IF('DR'!L3="","",'DR'!L3)</f>
        <v/>
      </c>
      <c r="N104" s="40">
        <f>IF('DR'!M3="","",'DR'!M3)</f>
        <v/>
      </c>
    </row>
    <row r="105">
      <c r="A105" s="37">
        <f>IF('DR'!A4="","",'DR'!A4)</f>
        <v/>
      </c>
      <c r="B105" s="37" t="inlineStr">
        <is>
          <t>DR</t>
        </is>
      </c>
      <c r="C105" s="37">
        <f>IF('DR'!B4="","",'DR'!B4)</f>
        <v/>
      </c>
      <c r="D105" s="37">
        <f>IF('DR'!C4="","",'DR'!C4)</f>
        <v/>
      </c>
      <c r="E105" s="37">
        <f>IF('DR'!D4="","",'DR'!D4)</f>
        <v/>
      </c>
      <c r="F105" s="37">
        <f>IF('DR'!E4="","",'DR'!E4)</f>
        <v/>
      </c>
      <c r="G105" s="38">
        <f>IF('DR'!F4="","",'DR'!F4)</f>
        <v/>
      </c>
      <c r="H105" s="38">
        <f>IF('DR'!G4="","",'DR'!G4)</f>
        <v/>
      </c>
      <c r="I105" s="37">
        <f>IF('DR'!H4="","",'DR'!H4)</f>
        <v/>
      </c>
      <c r="J105" s="38">
        <f>IF('DR'!I4="","",'DR'!I4)</f>
        <v/>
      </c>
      <c r="K105" s="37">
        <f>IF('DR'!J4="","",'DR'!J4)</f>
        <v/>
      </c>
      <c r="L105" s="37">
        <f>IF('DR'!K4="","",'DR'!K4)</f>
        <v/>
      </c>
      <c r="M105" s="37">
        <f>IF('DR'!L4="","",'DR'!L4)</f>
        <v/>
      </c>
      <c r="N105" s="38">
        <f>IF('DR'!M4="","",'DR'!M4)</f>
        <v/>
      </c>
    </row>
    <row r="106">
      <c r="A106" s="39">
        <f>IF('DR'!A5="","",'DR'!A5)</f>
        <v/>
      </c>
      <c r="B106" s="39" t="inlineStr">
        <is>
          <t>DR</t>
        </is>
      </c>
      <c r="C106" s="39">
        <f>IF('DR'!B5="","",'DR'!B5)</f>
        <v/>
      </c>
      <c r="D106" s="39">
        <f>IF('DR'!C5="","",'DR'!C5)</f>
        <v/>
      </c>
      <c r="E106" s="39">
        <f>IF('DR'!D5="","",'DR'!D5)</f>
        <v/>
      </c>
      <c r="F106" s="39">
        <f>IF('DR'!E5="","",'DR'!E5)</f>
        <v/>
      </c>
      <c r="G106" s="40">
        <f>IF('DR'!F5="","",'DR'!F5)</f>
        <v/>
      </c>
      <c r="H106" s="40">
        <f>IF('DR'!G5="","",'DR'!G5)</f>
        <v/>
      </c>
      <c r="I106" s="39">
        <f>IF('DR'!H5="","",'DR'!H5)</f>
        <v/>
      </c>
      <c r="J106" s="40">
        <f>IF('DR'!I5="","",'DR'!I5)</f>
        <v/>
      </c>
      <c r="K106" s="39">
        <f>IF('DR'!J5="","",'DR'!J5)</f>
        <v/>
      </c>
      <c r="L106" s="39">
        <f>IF('DR'!K5="","",'DR'!K5)</f>
        <v/>
      </c>
      <c r="M106" s="39">
        <f>IF('DR'!L5="","",'DR'!L5)</f>
        <v/>
      </c>
      <c r="N106" s="40">
        <f>IF('DR'!M5="","",'DR'!M5)</f>
        <v/>
      </c>
    </row>
    <row r="107">
      <c r="A107" s="37">
        <f>IF('DR'!A6="","",'DR'!A6)</f>
        <v/>
      </c>
      <c r="B107" s="37" t="inlineStr">
        <is>
          <t>DR</t>
        </is>
      </c>
      <c r="C107" s="37">
        <f>IF('DR'!B6="","",'DR'!B6)</f>
        <v/>
      </c>
      <c r="D107" s="37">
        <f>IF('DR'!C6="","",'DR'!C6)</f>
        <v/>
      </c>
      <c r="E107" s="37">
        <f>IF('DR'!D6="","",'DR'!D6)</f>
        <v/>
      </c>
      <c r="F107" s="37">
        <f>IF('DR'!E6="","",'DR'!E6)</f>
        <v/>
      </c>
      <c r="G107" s="38">
        <f>IF('DR'!F6="","",'DR'!F6)</f>
        <v/>
      </c>
      <c r="H107" s="38">
        <f>IF('DR'!G6="","",'DR'!G6)</f>
        <v/>
      </c>
      <c r="I107" s="37">
        <f>IF('DR'!H6="","",'DR'!H6)</f>
        <v/>
      </c>
      <c r="J107" s="38">
        <f>IF('DR'!I6="","",'DR'!I6)</f>
        <v/>
      </c>
      <c r="K107" s="37">
        <f>IF('DR'!J6="","",'DR'!J6)</f>
        <v/>
      </c>
      <c r="L107" s="37">
        <f>IF('DR'!K6="","",'DR'!K6)</f>
        <v/>
      </c>
      <c r="M107" s="37">
        <f>IF('DR'!L6="","",'DR'!L6)</f>
        <v/>
      </c>
      <c r="N107" s="38">
        <f>IF('DR'!M6="","",'DR'!M6)</f>
        <v/>
      </c>
    </row>
    <row r="108">
      <c r="A108" s="39">
        <f>IF('Operations'!A3="","",'Operations'!A3)</f>
        <v/>
      </c>
      <c r="B108" s="39" t="inlineStr">
        <is>
          <t>Operations</t>
        </is>
      </c>
      <c r="C108" s="39">
        <f>IF('Operations'!B3="","",'Operations'!B3)</f>
        <v/>
      </c>
      <c r="D108" s="39">
        <f>IF('Operations'!C3="","",'Operations'!C3)</f>
        <v/>
      </c>
      <c r="E108" s="39">
        <f>IF('Operations'!D3="","",'Operations'!D3)</f>
        <v/>
      </c>
      <c r="F108" s="39">
        <f>IF('Operations'!E3="","",'Operations'!E3)</f>
        <v/>
      </c>
      <c r="G108" s="40">
        <f>IF('Operations'!F3="","",'Operations'!F3)</f>
        <v/>
      </c>
      <c r="H108" s="40">
        <f>IF('Operations'!G3="","",'Operations'!G3)</f>
        <v/>
      </c>
      <c r="I108" s="39">
        <f>IF('Operations'!H3="","",'Operations'!H3)</f>
        <v/>
      </c>
      <c r="J108" s="40">
        <f>IF('Operations'!I3="","",'Operations'!I3)</f>
        <v/>
      </c>
      <c r="K108" s="39">
        <f>IF('Operations'!J3="","",'Operations'!J3)</f>
        <v/>
      </c>
      <c r="L108" s="39">
        <f>IF('Operations'!K3="","",'Operations'!K3)</f>
        <v/>
      </c>
      <c r="M108" s="39">
        <f>IF('Operations'!L3="","",'Operations'!L3)</f>
        <v/>
      </c>
      <c r="N108" s="40">
        <f>IF('Operations'!M3="","",'Operations'!M3)</f>
        <v/>
      </c>
    </row>
    <row r="109">
      <c r="A109" s="37">
        <f>IF('Operations'!A4="","",'Operations'!A4)</f>
        <v/>
      </c>
      <c r="B109" s="37" t="inlineStr">
        <is>
          <t>Operations</t>
        </is>
      </c>
      <c r="C109" s="37">
        <f>IF('Operations'!B4="","",'Operations'!B4)</f>
        <v/>
      </c>
      <c r="D109" s="37">
        <f>IF('Operations'!C4="","",'Operations'!C4)</f>
        <v/>
      </c>
      <c r="E109" s="37">
        <f>IF('Operations'!D4="","",'Operations'!D4)</f>
        <v/>
      </c>
      <c r="F109" s="37">
        <f>IF('Operations'!E4="","",'Operations'!E4)</f>
        <v/>
      </c>
      <c r="G109" s="38">
        <f>IF('Operations'!F4="","",'Operations'!F4)</f>
        <v/>
      </c>
      <c r="H109" s="38">
        <f>IF('Operations'!G4="","",'Operations'!G4)</f>
        <v/>
      </c>
      <c r="I109" s="37">
        <f>IF('Operations'!H4="","",'Operations'!H4)</f>
        <v/>
      </c>
      <c r="J109" s="38">
        <f>IF('Operations'!I4="","",'Operations'!I4)</f>
        <v/>
      </c>
      <c r="K109" s="37">
        <f>IF('Operations'!J4="","",'Operations'!J4)</f>
        <v/>
      </c>
      <c r="L109" s="37">
        <f>IF('Operations'!K4="","",'Operations'!K4)</f>
        <v/>
      </c>
      <c r="M109" s="37">
        <f>IF('Operations'!L4="","",'Operations'!L4)</f>
        <v/>
      </c>
      <c r="N109" s="38">
        <f>IF('Operations'!M4="","",'Operations'!M4)</f>
        <v/>
      </c>
    </row>
    <row r="110">
      <c r="A110" s="39">
        <f>IF('Operations'!A5="","",'Operations'!A5)</f>
        <v/>
      </c>
      <c r="B110" s="39" t="inlineStr">
        <is>
          <t>Operations</t>
        </is>
      </c>
      <c r="C110" s="39">
        <f>IF('Operations'!B5="","",'Operations'!B5)</f>
        <v/>
      </c>
      <c r="D110" s="39">
        <f>IF('Operations'!C5="","",'Operations'!C5)</f>
        <v/>
      </c>
      <c r="E110" s="39">
        <f>IF('Operations'!D5="","",'Operations'!D5)</f>
        <v/>
      </c>
      <c r="F110" s="39">
        <f>IF('Operations'!E5="","",'Operations'!E5)</f>
        <v/>
      </c>
      <c r="G110" s="40">
        <f>IF('Operations'!F5="","",'Operations'!F5)</f>
        <v/>
      </c>
      <c r="H110" s="40">
        <f>IF('Operations'!G5="","",'Operations'!G5)</f>
        <v/>
      </c>
      <c r="I110" s="39">
        <f>IF('Operations'!H5="","",'Operations'!H5)</f>
        <v/>
      </c>
      <c r="J110" s="40">
        <f>IF('Operations'!I5="","",'Operations'!I5)</f>
        <v/>
      </c>
      <c r="K110" s="39">
        <f>IF('Operations'!J5="","",'Operations'!J5)</f>
        <v/>
      </c>
      <c r="L110" s="39">
        <f>IF('Operations'!K5="","",'Operations'!K5)</f>
        <v/>
      </c>
      <c r="M110" s="39">
        <f>IF('Operations'!L5="","",'Operations'!L5)</f>
        <v/>
      </c>
      <c r="N110" s="40">
        <f>IF('Operations'!M5="","",'Operations'!M5)</f>
        <v/>
      </c>
    </row>
    <row r="111">
      <c r="A111" s="37">
        <f>IF('Operations'!A6="","",'Operations'!A6)</f>
        <v/>
      </c>
      <c r="B111" s="37" t="inlineStr">
        <is>
          <t>Operations</t>
        </is>
      </c>
      <c r="C111" s="37">
        <f>IF('Operations'!B6="","",'Operations'!B6)</f>
        <v/>
      </c>
      <c r="D111" s="37">
        <f>IF('Operations'!C6="","",'Operations'!C6)</f>
        <v/>
      </c>
      <c r="E111" s="37">
        <f>IF('Operations'!D6="","",'Operations'!D6)</f>
        <v/>
      </c>
      <c r="F111" s="37">
        <f>IF('Operations'!E6="","",'Operations'!E6)</f>
        <v/>
      </c>
      <c r="G111" s="38">
        <f>IF('Operations'!F6="","",'Operations'!F6)</f>
        <v/>
      </c>
      <c r="H111" s="38">
        <f>IF('Operations'!G6="","",'Operations'!G6)</f>
        <v/>
      </c>
      <c r="I111" s="37">
        <f>IF('Operations'!H6="","",'Operations'!H6)</f>
        <v/>
      </c>
      <c r="J111" s="38">
        <f>IF('Operations'!I6="","",'Operations'!I6)</f>
        <v/>
      </c>
      <c r="K111" s="37">
        <f>IF('Operations'!J6="","",'Operations'!J6)</f>
        <v/>
      </c>
      <c r="L111" s="37">
        <f>IF('Operations'!K6="","",'Operations'!K6)</f>
        <v/>
      </c>
      <c r="M111" s="37">
        <f>IF('Operations'!L6="","",'Operations'!L6)</f>
        <v/>
      </c>
      <c r="N111" s="38">
        <f>IF('Operations'!M6="","",'Operations'!M6)</f>
        <v/>
      </c>
    </row>
    <row r="112">
      <c r="A112" s="39">
        <f>IF('Operations'!A7="","",'Operations'!A7)</f>
        <v/>
      </c>
      <c r="B112" s="39" t="inlineStr">
        <is>
          <t>Operations</t>
        </is>
      </c>
      <c r="C112" s="39">
        <f>IF('Operations'!B7="","",'Operations'!B7)</f>
        <v/>
      </c>
      <c r="D112" s="39">
        <f>IF('Operations'!C7="","",'Operations'!C7)</f>
        <v/>
      </c>
      <c r="E112" s="39">
        <f>IF('Operations'!D7="","",'Operations'!D7)</f>
        <v/>
      </c>
      <c r="F112" s="39">
        <f>IF('Operations'!E7="","",'Operations'!E7)</f>
        <v/>
      </c>
      <c r="G112" s="40">
        <f>IF('Operations'!F7="","",'Operations'!F7)</f>
        <v/>
      </c>
      <c r="H112" s="40">
        <f>IF('Operations'!G7="","",'Operations'!G7)</f>
        <v/>
      </c>
      <c r="I112" s="39">
        <f>IF('Operations'!H7="","",'Operations'!H7)</f>
        <v/>
      </c>
      <c r="J112" s="40">
        <f>IF('Operations'!I7="","",'Operations'!I7)</f>
        <v/>
      </c>
      <c r="K112" s="39">
        <f>IF('Operations'!J7="","",'Operations'!J7)</f>
        <v/>
      </c>
      <c r="L112" s="39">
        <f>IF('Operations'!K7="","",'Operations'!K7)</f>
        <v/>
      </c>
      <c r="M112" s="39">
        <f>IF('Operations'!L7="","",'Operations'!L7)</f>
        <v/>
      </c>
      <c r="N112" s="40">
        <f>IF('Operations'!M7="","",'Operations'!M7)</f>
        <v/>
      </c>
    </row>
    <row r="113">
      <c r="A113" s="37">
        <f>IF('Operations'!A8="","",'Operations'!A8)</f>
        <v/>
      </c>
      <c r="B113" s="37" t="inlineStr">
        <is>
          <t>Operations</t>
        </is>
      </c>
      <c r="C113" s="37">
        <f>IF('Operations'!B8="","",'Operations'!B8)</f>
        <v/>
      </c>
      <c r="D113" s="37">
        <f>IF('Operations'!C8="","",'Operations'!C8)</f>
        <v/>
      </c>
      <c r="E113" s="37">
        <f>IF('Operations'!D8="","",'Operations'!D8)</f>
        <v/>
      </c>
      <c r="F113" s="37">
        <f>IF('Operations'!E8="","",'Operations'!E8)</f>
        <v/>
      </c>
      <c r="G113" s="38">
        <f>IF('Operations'!F8="","",'Operations'!F8)</f>
        <v/>
      </c>
      <c r="H113" s="38">
        <f>IF('Operations'!G8="","",'Operations'!G8)</f>
        <v/>
      </c>
      <c r="I113" s="37">
        <f>IF('Operations'!H8="","",'Operations'!H8)</f>
        <v/>
      </c>
      <c r="J113" s="38">
        <f>IF('Operations'!I8="","",'Operations'!I8)</f>
        <v/>
      </c>
      <c r="K113" s="37">
        <f>IF('Operations'!J8="","",'Operations'!J8)</f>
        <v/>
      </c>
      <c r="L113" s="37">
        <f>IF('Operations'!K8="","",'Operations'!K8)</f>
        <v/>
      </c>
      <c r="M113" s="37">
        <f>IF('Operations'!L8="","",'Operations'!L8)</f>
        <v/>
      </c>
      <c r="N113" s="38">
        <f>IF('Operations'!M8="","",'Operations'!M8)</f>
        <v/>
      </c>
    </row>
    <row r="114">
      <c r="A114" s="39">
        <f>IF('Operations'!A9="","",'Operations'!A9)</f>
        <v/>
      </c>
      <c r="B114" s="39" t="inlineStr">
        <is>
          <t>Operations</t>
        </is>
      </c>
      <c r="C114" s="39">
        <f>IF('Operations'!B9="","",'Operations'!B9)</f>
        <v/>
      </c>
      <c r="D114" s="39">
        <f>IF('Operations'!C9="","",'Operations'!C9)</f>
        <v/>
      </c>
      <c r="E114" s="39">
        <f>IF('Operations'!D9="","",'Operations'!D9)</f>
        <v/>
      </c>
      <c r="F114" s="39">
        <f>IF('Operations'!E9="","",'Operations'!E9)</f>
        <v/>
      </c>
      <c r="G114" s="40">
        <f>IF('Operations'!F9="","",'Operations'!F9)</f>
        <v/>
      </c>
      <c r="H114" s="40">
        <f>IF('Operations'!G9="","",'Operations'!G9)</f>
        <v/>
      </c>
      <c r="I114" s="39">
        <f>IF('Operations'!H9="","",'Operations'!H9)</f>
        <v/>
      </c>
      <c r="J114" s="40">
        <f>IF('Operations'!I9="","",'Operations'!I9)</f>
        <v/>
      </c>
      <c r="K114" s="39">
        <f>IF('Operations'!J9="","",'Operations'!J9)</f>
        <v/>
      </c>
      <c r="L114" s="39">
        <f>IF('Operations'!K9="","",'Operations'!K9)</f>
        <v/>
      </c>
      <c r="M114" s="39">
        <f>IF('Operations'!L9="","",'Operations'!L9)</f>
        <v/>
      </c>
      <c r="N114" s="40">
        <f>IF('Operations'!M9="","",'Operations'!M9)</f>
        <v/>
      </c>
    </row>
    <row r="115">
      <c r="A115" s="37">
        <f>IF('Operations'!A10="","",'Operations'!A10)</f>
        <v/>
      </c>
      <c r="B115" s="37" t="inlineStr">
        <is>
          <t>Operations</t>
        </is>
      </c>
      <c r="C115" s="37">
        <f>IF('Operations'!B10="","",'Operations'!B10)</f>
        <v/>
      </c>
      <c r="D115" s="37">
        <f>IF('Operations'!C10="","",'Operations'!C10)</f>
        <v/>
      </c>
      <c r="E115" s="37">
        <f>IF('Operations'!D10="","",'Operations'!D10)</f>
        <v/>
      </c>
      <c r="F115" s="37">
        <f>IF('Operations'!E10="","",'Operations'!E10)</f>
        <v/>
      </c>
      <c r="G115" s="38">
        <f>IF('Operations'!F10="","",'Operations'!F10)</f>
        <v/>
      </c>
      <c r="H115" s="38">
        <f>IF('Operations'!G10="","",'Operations'!G10)</f>
        <v/>
      </c>
      <c r="I115" s="37">
        <f>IF('Operations'!H10="","",'Operations'!H10)</f>
        <v/>
      </c>
      <c r="J115" s="38">
        <f>IF('Operations'!I10="","",'Operations'!I10)</f>
        <v/>
      </c>
      <c r="K115" s="37">
        <f>IF('Operations'!J10="","",'Operations'!J10)</f>
        <v/>
      </c>
      <c r="L115" s="37">
        <f>IF('Operations'!K10="","",'Operations'!K10)</f>
        <v/>
      </c>
      <c r="M115" s="37">
        <f>IF('Operations'!L10="","",'Operations'!L10)</f>
        <v/>
      </c>
      <c r="N115" s="38">
        <f>IF('Operations'!M10="","",'Operations'!M10)</f>
        <v/>
      </c>
    </row>
    <row r="116">
      <c r="A116" s="39">
        <f>IF('Operations'!A11="","",'Operations'!A11)</f>
        <v/>
      </c>
      <c r="B116" s="39" t="inlineStr">
        <is>
          <t>Operations</t>
        </is>
      </c>
      <c r="C116" s="39">
        <f>IF('Operations'!B11="","",'Operations'!B11)</f>
        <v/>
      </c>
      <c r="D116" s="39">
        <f>IF('Operations'!C11="","",'Operations'!C11)</f>
        <v/>
      </c>
      <c r="E116" s="39">
        <f>IF('Operations'!D11="","",'Operations'!D11)</f>
        <v/>
      </c>
      <c r="F116" s="39">
        <f>IF('Operations'!E11="","",'Operations'!E11)</f>
        <v/>
      </c>
      <c r="G116" s="40">
        <f>IF('Operations'!F11="","",'Operations'!F11)</f>
        <v/>
      </c>
      <c r="H116" s="40">
        <f>IF('Operations'!G11="","",'Operations'!G11)</f>
        <v/>
      </c>
      <c r="I116" s="39">
        <f>IF('Operations'!H11="","",'Operations'!H11)</f>
        <v/>
      </c>
      <c r="J116" s="40">
        <f>IF('Operations'!I11="","",'Operations'!I11)</f>
        <v/>
      </c>
      <c r="K116" s="39">
        <f>IF('Operations'!J11="","",'Operations'!J11)</f>
        <v/>
      </c>
      <c r="L116" s="39">
        <f>IF('Operations'!K11="","",'Operations'!K11)</f>
        <v/>
      </c>
      <c r="M116" s="39">
        <f>IF('Operations'!L11="","",'Operations'!L11)</f>
        <v/>
      </c>
      <c r="N116" s="40">
        <f>IF('Operations'!M11="","",'Operations'!M11)</f>
        <v/>
      </c>
    </row>
    <row r="117">
      <c r="A117" s="37">
        <f>IF('Operations'!A12="","",'Operations'!A12)</f>
        <v/>
      </c>
      <c r="B117" s="37" t="inlineStr">
        <is>
          <t>Operations</t>
        </is>
      </c>
      <c r="C117" s="37">
        <f>IF('Operations'!B12="","",'Operations'!B12)</f>
        <v/>
      </c>
      <c r="D117" s="37">
        <f>IF('Operations'!C12="","",'Operations'!C12)</f>
        <v/>
      </c>
      <c r="E117" s="37">
        <f>IF('Operations'!D12="","",'Operations'!D12)</f>
        <v/>
      </c>
      <c r="F117" s="37">
        <f>IF('Operations'!E12="","",'Operations'!E12)</f>
        <v/>
      </c>
      <c r="G117" s="38">
        <f>IF('Operations'!F12="","",'Operations'!F12)</f>
        <v/>
      </c>
      <c r="H117" s="38">
        <f>IF('Operations'!G12="","",'Operations'!G12)</f>
        <v/>
      </c>
      <c r="I117" s="37">
        <f>IF('Operations'!H12="","",'Operations'!H12)</f>
        <v/>
      </c>
      <c r="J117" s="38">
        <f>IF('Operations'!I12="","",'Operations'!I12)</f>
        <v/>
      </c>
      <c r="K117" s="37">
        <f>IF('Operations'!J12="","",'Operations'!J12)</f>
        <v/>
      </c>
      <c r="L117" s="37">
        <f>IF('Operations'!K12="","",'Operations'!K12)</f>
        <v/>
      </c>
      <c r="M117" s="37">
        <f>IF('Operations'!L12="","",'Operations'!L12)</f>
        <v/>
      </c>
      <c r="N117" s="38">
        <f>IF('Operations'!M12="","",'Operations'!M12)</f>
        <v/>
      </c>
    </row>
    <row r="118">
      <c r="A118" s="39">
        <f>IF('Operations'!A13="","",'Operations'!A13)</f>
        <v/>
      </c>
      <c r="B118" s="39" t="inlineStr">
        <is>
          <t>Operations</t>
        </is>
      </c>
      <c r="C118" s="39">
        <f>IF('Operations'!B13="","",'Operations'!B13)</f>
        <v/>
      </c>
      <c r="D118" s="39">
        <f>IF('Operations'!C13="","",'Operations'!C13)</f>
        <v/>
      </c>
      <c r="E118" s="39">
        <f>IF('Operations'!D13="","",'Operations'!D13)</f>
        <v/>
      </c>
      <c r="F118" s="39">
        <f>IF('Operations'!E13="","",'Operations'!E13)</f>
        <v/>
      </c>
      <c r="G118" s="40">
        <f>IF('Operations'!F13="","",'Operations'!F13)</f>
        <v/>
      </c>
      <c r="H118" s="40">
        <f>IF('Operations'!G13="","",'Operations'!G13)</f>
        <v/>
      </c>
      <c r="I118" s="39">
        <f>IF('Operations'!H13="","",'Operations'!H13)</f>
        <v/>
      </c>
      <c r="J118" s="40">
        <f>IF('Operations'!I13="","",'Operations'!I13)</f>
        <v/>
      </c>
      <c r="K118" s="39">
        <f>IF('Operations'!J13="","",'Operations'!J13)</f>
        <v/>
      </c>
      <c r="L118" s="39">
        <f>IF('Operations'!K13="","",'Operations'!K13)</f>
        <v/>
      </c>
      <c r="M118" s="39">
        <f>IF('Operations'!L13="","",'Operations'!L13)</f>
        <v/>
      </c>
      <c r="N118" s="40">
        <f>IF('Operations'!M13="","",'Operations'!M13)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aws-landing-zone</t>
        </is>
      </c>
      <c r="C3" s="39" t="inlineStr">
        <is>
          <t>aws-landing-zone</t>
        </is>
      </c>
      <c r="D3" s="39" t="inlineStr">
        <is>
          <t>aws-landing-zone</t>
        </is>
      </c>
      <c r="E3" s="39" t="inlineStr">
        <is>
          <t>Solution identifier used for resource naming and tagging across all accounts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and hyphens only; max 50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/>
      <c r="M3" s="40" t="inlineStr">
        <is>
          <t>2025-01-31</t>
        </is>
      </c>
    </row>
    <row r="4" ht="26" customHeight="1">
      <c r="A4" s="43" t="inlineStr">
        <is>
          <t>solution.region.primary</t>
        </is>
      </c>
      <c r="B4" s="37" t="inlineStr">
        <is>
          <t>us-east-1</t>
        </is>
      </c>
      <c r="C4" s="37" t="inlineStr">
        <is>
          <t>us-east-1</t>
        </is>
      </c>
      <c r="D4" s="37" t="inlineStr">
        <is>
          <t>us-east-2</t>
        </is>
      </c>
      <c r="E4" s="37" t="inlineStr">
        <is>
          <t>Primary AWS region for all Control Tower management-plane and hub resources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SOW commits to us-east-1 primary; us-east-2 is DR</t>
        </is>
      </c>
      <c r="M4" s="38" t="inlineStr">
        <is>
          <t>2025-01-31</t>
        </is>
      </c>
    </row>
    <row r="5" ht="26" customHeight="1">
      <c r="A5" s="42" t="inlineStr">
        <is>
          <t>solution.region.secondary</t>
        </is>
      </c>
      <c r="B5" s="39" t="inlineStr">
        <is>
          <t>us-east-2</t>
        </is>
      </c>
      <c r="C5" s="39" t="inlineStr">
        <is>
          <t>us-east-2</t>
        </is>
      </c>
      <c r="D5" s="39" t="inlineStr">
        <is>
          <t>us-east-1</t>
        </is>
      </c>
      <c r="E5" s="39" t="inlineStr">
        <is>
          <t>Secondary AWS region governed by Control Tower for DR and multi-region coverage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AWS region code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solution.region.primary</t>
        </is>
      </c>
      <c r="L5" s="39" t="inlineStr">
        <is>
          <t>DR region mirrors primary governance posture</t>
        </is>
      </c>
      <c r="M5" s="40" t="inlineStr">
        <is>
          <t>2025-01-31</t>
        </is>
      </c>
    </row>
    <row r="6" ht="26" customHeight="1">
      <c r="A6" s="43" t="inlineStr">
        <is>
          <t>solution.environment</t>
        </is>
      </c>
      <c r="B6" s="37" t="inlineStr">
        <is>
          <t>prod</t>
        </is>
      </c>
      <c r="C6" s="37" t="inlineStr">
        <is>
          <t>nonprod</t>
        </is>
      </c>
      <c r="D6" s="37" t="inlineStr">
        <is>
          <t>prod</t>
        </is>
      </c>
      <c r="E6" s="37" t="inlineStr">
        <is>
          <t>Deployment environment identifier applied to all tagged resources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prod | nonprod | sandbox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DR mirrors production environment identifier</t>
        </is>
      </c>
      <c r="M6" s="38" t="inlineStr">
        <is>
          <t>2025-01-31</t>
        </is>
      </c>
    </row>
    <row r="7" ht="26" customHeight="1">
      <c r="A7" s="42" t="inlineStr">
        <is>
          <t>solution.version</t>
        </is>
      </c>
      <c r="B7" s="39" t="inlineStr">
        <is>
          <t>1.0.0</t>
        </is>
      </c>
      <c r="C7" s="39" t="inlineStr">
        <is>
          <t>1.0.0</t>
        </is>
      </c>
      <c r="D7" s="39" t="inlineStr">
        <is>
          <t>1.0.0</t>
        </is>
      </c>
      <c r="E7" s="39" t="inlineStr">
        <is>
          <t>Current solution version used in IaC state labels and runbook references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Semantic versioning X.Y.Z</t>
        </is>
      </c>
      <c r="I7" s="40" t="inlineStr">
        <is>
          <t>Public</t>
        </is>
      </c>
      <c r="J7" s="39" t="inlineStr">
        <is>
          <t>Cloud CoE</t>
        </is>
      </c>
      <c r="K7" s="39" t="inlineStr"/>
      <c r="L7" s="39" t="inlineStr"/>
      <c r="M7" s="40" t="inlineStr">
        <is>
          <t>2025-01-31</t>
        </is>
      </c>
    </row>
    <row r="8" ht="26" customHeight="1">
      <c r="A8" s="43" t="inlineStr">
        <is>
          <t>aws.account_id.management</t>
        </is>
      </c>
      <c r="B8" s="37" t="inlineStr">
        <is>
          <t>[management-account-id]</t>
        </is>
      </c>
      <c r="C8" s="37" t="inlineStr">
        <is>
          <t>[management-account-id]</t>
        </is>
      </c>
      <c r="D8" s="37" t="inlineStr">
        <is>
          <t>[management-account-id]</t>
        </is>
      </c>
      <c r="E8" s="37" t="inlineStr">
        <is>
          <t>AWS Management account ID hosting Control Tower and AWS Organizations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12-digit numeric</t>
        </is>
      </c>
      <c r="I8" s="38" t="inlineStr">
        <is>
          <t>Confidential</t>
        </is>
      </c>
      <c r="J8" s="37" t="inlineStr">
        <is>
          <t>Cloud CoE</t>
        </is>
      </c>
      <c r="K8" s="37" t="inlineStr"/>
      <c r="L8" s="37" t="inlineStr">
        <is>
          <t>Store in Secrets Manager; used by AFT and Terraform workspaces</t>
        </is>
      </c>
      <c r="M8" s="38" t="inlineStr">
        <is>
          <t>2025-01-31</t>
        </is>
      </c>
    </row>
    <row r="9" ht="26" customHeight="1">
      <c r="A9" s="42" t="inlineStr">
        <is>
          <t>aws.account_id.log_archive</t>
        </is>
      </c>
      <c r="B9" s="39" t="inlineStr">
        <is>
          <t>[log-archive-account-id]</t>
        </is>
      </c>
      <c r="C9" s="39" t="inlineStr">
        <is>
          <t>[log-archive-account-id]</t>
        </is>
      </c>
      <c r="D9" s="39" t="inlineStr">
        <is>
          <t>[log-archive-account-id]</t>
        </is>
      </c>
      <c r="E9" s="39" t="inlineStr">
        <is>
          <t>AWS account ID for the centralised Log Archive account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12-digit numeric</t>
        </is>
      </c>
      <c r="I9" s="40" t="inlineStr">
        <is>
          <t>Confidential</t>
        </is>
      </c>
      <c r="J9" s="39" t="inlineStr">
        <is>
          <t>Cloud CoE</t>
        </is>
      </c>
      <c r="K9" s="39" t="inlineStr">
        <is>
          <t>aws.account_id.management</t>
        </is>
      </c>
      <c r="L9" s="39" t="inlineStr">
        <is>
          <t>Required by CloudTrail and Config delivery configurations</t>
        </is>
      </c>
      <c r="M9" s="40" t="inlineStr">
        <is>
          <t>2025-01-31</t>
        </is>
      </c>
    </row>
    <row r="10" ht="26" customHeight="1">
      <c r="A10" s="43" t="inlineStr">
        <is>
          <t>aws.account_id.audit</t>
        </is>
      </c>
      <c r="B10" s="37" t="inlineStr">
        <is>
          <t>[audit-account-id]</t>
        </is>
      </c>
      <c r="C10" s="37" t="inlineStr">
        <is>
          <t>[audit-account-id]</t>
        </is>
      </c>
      <c r="D10" s="37" t="inlineStr">
        <is>
          <t>[audit-account-id]</t>
        </is>
      </c>
      <c r="E10" s="37" t="inlineStr">
        <is>
          <t>AWS account ID for the Audit/Security Tooling account (GuardDuty and Security Hub delegated admin)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12-digit numeric</t>
        </is>
      </c>
      <c r="I10" s="38" t="inlineStr">
        <is>
          <t>Confidential</t>
        </is>
      </c>
      <c r="J10" s="37" t="inlineStr">
        <is>
          <t>Cloud CoE</t>
        </is>
      </c>
      <c r="K10" s="37" t="inlineStr">
        <is>
          <t>aws.account_id.management</t>
        </is>
      </c>
      <c r="L10" s="37" t="inlineStr">
        <is>
          <t>Used as delegated administrator for GuardDuty and Security Hub</t>
        </is>
      </c>
      <c r="M10" s="38" t="inlineStr">
        <is>
          <t>2025-01-31</t>
        </is>
      </c>
    </row>
    <row r="11" ht="26" customHeight="1">
      <c r="A11" s="42" t="inlineStr">
        <is>
          <t>aws.account_id.network_hub</t>
        </is>
      </c>
      <c r="B11" s="39" t="inlineStr">
        <is>
          <t>[network-hub-account-id]</t>
        </is>
      </c>
      <c r="C11" s="39" t="inlineStr">
        <is>
          <t>[network-hub-account-id]</t>
        </is>
      </c>
      <c r="D11" s="39" t="inlineStr">
        <is>
          <t>[network-hub-account-id]</t>
        </is>
      </c>
      <c r="E11" s="39" t="inlineStr">
        <is>
          <t>AWS account ID for the Network Hub account hosting TGW and Network Firewall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12-digit numeric</t>
        </is>
      </c>
      <c r="I11" s="40" t="inlineStr">
        <is>
          <t>Confidential</t>
        </is>
      </c>
      <c r="J11" s="39" t="inlineStr">
        <is>
          <t>Cloud CoE</t>
        </is>
      </c>
      <c r="K11" s="39" t="inlineStr">
        <is>
          <t>aws.account_id.management</t>
        </is>
      </c>
      <c r="L11" s="39" t="inlineStr">
        <is>
          <t>Required for TGW sharing and spoke VPC attachment configurations</t>
        </is>
      </c>
      <c r="M11" s="40" t="inlineStr">
        <is>
          <t>2025-01-31</t>
        </is>
      </c>
    </row>
    <row r="12" ht="26" customHeight="1">
      <c r="A12" s="43" t="inlineStr">
        <is>
          <t>aws.account_id.shared_services</t>
        </is>
      </c>
      <c r="B12" s="37" t="inlineStr">
        <is>
          <t>[shared-services-account-id]</t>
        </is>
      </c>
      <c r="C12" s="37" t="inlineStr">
        <is>
          <t>[shared-services-account-id]</t>
        </is>
      </c>
      <c r="D12" s="37" t="inlineStr">
        <is>
          <t>[shared-services-account-id]</t>
        </is>
      </c>
      <c r="E12" s="37" t="inlineStr">
        <is>
          <t>AWS account ID for the Shared Services account hosting centralised CloudWatch dashboards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12-digit numeric</t>
        </is>
      </c>
      <c r="I12" s="38" t="inlineStr">
        <is>
          <t>Confidential</t>
        </is>
      </c>
      <c r="J12" s="37" t="inlineStr">
        <is>
          <t>Cloud CoE</t>
        </is>
      </c>
      <c r="K12" s="37" t="inlineStr">
        <is>
          <t>aws.account_id.management</t>
        </is>
      </c>
      <c r="L12" s="37" t="inlineStr">
        <is>
          <t>Required for cross-account CloudWatch metrics sharing</t>
        </is>
      </c>
      <c r="M12" s="38" t="inlineStr">
        <is>
          <t>2025-01-31</t>
        </is>
      </c>
    </row>
    <row r="13" ht="26" customHeight="1">
      <c r="A13" s="42" t="inlineStr">
        <is>
          <t>aws.organizations.id</t>
        </is>
      </c>
      <c r="B13" s="39" t="inlineStr">
        <is>
          <t>[org-id]</t>
        </is>
      </c>
      <c r="C13" s="39" t="inlineStr">
        <is>
          <t>[org-id]</t>
        </is>
      </c>
      <c r="D13" s="39" t="inlineStr">
        <is>
          <t>[org-id]</t>
        </is>
      </c>
      <c r="E13" s="39" t="inlineStr">
        <is>
          <t>AWS Organizations organisation ID used in SCPs and RCP data perimeter policies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^o-[a-z0-9]{10,32}$</t>
        </is>
      </c>
      <c r="I13" s="40" t="inlineStr">
        <is>
          <t>Confidential</t>
        </is>
      </c>
      <c r="J13" s="39" t="inlineStr">
        <is>
          <t>Cloud CoE</t>
        </is>
      </c>
      <c r="K13" s="39" t="inlineStr">
        <is>
          <t>aws.account_id.management</t>
        </is>
      </c>
      <c r="L13" s="39" t="inlineStr">
        <is>
          <t>Used in RCP conditions to enforce org-boundary data perimeter</t>
        </is>
      </c>
      <c r="M13" s="40" t="inlineStr">
        <is>
          <t>2025-01-31</t>
        </is>
      </c>
    </row>
    <row r="14" ht="26" customHeight="1">
      <c r="A14" s="43" t="inlineStr">
        <is>
          <t>aws.organizations.root_id</t>
        </is>
      </c>
      <c r="B14" s="37" t="inlineStr">
        <is>
          <t>[org-root-id]</t>
        </is>
      </c>
      <c r="C14" s="37" t="inlineStr">
        <is>
          <t>[org-root-id]</t>
        </is>
      </c>
      <c r="D14" s="37" t="inlineStr">
        <is>
          <t>[org-root-id]</t>
        </is>
      </c>
      <c r="E14" s="37" t="inlineStr">
        <is>
          <t>Root ID of the AWS Organizations hierarchy for SCP and tag policy attachment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^r-[a-z0-9]{4}$</t>
        </is>
      </c>
      <c r="I14" s="38" t="inlineStr">
        <is>
          <t>Confidential</t>
        </is>
      </c>
      <c r="J14" s="37" t="inlineStr">
        <is>
          <t>Cloud CoE</t>
        </is>
      </c>
      <c r="K14" s="37" t="inlineStr">
        <is>
          <t>aws.organizations.id</t>
        </is>
      </c>
      <c r="L14" s="37" t="inlineStr">
        <is>
          <t>Required for OU creation and policy attachment via Terraform</t>
        </is>
      </c>
      <c r="M14" s="38" t="inlineStr">
        <is>
          <t>2025-01-31</t>
        </is>
      </c>
    </row>
    <row r="15" ht="26" customHeight="1">
      <c r="A15" s="42" t="inlineStr">
        <is>
          <t>controltower.governed_regions</t>
        </is>
      </c>
      <c r="B15" s="39" t="inlineStr">
        <is>
          <t>us-east-1,us-east-2</t>
        </is>
      </c>
      <c r="C15" s="39" t="inlineStr">
        <is>
          <t>us-east-1,us-east-2</t>
        </is>
      </c>
      <c r="D15" s="39" t="inlineStr">
        <is>
          <t>us-east-1,us-east-2</t>
        </is>
      </c>
      <c r="E15" s="39" t="inlineStr">
        <is>
          <t>Comma-separated list of AWS regions governed by Control Tower</t>
        </is>
      </c>
      <c r="F15" s="40" t="inlineStr">
        <is>
          <t>Yes</t>
        </is>
      </c>
      <c r="G15" s="40" t="inlineStr">
        <is>
          <t>List(String)</t>
        </is>
      </c>
      <c r="H15" s="39" t="inlineStr">
        <is>
          <t>Valid AWS region codes; minimum 2 regions per SOW</t>
        </is>
      </c>
      <c r="I15" s="40" t="inlineStr">
        <is>
          <t>Public</t>
        </is>
      </c>
      <c r="J15" s="39" t="inlineStr">
        <is>
          <t>Cloud CoE</t>
        </is>
      </c>
      <c r="K15" s="39" t="inlineStr">
        <is>
          <t>solution.region.primary; solution.region.secondary</t>
        </is>
      </c>
      <c r="L15" s="39" t="inlineStr">
        <is>
          <t>SOW mandates both us-east-1 and us-east-2 governed from day one</t>
        </is>
      </c>
      <c r="M15" s="40" t="inlineStr">
        <is>
          <t>2025-01-31</t>
        </is>
      </c>
    </row>
    <row r="16" ht="26" customHeight="1">
      <c r="A16" s="43" t="inlineStr">
        <is>
          <t>controltower.landing_zone_version</t>
        </is>
      </c>
      <c r="B16" s="37" t="inlineStr">
        <is>
          <t>3.3</t>
        </is>
      </c>
      <c r="C16" s="37" t="inlineStr">
        <is>
          <t>3.3</t>
        </is>
      </c>
      <c r="D16" s="37" t="inlineStr">
        <is>
          <t>3.3</t>
        </is>
      </c>
      <c r="E16" s="37" t="inlineStr">
        <is>
          <t>AWS Control Tower landing zone manifest version deployed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Valid Control Tower version string</t>
        </is>
      </c>
      <c r="I16" s="38" t="inlineStr">
        <is>
          <t>Public</t>
        </is>
      </c>
      <c r="J16" s="37" t="inlineStr">
        <is>
          <t>Cloud CoE</t>
        </is>
      </c>
      <c r="K16" s="37" t="inlineStr"/>
      <c r="L16" s="37" t="inlineStr">
        <is>
          <t>Pin version during active deployment; upgrade only during maintenance windows</t>
        </is>
      </c>
      <c r="M16" s="38" t="inlineStr">
        <is>
          <t>2025-01-31</t>
        </is>
      </c>
    </row>
    <row r="17" ht="26" customHeight="1">
      <c r="A17" s="42" t="inlineStr">
        <is>
          <t>ou.security.id</t>
        </is>
      </c>
      <c r="B17" s="39" t="inlineStr">
        <is>
          <t>[ou-security-id]</t>
        </is>
      </c>
      <c r="C17" s="39" t="inlineStr">
        <is>
          <t>[ou-security-id]</t>
        </is>
      </c>
      <c r="D17" s="39" t="inlineStr">
        <is>
          <t>[ou-security-id]</t>
        </is>
      </c>
      <c r="E17" s="39" t="inlineStr">
        <is>
          <t>OU ID for the Security OU hosting Log Archive and Audit accounts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^ou-[a-z0-9]{4}-[a-z0-9]{8,32}$</t>
        </is>
      </c>
      <c r="I17" s="40" t="inlineStr">
        <is>
          <t>Confidential</t>
        </is>
      </c>
      <c r="J17" s="39" t="inlineStr">
        <is>
          <t>Cloud CoE</t>
        </is>
      </c>
      <c r="K17" s="39" t="inlineStr">
        <is>
          <t>aws.organizations.root_id</t>
        </is>
      </c>
      <c r="L17" s="39" t="inlineStr">
        <is>
          <t>Required for SCP attachment and Control Tower OU registration</t>
        </is>
      </c>
      <c r="M17" s="40" t="inlineStr">
        <is>
          <t>2025-01-31</t>
        </is>
      </c>
    </row>
    <row r="18" ht="26" customHeight="1">
      <c r="A18" s="43" t="inlineStr">
        <is>
          <t>ou.infrastructure.id</t>
        </is>
      </c>
      <c r="B18" s="37" t="inlineStr">
        <is>
          <t>[ou-infrastructure-id]</t>
        </is>
      </c>
      <c r="C18" s="37" t="inlineStr">
        <is>
          <t>[ou-infrastructure-id]</t>
        </is>
      </c>
      <c r="D18" s="37" t="inlineStr">
        <is>
          <t>[ou-infrastructure-id]</t>
        </is>
      </c>
      <c r="E18" s="37" t="inlineStr">
        <is>
          <t>OU ID for the Infrastructure OU hosting Network Hub and Shared Services accounts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^ou-[a-z0-9]{4}-[a-z0-9]{8,32}$</t>
        </is>
      </c>
      <c r="I18" s="38" t="inlineStr">
        <is>
          <t>Confidential</t>
        </is>
      </c>
      <c r="J18" s="37" t="inlineStr">
        <is>
          <t>Cloud CoE</t>
        </is>
      </c>
      <c r="K18" s="37" t="inlineStr">
        <is>
          <t>aws.organizations.root_id</t>
        </is>
      </c>
      <c r="L18" s="37" t="inlineStr">
        <is>
          <t>Required for SCP attachment targeting infrastructure accounts</t>
        </is>
      </c>
      <c r="M18" s="38" t="inlineStr">
        <is>
          <t>2025-01-31</t>
        </is>
      </c>
    </row>
    <row r="19" ht="26" customHeight="1">
      <c r="A19" s="42" t="inlineStr">
        <is>
          <t>ou.workloads_prod.id</t>
        </is>
      </c>
      <c r="B19" s="39" t="inlineStr">
        <is>
          <t>[ou-workloads-prod-id]</t>
        </is>
      </c>
      <c r="C19" s="39" t="inlineStr">
        <is>
          <t>[ou-workloads-prod-id]</t>
        </is>
      </c>
      <c r="D19" s="39" t="inlineStr">
        <is>
          <t>[ou-workloads-prod-id]</t>
        </is>
      </c>
      <c r="E19" s="39" t="inlineStr">
        <is>
          <t>OU ID for the Workloads-Prod OU; maximum SCP enforcement applied here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^ou-[a-z0-9]{4}-[a-z0-9]{8,32}$</t>
        </is>
      </c>
      <c r="I19" s="40" t="inlineStr">
        <is>
          <t>Confidential</t>
        </is>
      </c>
      <c r="J19" s="39" t="inlineStr">
        <is>
          <t>Cloud CoE</t>
        </is>
      </c>
      <c r="K19" s="39" t="inlineStr">
        <is>
          <t>aws.organizations.root_id</t>
        </is>
      </c>
      <c r="L19" s="39" t="inlineStr">
        <is>
          <t>All Production workload accounts must be in this OU at go-live</t>
        </is>
      </c>
      <c r="M19" s="40" t="inlineStr">
        <is>
          <t>2025-01-31</t>
        </is>
      </c>
    </row>
    <row r="20" ht="26" customHeight="1">
      <c r="A20" s="43" t="inlineStr">
        <is>
          <t>ou.workloads_nonprod.id</t>
        </is>
      </c>
      <c r="B20" s="37" t="inlineStr">
        <is>
          <t>[ou-workloads-nonprod-id]</t>
        </is>
      </c>
      <c r="C20" s="37" t="inlineStr">
        <is>
          <t>[ou-workloads-nonprod-id]</t>
        </is>
      </c>
      <c r="D20" s="37" t="inlineStr">
        <is>
          <t>[ou-workloads-nonprod-id]</t>
        </is>
      </c>
      <c r="E20" s="37" t="inlineStr">
        <is>
          <t>OU ID for the Workloads-NonProd OU with relaxed (but enforced) guardrails</t>
        </is>
      </c>
      <c r="F20" s="38" t="inlineStr">
        <is>
          <t>Yes</t>
        </is>
      </c>
      <c r="G20" s="38" t="inlineStr">
        <is>
          <t>String</t>
        </is>
      </c>
      <c r="H20" s="37" t="inlineStr">
        <is>
          <t>^ou-[a-z0-9]{4}-[a-z0-9]{8,32}$</t>
        </is>
      </c>
      <c r="I20" s="38" t="inlineStr">
        <is>
          <t>Confidential</t>
        </is>
      </c>
      <c r="J20" s="37" t="inlineStr">
        <is>
          <t>Cloud CoE</t>
        </is>
      </c>
      <c r="K20" s="37" t="inlineStr">
        <is>
          <t>aws.organizations.root_id</t>
        </is>
      </c>
      <c r="L20" s="37" t="inlineStr">
        <is>
          <t>Used by AFT to route Non-Production account vending requests</t>
        </is>
      </c>
      <c r="M20" s="38" t="inlineStr">
        <is>
          <t>2025-01-31</t>
        </is>
      </c>
    </row>
    <row r="21" ht="26" customHeight="1">
      <c r="A21" s="42" t="inlineStr">
        <is>
          <t>ou.sandbox.id</t>
        </is>
      </c>
      <c r="B21" s="39" t="inlineStr">
        <is>
          <t>[ou-sandbox-id]</t>
        </is>
      </c>
      <c r="C21" s="39" t="inlineStr">
        <is>
          <t>[ou-sandbox-id]</t>
        </is>
      </c>
      <c r="D21" s="39" t="inlineStr">
        <is>
          <t>[ou-sandbox-id]</t>
        </is>
      </c>
      <c r="E21" s="39" t="inlineStr">
        <is>
          <t>OU ID for the Sandbox OU; region restriction and root-deny SCPs remain active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^ou-[a-z0-9]{4}-[a-z0-9]{8,32}$</t>
        </is>
      </c>
      <c r="I21" s="40" t="inlineStr">
        <is>
          <t>Confidential</t>
        </is>
      </c>
      <c r="J21" s="39" t="inlineStr">
        <is>
          <t>Cloud CoE</t>
        </is>
      </c>
      <c r="K21" s="39" t="inlineStr">
        <is>
          <t>aws.organizations.root_id</t>
        </is>
      </c>
      <c r="L21" s="39" t="inlineStr">
        <is>
          <t>Production guardrails relaxed for experimentation per SOW design</t>
        </is>
      </c>
      <c r="M21" s="40" t="inlineStr">
        <is>
          <t>2025-01-31</t>
        </is>
      </c>
    </row>
    <row r="22" ht="26" customHeight="1">
      <c r="A22" s="43" t="inlineStr">
        <is>
          <t>ou.suspended.id</t>
        </is>
      </c>
      <c r="B22" s="37" t="inlineStr">
        <is>
          <t>[ou-suspended-id]</t>
        </is>
      </c>
      <c r="C22" s="37" t="inlineStr">
        <is>
          <t>[ou-suspended-id]</t>
        </is>
      </c>
      <c r="D22" s="37" t="inlineStr">
        <is>
          <t>[ou-suspended-id]</t>
        </is>
      </c>
      <c r="E22" s="37" t="inlineStr">
        <is>
          <t>OU ID for the Suspended OU; deny-all SCP applied to isolated decommissioned accounts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^ou-[a-z0-9]{4}-[a-z0-9]{8,32}$</t>
        </is>
      </c>
      <c r="I22" s="38" t="inlineStr">
        <is>
          <t>Confidential</t>
        </is>
      </c>
      <c r="J22" s="37" t="inlineStr">
        <is>
          <t>Cloud CoE</t>
        </is>
      </c>
      <c r="K22" s="37" t="inlineStr">
        <is>
          <t>aws.organizations.root_id</t>
        </is>
      </c>
      <c r="L22" s="37" t="inlineStr">
        <is>
          <t>Accounts moved here pending formal closure process</t>
        </is>
      </c>
      <c r="M22" s="38" t="inlineStr">
        <is>
          <t>2025-01-31</t>
        </is>
      </c>
    </row>
  </sheetData>
  <autoFilter ref="A2:M22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networking.ipam.supernet_cidr</t>
        </is>
      </c>
      <c r="B3" s="39" t="inlineStr">
        <is>
          <t>10.0.0.0/8</t>
        </is>
      </c>
      <c r="C3" s="39" t="inlineStr">
        <is>
          <t>10.0.0.0/8</t>
        </is>
      </c>
      <c r="D3" s="39" t="inlineStr">
        <is>
          <t>10.0.0.0/8</t>
        </is>
      </c>
      <c r="E3" s="39" t="inlineStr">
        <is>
          <t>VPC IPAM top-level supernet CIDR managed in the Network Hub account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CIDR block; must not overlap with on-premises ranges</t>
        </is>
      </c>
      <c r="I3" s="40" t="inlineStr">
        <is>
          <t>Confidential</t>
        </is>
      </c>
      <c r="J3" s="39" t="inlineStr">
        <is>
          <t>Network Team</t>
        </is>
      </c>
      <c r="K3" s="39" t="inlineStr">
        <is>
          <t>aws.account_id.network_hub</t>
        </is>
      </c>
      <c r="L3" s="39" t="inlineStr">
        <is>
          <t>Confirmed non-overlapping with on-premises IP space during Phase 1 discovery</t>
        </is>
      </c>
      <c r="M3" s="40" t="inlineStr">
        <is>
          <t>2025-01-31</t>
        </is>
      </c>
    </row>
    <row r="4" ht="26" customHeight="1">
      <c r="A4" s="43" t="inlineStr">
        <is>
          <t>networking.ipam.pool_us_east_1_cidr</t>
        </is>
      </c>
      <c r="B4" s="37" t="inlineStr">
        <is>
          <t>10.0.0.0/10</t>
        </is>
      </c>
      <c r="C4" s="37" t="inlineStr">
        <is>
          <t>10.0.0.0/10</t>
        </is>
      </c>
      <c r="D4" s="37" t="inlineStr">
        <is>
          <t>10.0.0.0/10</t>
        </is>
      </c>
      <c r="E4" s="37" t="inlineStr">
        <is>
          <t>IPAM regional sub-pool CIDR for us-east-1; supports up to 256 /20 spoke VPCs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CIDR within networking.ipam.supernet_cidr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networking.ipam.supernet_cidr</t>
        </is>
      </c>
      <c r="L4" s="37" t="inlineStr">
        <is>
          <t>Allocates /20 blocks automatically to each new spoke VPC in us-east-1</t>
        </is>
      </c>
      <c r="M4" s="38" t="inlineStr">
        <is>
          <t>2025-01-31</t>
        </is>
      </c>
    </row>
    <row r="5" ht="26" customHeight="1">
      <c r="A5" s="42" t="inlineStr">
        <is>
          <t>networking.ipam.pool_us_east_2_cidr</t>
        </is>
      </c>
      <c r="B5" s="39" t="inlineStr">
        <is>
          <t>10.64.0.0/10</t>
        </is>
      </c>
      <c r="C5" s="39" t="inlineStr">
        <is>
          <t>10.64.0.0/10</t>
        </is>
      </c>
      <c r="D5" s="39" t="inlineStr">
        <is>
          <t>10.64.0.0/10</t>
        </is>
      </c>
      <c r="E5" s="39" t="inlineStr">
        <is>
          <t>IPAM regional sub-pool CIDR for us-east-2; supports up to 256 /20 spoke VPCs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within networking.ipam.supernet_cidr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networking.ipam.supernet_cidr</t>
        </is>
      </c>
      <c r="L5" s="39" t="inlineStr">
        <is>
          <t>Non-overlapping with us-east-1 pool; mirrors spoke count capacity</t>
        </is>
      </c>
      <c r="M5" s="40" t="inlineStr">
        <is>
          <t>2025-01-31</t>
        </is>
      </c>
    </row>
    <row r="6" ht="26" customHeight="1">
      <c r="A6" s="43" t="inlineStr">
        <is>
          <t>networking.hub_vpc.us_east_1_cidr</t>
        </is>
      </c>
      <c r="B6" s="37" t="inlineStr">
        <is>
          <t>10.128.0.0/20</t>
        </is>
      </c>
      <c r="C6" s="37" t="inlineStr">
        <is>
          <t>10.128.0.0/20</t>
        </is>
      </c>
      <c r="D6" s="37" t="inlineStr">
        <is>
          <t>10.192.0.0/20</t>
        </is>
      </c>
      <c r="E6" s="37" t="inlineStr">
        <is>
          <t>Network Hub VPC CIDR block in us-east-1; must not be allocated from the spoke IPAM pool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/20 CIDR; must not overlap with IPAM regional pool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networking.ipam.supernet_cidr</t>
        </is>
      </c>
      <c r="L6" s="37" t="inlineStr">
        <is>
          <t>Hub VPC uses static allocation outside the spoke IPAM pool by design</t>
        </is>
      </c>
      <c r="M6" s="38" t="inlineStr">
        <is>
          <t>2025-01-31</t>
        </is>
      </c>
    </row>
    <row r="7" ht="26" customHeight="1">
      <c r="A7" s="42" t="inlineStr">
        <is>
          <t>networking.hub_vpc.us_east_2_cidr</t>
        </is>
      </c>
      <c r="B7" s="39" t="inlineStr">
        <is>
          <t>10.192.0.0/20</t>
        </is>
      </c>
      <c r="C7" s="39" t="inlineStr">
        <is>
          <t>10.192.0.0/20</t>
        </is>
      </c>
      <c r="D7" s="39" t="inlineStr">
        <is>
          <t>10.128.0.0/20</t>
        </is>
      </c>
      <c r="E7" s="39" t="inlineStr">
        <is>
          <t>Network Hub VPC CIDR block in us-east-2; mirrors hub layout with a different offset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/20 CIDR; must not overlap with IPAM regional pool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networking.ipam.supernet_cidr</t>
        </is>
      </c>
      <c r="L7" s="39" t="inlineStr">
        <is>
          <t>Non-overlapping with us-east-1 hub VPC; same subnet tier layout</t>
        </is>
      </c>
      <c r="M7" s="40" t="inlineStr">
        <is>
          <t>2025-01-31</t>
        </is>
      </c>
    </row>
    <row r="8" ht="26" customHeight="1">
      <c r="A8" s="43" t="inlineStr">
        <is>
          <t>networking.spoke_vpc.cidr_prefix_length</t>
        </is>
      </c>
      <c r="B8" s="37" t="inlineStr">
        <is>
          <t>20</t>
        </is>
      </c>
      <c r="C8" s="37" t="inlineStr">
        <is>
          <t>20</t>
        </is>
      </c>
      <c r="D8" s="37" t="inlineStr">
        <is>
          <t>20</t>
        </is>
      </c>
      <c r="E8" s="37" t="inlineStr">
        <is>
          <t>CIDR prefix length auto-allocated from IPAM for each new spoke VPC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16-28</t>
        </is>
      </c>
      <c r="I8" s="38" t="inlineStr">
        <is>
          <t>Public</t>
        </is>
      </c>
      <c r="J8" s="37" t="inlineStr">
        <is>
          <t>Network Team</t>
        </is>
      </c>
      <c r="K8" s="37" t="inlineStr">
        <is>
          <t>networking.ipam.pool_us_east_1_cidr; networking.ipam.pool_us_east_2_cidr</t>
        </is>
      </c>
      <c r="L8" s="37" t="inlineStr">
        <is>
          <t>SOW specifies /20 per spoke (4096 hosts); change requires IPAM reconfiguration</t>
        </is>
      </c>
      <c r="M8" s="38" t="inlineStr">
        <is>
          <t>2025-01-31</t>
        </is>
      </c>
    </row>
    <row r="9" ht="26" customHeight="1">
      <c r="A9" s="42" t="inlineStr">
        <is>
          <t>networking.tgw.id.us_east_1</t>
        </is>
      </c>
      <c r="B9" s="39" t="inlineStr">
        <is>
          <t>[tgw-id-use1]</t>
        </is>
      </c>
      <c r="C9" s="39" t="inlineStr">
        <is>
          <t>[tgw-id-use1]</t>
        </is>
      </c>
      <c r="D9" s="39" t="inlineStr">
        <is>
          <t>[tgw-id-use1]</t>
        </is>
      </c>
      <c r="E9" s="39" t="inlineStr">
        <is>
          <t>Transit Gateway ID in us-east-1; shared to all spoke accounts via RAM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^tgw-[a-f0-9]{17}$</t>
        </is>
      </c>
      <c r="I9" s="40" t="inlineStr">
        <is>
          <t>Confidential</t>
        </is>
      </c>
      <c r="J9" s="39" t="inlineStr">
        <is>
          <t>Network Team</t>
        </is>
      </c>
      <c r="K9" s="39" t="inlineStr">
        <is>
          <t>aws.account_id.network_hub</t>
        </is>
      </c>
      <c r="L9" s="39" t="inlineStr">
        <is>
          <t>All spoke VPC attachments target this TGW; shared via AWS Resource Access Manager</t>
        </is>
      </c>
      <c r="M9" s="40" t="inlineStr">
        <is>
          <t>2025-01-31</t>
        </is>
      </c>
    </row>
    <row r="10" ht="26" customHeight="1">
      <c r="A10" s="43" t="inlineStr">
        <is>
          <t>networking.tgw.id.us_east_2</t>
        </is>
      </c>
      <c r="B10" s="37" t="inlineStr">
        <is>
          <t>[tgw-id-use2]</t>
        </is>
      </c>
      <c r="C10" s="37" t="inlineStr">
        <is>
          <t>[tgw-id-use2]</t>
        </is>
      </c>
      <c r="D10" s="37" t="inlineStr">
        <is>
          <t>[tgw-id-use2]</t>
        </is>
      </c>
      <c r="E10" s="37" t="inlineStr">
        <is>
          <t>Transit Gateway ID in us-east-2; inter-region peering links it to us-east-1 TGW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^tgw-[a-f0-9]{17}$</t>
        </is>
      </c>
      <c r="I10" s="38" t="inlineStr">
        <is>
          <t>Confidential</t>
        </is>
      </c>
      <c r="J10" s="37" t="inlineStr">
        <is>
          <t>Network Team</t>
        </is>
      </c>
      <c r="K10" s="37" t="inlineStr">
        <is>
          <t>aws.account_id.network_hub; networking.tgw.id.us_east_1</t>
        </is>
      </c>
      <c r="L10" s="37" t="inlineStr">
        <is>
          <t>Static inter-region TGW peering attachment configured between both TGWs</t>
        </is>
      </c>
      <c r="M10" s="38" t="inlineStr">
        <is>
          <t>2025-01-31</t>
        </is>
      </c>
    </row>
    <row r="11" ht="26" customHeight="1">
      <c r="A11" s="42" t="inlineStr">
        <is>
          <t>networking.nat_gateway.count_per_region</t>
        </is>
      </c>
      <c r="B11" s="39" t="inlineStr">
        <is>
          <t>2</t>
        </is>
      </c>
      <c r="C11" s="39" t="inlineStr">
        <is>
          <t>1</t>
        </is>
      </c>
      <c r="D11" s="39" t="inlineStr">
        <is>
          <t>2</t>
        </is>
      </c>
      <c r="E11" s="39" t="inlineStr">
        <is>
          <t>Number of NAT Gateway instances per region; one per AZ in production for HA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1-3</t>
        </is>
      </c>
      <c r="I11" s="40" t="inlineStr">
        <is>
          <t>Public</t>
        </is>
      </c>
      <c r="J11" s="39" t="inlineStr">
        <is>
          <t>Network Team</t>
        </is>
      </c>
      <c r="K11" s="39" t="inlineStr">
        <is>
          <t>networking.hub_vpc.us_east_1_cidr</t>
        </is>
      </c>
      <c r="L11" s="39" t="inlineStr">
        <is>
          <t>SOW specifies one NAT Gateway per AZ in production; test uses single NAT to reduce cost</t>
        </is>
      </c>
      <c r="M11" s="40" t="inlineStr">
        <is>
          <t>2025-01-31</t>
        </is>
      </c>
    </row>
    <row r="12" ht="26" customHeight="1">
      <c r="A12" s="43" t="inlineStr">
        <is>
          <t>networking.vpn.customer_gateway_ip</t>
        </is>
      </c>
      <c r="B12" s="37" t="inlineStr">
        <is>
          <t>[on-prem-gateway-ip]</t>
        </is>
      </c>
      <c r="C12" s="37" t="inlineStr">
        <is>
          <t>[on-prem-gateway-ip]</t>
        </is>
      </c>
      <c r="D12" s="37" t="inlineStr">
        <is>
          <t>[on-prem-gateway-ip]</t>
        </is>
      </c>
      <c r="E12" s="37" t="inlineStr">
        <is>
          <t>On-premises VPN gateway public IP for the AWS Site-to-Site VPN Customer Gateway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public IPv4 address</t>
        </is>
      </c>
      <c r="I12" s="38" t="inlineStr">
        <is>
          <t>Confidential</t>
        </is>
      </c>
      <c r="J12" s="37" t="inlineStr">
        <is>
          <t>Network Team</t>
        </is>
      </c>
      <c r="K12" s="37" t="inlineStr"/>
      <c r="L12" s="37" t="inlineStr">
        <is>
          <t>Confirmed at kick-off per Dependency D5; required before Phase 2 networking deployment</t>
        </is>
      </c>
      <c r="M12" s="38" t="inlineStr">
        <is>
          <t>2025-01-31</t>
        </is>
      </c>
    </row>
    <row r="13" ht="26" customHeight="1">
      <c r="A13" s="42" t="inlineStr">
        <is>
          <t>networking.vpn.customer_gateway_asn</t>
        </is>
      </c>
      <c r="B13" s="39" t="inlineStr">
        <is>
          <t>[on-prem-bgp-asn]</t>
        </is>
      </c>
      <c r="C13" s="39" t="inlineStr">
        <is>
          <t>[on-prem-bgp-asn]</t>
        </is>
      </c>
      <c r="D13" s="39" t="inlineStr">
        <is>
          <t>[on-prem-bgp-asn]</t>
        </is>
      </c>
      <c r="E13" s="39" t="inlineStr">
        <is>
          <t>BGP ASN of the on-premises Customer Gateway; used for dynamic route propagation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1-4294967295</t>
        </is>
      </c>
      <c r="I13" s="40" t="inlineStr">
        <is>
          <t>Confidential</t>
        </is>
      </c>
      <c r="J13" s="39" t="inlineStr">
        <is>
          <t>Network Team</t>
        </is>
      </c>
      <c r="K13" s="39" t="inlineStr">
        <is>
          <t>networking.vpn.customer_gateway_ip</t>
        </is>
      </c>
      <c r="L13" s="39" t="inlineStr">
        <is>
          <t>Static routing configured as fallback if BGP is not supported on-premises</t>
        </is>
      </c>
      <c r="M13" s="40" t="inlineStr">
        <is>
          <t>2025-01-31</t>
        </is>
      </c>
    </row>
    <row r="14" ht="26" customHeight="1">
      <c r="A14" s="43" t="inlineStr">
        <is>
          <t>networking.firewall.policy_arn.us_east_1</t>
        </is>
      </c>
      <c r="B14" s="37" t="inlineStr">
        <is>
          <t>[nfw-policy-arn-use1]</t>
        </is>
      </c>
      <c r="C14" s="37" t="inlineStr">
        <is>
          <t>[nfw-policy-arn-use1]</t>
        </is>
      </c>
      <c r="D14" s="37" t="inlineStr">
        <is>
          <t>[nfw-policy-arn-use2]</t>
        </is>
      </c>
      <c r="E14" s="37" t="inlineStr">
        <is>
          <t>ARN of the AWS Network Firewall stateful policy in us-east-1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Valid Network Firewall policy ARN</t>
        </is>
      </c>
      <c r="I14" s="38" t="inlineStr">
        <is>
          <t>Confidential</t>
        </is>
      </c>
      <c r="J14" s="37" t="inlineStr">
        <is>
          <t>Network Team</t>
        </is>
      </c>
      <c r="K14" s="37" t="inlineStr">
        <is>
          <t>aws.account_id.network_hub</t>
        </is>
      </c>
      <c r="L14" s="37" t="inlineStr">
        <is>
          <t>Default-deny stance; all permit rules managed as Terraform in IaC repository</t>
        </is>
      </c>
      <c r="M14" s="38" t="inlineStr">
        <is>
          <t>2025-01-31</t>
        </is>
      </c>
    </row>
    <row r="15" ht="26" customHeight="1">
      <c r="A15" s="42" t="inlineStr">
        <is>
          <t>networking.firewall.policy_arn.us_east_2</t>
        </is>
      </c>
      <c r="B15" s="39" t="inlineStr">
        <is>
          <t>[nfw-policy-arn-use2]</t>
        </is>
      </c>
      <c r="C15" s="39" t="inlineStr">
        <is>
          <t>[nfw-policy-arn-use2]</t>
        </is>
      </c>
      <c r="D15" s="39" t="inlineStr">
        <is>
          <t>[nfw-policy-arn-use1]</t>
        </is>
      </c>
      <c r="E15" s="39" t="inlineStr">
        <is>
          <t>ARN of the AWS Network Firewall stateful policy in us-east-2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Network Firewall policy ARN</t>
        </is>
      </c>
      <c r="I15" s="40" t="inlineStr">
        <is>
          <t>Confidential</t>
        </is>
      </c>
      <c r="J15" s="39" t="inlineStr">
        <is>
          <t>Network Team</t>
        </is>
      </c>
      <c r="K15" s="39" t="inlineStr">
        <is>
          <t>aws.account_id.network_hub; networking.firewall.policy_arn.us_east_1</t>
        </is>
      </c>
      <c r="L15" s="39" t="inlineStr">
        <is>
          <t>Policy mirrors us-east-1 for symmetric east-west and north-south enforcement</t>
        </is>
      </c>
      <c r="M15" s="40" t="inlineStr">
        <is>
          <t>2025-01-31</t>
        </is>
      </c>
    </row>
    <row r="16" ht="26" customHeight="1">
      <c r="A16" s="43" t="inlineStr">
        <is>
          <t>networking.vpc_flow_logs.enabled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Enable VPC Flow Logs on all spoke and hub VPCs delivered to Log Archive S3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Network Team</t>
        </is>
      </c>
      <c r="K16" s="37" t="inlineStr">
        <is>
          <t>aws.account_id.log_archive</t>
        </is>
      </c>
      <c r="L16" s="37" t="inlineStr">
        <is>
          <t>Flow Logs delivered to Log Archive S3 under /vpc-flow-logs/ prefix</t>
        </is>
      </c>
      <c r="M16" s="38" t="inlineStr">
        <is>
          <t>2025-01-31</t>
        </is>
      </c>
    </row>
    <row r="17" ht="26" customHeight="1">
      <c r="A17" s="42" t="inlineStr">
        <is>
          <t>networking.vpc_flow_logs.retention_days</t>
        </is>
      </c>
      <c r="B17" s="39" t="inlineStr">
        <is>
          <t>90</t>
        </is>
      </c>
      <c r="C17" s="39" t="inlineStr">
        <is>
          <t>30</t>
        </is>
      </c>
      <c r="D17" s="39" t="inlineStr">
        <is>
          <t>90</t>
        </is>
      </c>
      <c r="E17" s="39" t="inlineStr">
        <is>
          <t>Retention period in days for VPC Flow Logs in the Log Archive S3 bucket before Glacier transition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1-3653</t>
        </is>
      </c>
      <c r="I17" s="40" t="inlineStr">
        <is>
          <t>Public</t>
        </is>
      </c>
      <c r="J17" s="39" t="inlineStr">
        <is>
          <t>Network Team</t>
        </is>
      </c>
      <c r="K17" s="39" t="inlineStr">
        <is>
          <t>networking.vpc_flow_logs.enabled</t>
        </is>
      </c>
      <c r="L17" s="39" t="inlineStr">
        <is>
          <t>Lifecycle policy transitions logs to Glacier Instant Retrieval after this period</t>
        </is>
      </c>
      <c r="M17" s="40" t="inlineStr">
        <is>
          <t>2025-01-31</t>
        </is>
      </c>
    </row>
  </sheetData>
  <autoFilter ref="A2:M17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iam_identity_center.instance_arn</t>
        </is>
      </c>
      <c r="B3" s="39" t="inlineStr">
        <is>
          <t>[sso-instance-arn]</t>
        </is>
      </c>
      <c r="C3" s="39" t="inlineStr">
        <is>
          <t>[sso-instance-arn]</t>
        </is>
      </c>
      <c r="D3" s="39" t="inlineStr">
        <is>
          <t>[sso-instance-arn]</t>
        </is>
      </c>
      <c r="E3" s="39" t="inlineStr">
        <is>
          <t>ARN of the IAM Identity Center instance used for all cross-account SSO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^arn:aws:sso:::instance/ssoins-[a-zA-Z0-9]{16}$</t>
        </is>
      </c>
      <c r="I3" s="40" t="inlineStr">
        <is>
          <t>Confidential</t>
        </is>
      </c>
      <c r="J3" s="39" t="inlineStr">
        <is>
          <t>Security Team</t>
        </is>
      </c>
      <c r="K3" s="39" t="inlineStr">
        <is>
          <t>aws.account_id.management</t>
        </is>
      </c>
      <c r="L3" s="39" t="inlineStr">
        <is>
          <t>Required by all permission set and assignment Terraform resources</t>
        </is>
      </c>
      <c r="M3" s="40" t="inlineStr">
        <is>
          <t>2025-01-31</t>
        </is>
      </c>
    </row>
    <row r="4" ht="26" customHeight="1">
      <c r="A4" s="43" t="inlineStr">
        <is>
          <t>iam_identity_center.identity_store_id</t>
        </is>
      </c>
      <c r="B4" s="37" t="inlineStr">
        <is>
          <t>[identity-store-id]</t>
        </is>
      </c>
      <c r="C4" s="37" t="inlineStr">
        <is>
          <t>[identity-store-id]</t>
        </is>
      </c>
      <c r="D4" s="37" t="inlineStr">
        <is>
          <t>[identity-store-id]</t>
        </is>
      </c>
      <c r="E4" s="37" t="inlineStr">
        <is>
          <t>Identity Store ID associated with the IAM Identity Center instance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^d-[a-zA-Z0-9]{10}$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iam_identity_center.instance_arn</t>
        </is>
      </c>
      <c r="L4" s="37" t="inlineStr">
        <is>
          <t>Used for group and user lookup in Terraform IAM Identity Center resources</t>
        </is>
      </c>
      <c r="M4" s="38" t="inlineStr">
        <is>
          <t>2025-01-31</t>
        </is>
      </c>
    </row>
    <row r="5" ht="26" customHeight="1">
      <c r="A5" s="42" t="inlineStr">
        <is>
          <t>iam_identity_center.identity_source</t>
        </is>
      </c>
      <c r="B5" s="39" t="inlineStr">
        <is>
          <t>NATIVE</t>
        </is>
      </c>
      <c r="C5" s="39" t="inlineStr">
        <is>
          <t>NATIVE</t>
        </is>
      </c>
      <c r="D5" s="39" t="inlineStr">
        <is>
          <t>NATIVE</t>
        </is>
      </c>
      <c r="E5" s="39" t="inlineStr">
        <is>
          <t>Identity source type for IAM Identity Center; NATIVE or EXTERNAL_IDP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NATIVE | EXTERNAL_IDP</t>
        </is>
      </c>
      <c r="I5" s="40" t="inlineStr">
        <is>
          <t>Public</t>
        </is>
      </c>
      <c r="J5" s="39" t="inlineStr">
        <is>
          <t>Security Team</t>
        </is>
      </c>
      <c r="K5" s="39" t="inlineStr">
        <is>
          <t>iam_identity_center.instance_arn</t>
        </is>
      </c>
      <c r="L5" s="39" t="inlineStr">
        <is>
          <t>Confirmed at kick-off per Dependency D4; NATIVE until IdP is confirmed</t>
        </is>
      </c>
      <c r="M5" s="40" t="inlineStr">
        <is>
          <t>2025-01-31</t>
        </is>
      </c>
    </row>
    <row r="6" ht="26" customHeight="1">
      <c r="A6" s="43" t="inlineStr">
        <is>
          <t>iam_identity_center.session_duration_hours</t>
        </is>
      </c>
      <c r="B6" s="37" t="inlineStr">
        <is>
          <t>8</t>
        </is>
      </c>
      <c r="C6" s="37" t="inlineStr">
        <is>
          <t>8</t>
        </is>
      </c>
      <c r="D6" s="37" t="inlineStr">
        <is>
          <t>8</t>
        </is>
      </c>
      <c r="E6" s="37" t="inlineStr">
        <is>
          <t>Maximum session duration in hours for all IAM Identity Center permission sets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1-12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iam_identity_center.instance_arn</t>
        </is>
      </c>
      <c r="L6" s="37" t="inlineStr">
        <is>
          <t>SOW specifies 8-hour cap; applies to all permission sets uniformly</t>
        </is>
      </c>
      <c r="M6" s="38" t="inlineStr">
        <is>
          <t>2025-01-31</t>
        </is>
      </c>
    </row>
    <row r="7" ht="26" customHeight="1">
      <c r="A7" s="42" t="inlineStr">
        <is>
          <t>security.mfa_enabled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Enforce MFA for all IAM Identity Center users via SCP deny on aws:MultiFactorAuthPresent=false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iam_identity_center.instance_arn</t>
        </is>
      </c>
      <c r="L7" s="39" t="inlineStr">
        <is>
          <t>SOW mandates MFA via SCP; must not be disabled in any environment</t>
        </is>
      </c>
      <c r="M7" s="40" t="inlineStr">
        <is>
          <t>2025-01-31</t>
        </is>
      </c>
    </row>
    <row r="8" ht="26" customHeight="1">
      <c r="A8" s="43" t="inlineStr">
        <is>
          <t>security.scp.deny_root_enabled</t>
        </is>
      </c>
      <c r="B8" s="37" t="inlineStr">
        <is>
          <t>true</t>
        </is>
      </c>
      <c r="C8" s="37" t="inlineStr">
        <is>
          <t>true</t>
        </is>
      </c>
      <c r="D8" s="37" t="inlineStr">
        <is>
          <t>true</t>
        </is>
      </c>
      <c r="E8" s="37" t="inlineStr">
        <is>
          <t>Enable SCP that denies all root account API actions across all member accounts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aws.organizations.root_id</t>
        </is>
      </c>
      <c r="L8" s="37" t="inlineStr">
        <is>
          <t>Core preventative control per SOW; apply at Root OU level</t>
        </is>
      </c>
      <c r="M8" s="38" t="inlineStr">
        <is>
          <t>2025-01-31</t>
        </is>
      </c>
    </row>
    <row r="9" ht="26" customHeight="1">
      <c r="A9" s="42" t="inlineStr">
        <is>
          <t>security.scp.restrict_regions_enabled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SCP restricting all API calls to us-east-1 and us-east-2 only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aws.organizations.root_id; controltower.governed_regions</t>
        </is>
      </c>
      <c r="L9" s="39" t="inlineStr">
        <is>
          <t>Enforces US data residency requirement at the control-plane level</t>
        </is>
      </c>
      <c r="M9" s="40" t="inlineStr">
        <is>
          <t>2025-01-31</t>
        </is>
      </c>
    </row>
    <row r="10" ht="26" customHeight="1">
      <c r="A10" s="43" t="inlineStr">
        <is>
          <t>security.scp.cloudtrail_lock_enabled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SCP preventing disabling or modification of the CloudTrail organisation trail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aws.organizations.root_id</t>
        </is>
      </c>
      <c r="L10" s="37" t="inlineStr">
        <is>
          <t>Prevents tampering with the immutable audit trail; required for SOC 2 / HIPAA</t>
        </is>
      </c>
      <c r="M10" s="38" t="inlineStr">
        <is>
          <t>2025-01-31</t>
        </is>
      </c>
    </row>
    <row r="11" ht="26" customHeight="1">
      <c r="A11" s="42" t="inlineStr">
        <is>
          <t>security.scp.config_lock_enabled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SCP preventing disabling of AWS Config recording across member accounts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aws.organizations.root_id</t>
        </is>
      </c>
      <c r="L11" s="39" t="inlineStr">
        <is>
          <t>Ensures continuous compliance monitoring cannot be circumvented</t>
        </is>
      </c>
      <c r="M11" s="40" t="inlineStr">
        <is>
          <t>2025-01-31</t>
        </is>
      </c>
    </row>
    <row r="12" ht="26" customHeight="1">
      <c r="A12" s="43" t="inlineStr">
        <is>
          <t>security.rcp.data_perimeter_enabled</t>
        </is>
      </c>
      <c r="B12" s="37" t="inlineStr">
        <is>
          <t>true</t>
        </is>
      </c>
      <c r="C12" s="37" t="inlineStr">
        <is>
          <t>false</t>
        </is>
      </c>
      <c r="D12" s="37" t="inlineStr">
        <is>
          <t>true</t>
        </is>
      </c>
      <c r="E12" s="37" t="inlineStr">
        <is>
          <t>Enable Resource Control Policy enforcing org-boundary data perimeter on all member accounts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aws.organizations.id</t>
        </is>
      </c>
      <c r="L12" s="37" t="inlineStr">
        <is>
          <t>Prevents data exfiltration to principals outside the Organisation; not applied to NonProd to reduce friction</t>
        </is>
      </c>
      <c r="M12" s="38" t="inlineStr">
        <is>
          <t>2025-01-31</t>
        </is>
      </c>
    </row>
    <row r="13" ht="26" customHeight="1">
      <c r="A13" s="42" t="inlineStr">
        <is>
          <t>security.kms.key_rotation_enabled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automatic annual rotation for all customer-managed KMS keys in both regions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/>
      <c r="L13" s="39" t="inlineStr">
        <is>
          <t>Satisfies FSBP kms-key-rotation-enabled control; applied via Config conformance pack</t>
        </is>
      </c>
      <c r="M13" s="40" t="inlineStr">
        <is>
          <t>2025-01-31</t>
        </is>
      </c>
    </row>
    <row r="14" ht="26" customHeight="1">
      <c r="A14" s="43" t="inlineStr">
        <is>
          <t>security.kms.key_arn.us_east_1</t>
        </is>
      </c>
      <c r="B14" s="37" t="inlineStr">
        <is>
          <t>[kms-key-arn-use1]</t>
        </is>
      </c>
      <c r="C14" s="37" t="inlineStr">
        <is>
          <t>[kms-key-arn-use1]</t>
        </is>
      </c>
      <c r="D14" s="37" t="inlineStr">
        <is>
          <t>[kms-key-arn-use2]</t>
        </is>
      </c>
      <c r="E14" s="37" t="inlineStr">
        <is>
          <t>ARN of the customer-managed KMS key in us-east-1 for S3/CloudTrail/EBS encryption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^arn:aws:kms:us-east-[12]:[0-9]{12}:key/[a-f0-9-]{36}$</t>
        </is>
      </c>
      <c r="I14" s="38" t="inlineStr">
        <is>
          <t>Secret</t>
        </is>
      </c>
      <c r="J14" s="37" t="inlineStr">
        <is>
          <t>Security Team</t>
        </is>
      </c>
      <c r="K14" s="37" t="inlineStr">
        <is>
          <t>solution.region.primary</t>
        </is>
      </c>
      <c r="L14" s="37" t="inlineStr">
        <is>
          <t>Store in Secrets Manager; used by Log Archive S3 bucket and CloudTrail config</t>
        </is>
      </c>
      <c r="M14" s="38" t="inlineStr">
        <is>
          <t>2025-01-31</t>
        </is>
      </c>
    </row>
    <row r="15" ht="26" customHeight="1">
      <c r="A15" s="42" t="inlineStr">
        <is>
          <t>security.kms.key_arn.us_east_2</t>
        </is>
      </c>
      <c r="B15" s="39" t="inlineStr">
        <is>
          <t>[kms-key-arn-use2]</t>
        </is>
      </c>
      <c r="C15" s="39" t="inlineStr">
        <is>
          <t>[kms-key-arn-use2]</t>
        </is>
      </c>
      <c r="D15" s="39" t="inlineStr">
        <is>
          <t>[kms-key-arn-use1]</t>
        </is>
      </c>
      <c r="E15" s="39" t="inlineStr">
        <is>
          <t>ARN of the customer-managed KMS key in us-east-2 for DR region encryption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^arn:aws:kms:us-east-[12]:[0-9]{12}:key/[a-f0-9-]{36}$</t>
        </is>
      </c>
      <c r="I15" s="40" t="inlineStr">
        <is>
          <t>Secret</t>
        </is>
      </c>
      <c r="J15" s="39" t="inlineStr">
        <is>
          <t>Security Team</t>
        </is>
      </c>
      <c r="K15" s="39" t="inlineStr">
        <is>
          <t>solution.region.secondary</t>
        </is>
      </c>
      <c r="L15" s="39" t="inlineStr">
        <is>
          <t>Store in Secrets Manager; replicate key policy from primary region</t>
        </is>
      </c>
      <c r="M15" s="40" t="inlineStr">
        <is>
          <t>2025-01-31</t>
        </is>
      </c>
    </row>
    <row r="16" ht="26" customHeight="1">
      <c r="A16" s="43" t="inlineStr">
        <is>
          <t>security.breakglass.secret_arn</t>
        </is>
      </c>
      <c r="B16" s="37" t="inlineStr">
        <is>
          <t>[breakglass-secret-arn]</t>
        </is>
      </c>
      <c r="C16" s="37" t="inlineStr">
        <is>
          <t>[breakglass-secret-arn]</t>
        </is>
      </c>
      <c r="D16" s="37" t="inlineStr">
        <is>
          <t>[breakglass-secret-arn]</t>
        </is>
      </c>
      <c r="E16" s="37" t="inlineStr">
        <is>
          <t>Secrets Manager ARN for the sealed management-account root break-glass credentials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Valid Secrets Manager ARN format</t>
        </is>
      </c>
      <c r="I16" s="38" t="inlineStr">
        <is>
          <t>Secret</t>
        </is>
      </c>
      <c r="J16" s="37" t="inlineStr">
        <is>
          <t>Security Team</t>
        </is>
      </c>
      <c r="K16" s="37" t="inlineStr">
        <is>
          <t>aws.account_id.management</t>
        </is>
      </c>
      <c r="L16" s="37" t="inlineStr">
        <is>
          <t>Access restricted to PlatformAdministrator + MFA; rotate immediately after any use</t>
        </is>
      </c>
      <c r="M16" s="38" t="inlineStr">
        <is>
          <t>2025-01-31</t>
        </is>
      </c>
    </row>
    <row r="17" ht="26" customHeight="1">
      <c r="A17" s="42" t="inlineStr">
        <is>
          <t>security.breakglass.rotation_days</t>
        </is>
      </c>
      <c r="B17" s="39" t="inlineStr">
        <is>
          <t>90</t>
        </is>
      </c>
      <c r="C17" s="39" t="inlineStr">
        <is>
          <t>90</t>
        </is>
      </c>
      <c r="D17" s="39" t="inlineStr">
        <is>
          <t>90</t>
        </is>
      </c>
      <c r="E17" s="39" t="inlineStr">
        <is>
          <t>Maximum number of days before break-glass credentials must be rotated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1-365</t>
        </is>
      </c>
      <c r="I17" s="40" t="inlineStr">
        <is>
          <t>Public</t>
        </is>
      </c>
      <c r="J17" s="39" t="inlineStr">
        <is>
          <t>Security Team</t>
        </is>
      </c>
      <c r="K17" s="39" t="inlineStr">
        <is>
          <t>security.breakglass.secret_arn</t>
        </is>
      </c>
      <c r="L17" s="39" t="inlineStr">
        <is>
          <t>SNS alert is triggered on each rotation event via CloudTrail rule</t>
        </is>
      </c>
      <c r="M17" s="40" t="inlineStr">
        <is>
          <t>2025-01-31</t>
        </is>
      </c>
    </row>
    <row r="18" ht="26" customHeight="1">
      <c r="A18" s="43" t="inlineStr">
        <is>
          <t>security.tls_minimum_version</t>
        </is>
      </c>
      <c r="B18" s="37" t="inlineStr">
        <is>
          <t>TLS1_2</t>
        </is>
      </c>
      <c r="C18" s="37" t="inlineStr">
        <is>
          <t>TLS1_2</t>
        </is>
      </c>
      <c r="D18" s="37" t="inlineStr">
        <is>
          <t>TLS1_2</t>
        </is>
      </c>
      <c r="E18" s="37" t="inlineStr">
        <is>
          <t>Minimum TLS version enforced by S3 bucket policies and Network Firewall egress rules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TLS1_2 | TLS1_3</t>
        </is>
      </c>
      <c r="I18" s="38" t="inlineStr">
        <is>
          <t>Public</t>
        </is>
      </c>
      <c r="J18" s="37" t="inlineStr">
        <is>
          <t>Security Team</t>
        </is>
      </c>
      <c r="K18" s="37" t="inlineStr"/>
      <c r="L18" s="37" t="inlineStr">
        <is>
          <t>Enforced via s3:SecureTransport S3 bucket condition and NFW stateful rules</t>
        </is>
      </c>
      <c r="M18" s="38" t="inlineStr">
        <is>
          <t>2025-01-31</t>
        </is>
      </c>
    </row>
    <row r="19" ht="26" customHeight="1">
      <c r="A19" s="42" t="inlineStr">
        <is>
          <t>security.s3_block_public_access</t>
        </is>
      </c>
      <c r="B19" s="39" t="inlineStr">
        <is>
          <t>true</t>
        </is>
      </c>
      <c r="C19" s="39" t="inlineStr">
        <is>
          <t>true</t>
        </is>
      </c>
      <c r="D19" s="39" t="inlineStr">
        <is>
          <t>true</t>
        </is>
      </c>
      <c r="E19" s="39" t="inlineStr">
        <is>
          <t>Enforce S3 Block Public Access setting at the AWS account level across all member accounts</t>
        </is>
      </c>
      <c r="F19" s="40" t="inlineStr">
        <is>
          <t>Yes</t>
        </is>
      </c>
      <c r="G19" s="40" t="inlineStr">
        <is>
          <t>Boolean</t>
        </is>
      </c>
      <c r="H19" s="39" t="inlineStr">
        <is>
          <t>true|false</t>
        </is>
      </c>
      <c r="I19" s="40" t="inlineStr">
        <is>
          <t>Public</t>
        </is>
      </c>
      <c r="J19" s="39" t="inlineStr">
        <is>
          <t>Security Team</t>
        </is>
      </c>
      <c r="K19" s="39" t="inlineStr">
        <is>
          <t>aws.organizations.root_id</t>
        </is>
      </c>
      <c r="L19" s="39" t="inlineStr">
        <is>
          <t>Enforced via SCP and Config rule s3-account-level-public-access-blocks</t>
        </is>
      </c>
      <c r="M19" s="40" t="inlineStr">
        <is>
          <t>2025-01-31</t>
        </is>
      </c>
    </row>
    <row r="20" ht="26" customHeight="1">
      <c r="A20" s="43" t="inlineStr">
        <is>
          <t>security.ebs_encryption_by_default</t>
        </is>
      </c>
      <c r="B20" s="37" t="inlineStr">
        <is>
          <t>true</t>
        </is>
      </c>
      <c r="C20" s="37" t="inlineStr">
        <is>
          <t>true</t>
        </is>
      </c>
      <c r="D20" s="37" t="inlineStr">
        <is>
          <t>true</t>
        </is>
      </c>
      <c r="E20" s="37" t="inlineStr">
        <is>
          <t>Enable EBS encryption by default in all member accounts via Config rule</t>
        </is>
      </c>
      <c r="F20" s="38" t="inlineStr">
        <is>
          <t>Yes</t>
        </is>
      </c>
      <c r="G20" s="38" t="inlineStr">
        <is>
          <t>Boolean</t>
        </is>
      </c>
      <c r="H20" s="37" t="inlineStr">
        <is>
          <t>true|false</t>
        </is>
      </c>
      <c r="I20" s="38" t="inlineStr">
        <is>
          <t>Public</t>
        </is>
      </c>
      <c r="J20" s="37" t="inlineStr">
        <is>
          <t>Security Team</t>
        </is>
      </c>
      <c r="K20" s="37" t="inlineStr"/>
      <c r="L20" s="37" t="inlineStr">
        <is>
          <t>Config rule ec2-ebs-encryption-by-default applied via conformance pack</t>
        </is>
      </c>
      <c r="M20" s="38" t="inlineStr">
        <is>
          <t>2025-01-31</t>
        </is>
      </c>
    </row>
  </sheetData>
  <autoFilter ref="A2:M20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storage.log_archive.bucket_name_primary</t>
        </is>
      </c>
      <c r="B3" s="39" t="inlineStr">
        <is>
          <t>[log-archive-s3-bucket-use1]</t>
        </is>
      </c>
      <c r="C3" s="39" t="inlineStr">
        <is>
          <t>[log-archive-s3-bucket-use1]</t>
        </is>
      </c>
      <c r="D3" s="39" t="inlineStr">
        <is>
          <t>[log-archive-s3-bucket-use2]</t>
        </is>
      </c>
      <c r="E3" s="39" t="inlineStr">
        <is>
          <t>Primary Log Archive S3 bucket name in the Log Archive account (us-east-1)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unique; follows ins-log-archive-use1-{account-id} naming convention</t>
        </is>
      </c>
      <c r="I3" s="40" t="inlineStr">
        <is>
          <t>Confidential</t>
        </is>
      </c>
      <c r="J3" s="39" t="inlineStr">
        <is>
          <t>Cloud CoE</t>
        </is>
      </c>
      <c r="K3" s="39" t="inlineStr">
        <is>
          <t>aws.account_id.log_archive</t>
        </is>
      </c>
      <c r="L3" s="39" t="inlineStr">
        <is>
          <t>Object Lock compliance mode; SSE-S3 default; restricted to SecurityAuditor and PlatformAdministrator</t>
        </is>
      </c>
      <c r="M3" s="40" t="inlineStr">
        <is>
          <t>2025-01-31</t>
        </is>
      </c>
    </row>
    <row r="4" ht="26" customHeight="1">
      <c r="A4" s="43" t="inlineStr">
        <is>
          <t>storage.log_archive.bucket_name_replica</t>
        </is>
      </c>
      <c r="B4" s="37" t="inlineStr">
        <is>
          <t>[log-archive-s3-bucket-use2]</t>
        </is>
      </c>
      <c r="C4" s="37" t="inlineStr">
        <is>
          <t>[log-archive-s3-bucket-use2]</t>
        </is>
      </c>
      <c r="D4" s="37" t="inlineStr">
        <is>
          <t>[log-archive-s3-bucket-use1]</t>
        </is>
      </c>
      <c r="E4" s="37" t="inlineStr">
        <is>
          <t>CRR destination S3 bucket name in us-east-2 for log archive cross-region replication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Globally unique; follows ins-log-archive-use2-{account-id} naming convention</t>
        </is>
      </c>
      <c r="I4" s="38" t="inlineStr">
        <is>
          <t>Confidential</t>
        </is>
      </c>
      <c r="J4" s="37" t="inlineStr">
        <is>
          <t>Cloud CoE</t>
        </is>
      </c>
      <c r="K4" s="37" t="inlineStr">
        <is>
          <t>storage.log_archive.bucket_name_primary</t>
        </is>
      </c>
      <c r="L4" s="37" t="inlineStr">
        <is>
          <t>S3 CRR replicates within &lt; 15 minutes to meet Log Archive RPO; enables DR restore</t>
        </is>
      </c>
      <c r="M4" s="38" t="inlineStr">
        <is>
          <t>2025-01-31</t>
        </is>
      </c>
    </row>
    <row r="5" ht="26" customHeight="1">
      <c r="A5" s="42" t="inlineStr">
        <is>
          <t>storage.log_archive.glacier_transition_days</t>
        </is>
      </c>
      <c r="B5" s="39" t="inlineStr">
        <is>
          <t>90</t>
        </is>
      </c>
      <c r="C5" s="39" t="inlineStr">
        <is>
          <t>30</t>
        </is>
      </c>
      <c r="D5" s="39" t="inlineStr">
        <is>
          <t>90</t>
        </is>
      </c>
      <c r="E5" s="39" t="inlineStr">
        <is>
          <t>Days after which Log Archive objects transition from S3 Standard to Glacier Instant Retrieval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30-3650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storage.log_archive.bucket_name_primary</t>
        </is>
      </c>
      <c r="L5" s="39" t="inlineStr">
        <is>
          <t>Reduces storage cost while maintaining rapid retrieval for audit evidence requests</t>
        </is>
      </c>
      <c r="M5" s="40" t="inlineStr">
        <is>
          <t>2025-01-31</t>
        </is>
      </c>
    </row>
    <row r="6" ht="26" customHeight="1">
      <c r="A6" s="43" t="inlineStr">
        <is>
          <t>storage.terraform_state.bucket_name</t>
        </is>
      </c>
      <c r="B6" s="37" t="inlineStr">
        <is>
          <t>[tf-state-bucket]</t>
        </is>
      </c>
      <c r="C6" s="37" t="inlineStr">
        <is>
          <t>[tf-state-bucket]</t>
        </is>
      </c>
      <c r="D6" s="37" t="inlineStr">
        <is>
          <t>[tf-state-bucket]</t>
        </is>
      </c>
      <c r="E6" s="37" t="inlineStr">
        <is>
          <t>S3 bucket name for Terraform remote state storage; versioning and MFA delete enabled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Globally unique S3 bucket name</t>
        </is>
      </c>
      <c r="I6" s="38" t="inlineStr">
        <is>
          <t>Confidential</t>
        </is>
      </c>
      <c r="J6" s="37" t="inlineStr">
        <is>
          <t>Cloud CoE</t>
        </is>
      </c>
      <c r="K6" s="37" t="inlineStr">
        <is>
          <t>aws.account_id.management</t>
        </is>
      </c>
      <c r="L6" s="37" t="inlineStr">
        <is>
          <t>State versioning with 90-day version retention; PITR enabled on DynamoDB lock table</t>
        </is>
      </c>
      <c r="M6" s="38" t="inlineStr">
        <is>
          <t>2025-01-31</t>
        </is>
      </c>
    </row>
    <row r="7" ht="26" customHeight="1">
      <c r="A7" s="42" t="inlineStr">
        <is>
          <t>storage.terraform_state.dynamodb_lock_table</t>
        </is>
      </c>
      <c r="B7" s="39" t="inlineStr">
        <is>
          <t>[tf-lock-table]</t>
        </is>
      </c>
      <c r="C7" s="39" t="inlineStr">
        <is>
          <t>[tf-lock-table]</t>
        </is>
      </c>
      <c r="D7" s="39" t="inlineStr">
        <is>
          <t>[tf-lock-table]</t>
        </is>
      </c>
      <c r="E7" s="39" t="inlineStr">
        <is>
          <t>DynamoDB table name for Terraform state locking to prevent concurrent apply conflicts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DynamoDB table name; max 255 chars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storage.terraform_state.bucket_name</t>
        </is>
      </c>
      <c r="L7" s="39" t="inlineStr">
        <is>
          <t>Point-in-Time Recovery enabled; LockID is the primary key attribute</t>
        </is>
      </c>
      <c r="M7" s="40" t="inlineStr">
        <is>
          <t>2025-01-31</t>
        </is>
      </c>
    </row>
  </sheetData>
  <autoFilter ref="A2:M7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aft.pipeline.account_request_repo</t>
        </is>
      </c>
      <c r="B3" s="39" t="inlineStr">
        <is>
          <t>[aft-account-request-repo-url]</t>
        </is>
      </c>
      <c r="C3" s="39" t="inlineStr">
        <is>
          <t>[aft-account-request-repo-url]</t>
        </is>
      </c>
      <c r="D3" s="39" t="inlineStr">
        <is>
          <t>[aft-account-request-repo-url]</t>
        </is>
      </c>
      <c r="E3" s="39" t="inlineStr">
        <is>
          <t>VCS repository URL for AFT account request Terraform configuration files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HTTPS VCS URL</t>
        </is>
      </c>
      <c r="I3" s="40" t="inlineStr">
        <is>
          <t>Confidential</t>
        </is>
      </c>
      <c r="J3" s="39" t="inlineStr">
        <is>
          <t>Cloud CoE</t>
        </is>
      </c>
      <c r="K3" s="39" t="inlineStr"/>
      <c r="L3" s="39" t="inlineStr">
        <is>
          <t>VCS provider confirmed per Dependency D6; CodeCommit used if no preference stated</t>
        </is>
      </c>
      <c r="M3" s="40" t="inlineStr">
        <is>
          <t>2025-01-31</t>
        </is>
      </c>
    </row>
    <row r="4" ht="26" customHeight="1">
      <c r="A4" s="43" t="inlineStr">
        <is>
          <t>aft.pipeline.terraform_version</t>
        </is>
      </c>
      <c r="B4" s="37" t="inlineStr">
        <is>
          <t>1.9.0</t>
        </is>
      </c>
      <c r="C4" s="37" t="inlineStr">
        <is>
          <t>1.9.0</t>
        </is>
      </c>
      <c r="D4" s="37" t="inlineStr">
        <is>
          <t>1.9.0</t>
        </is>
      </c>
      <c r="E4" s="37" t="inlineStr">
        <is>
          <t>Terraform version pinned for all AFT pipeline executions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Semantic versioning X.Y.Z; must be &gt;= 1.5.0 for AFT</t>
        </is>
      </c>
      <c r="I4" s="38" t="inlineStr">
        <is>
          <t>Public</t>
        </is>
      </c>
      <c r="J4" s="37" t="inlineStr">
        <is>
          <t>Cloud CoE</t>
        </is>
      </c>
      <c r="K4" s="37" t="inlineStr">
        <is>
          <t>aft.pipeline.account_request_repo</t>
        </is>
      </c>
      <c r="L4" s="37" t="inlineStr">
        <is>
          <t>Pin version in AFT settings to prevent unintended upgrades during the engagement</t>
        </is>
      </c>
      <c r="M4" s="38" t="inlineStr">
        <is>
          <t>2025-01-31</t>
        </is>
      </c>
    </row>
    <row r="5" ht="26" customHeight="1">
      <c r="A5" s="42" t="inlineStr">
        <is>
          <t>aft.pipeline.codebuild_compute_type</t>
        </is>
      </c>
      <c r="B5" s="39" t="inlineStr">
        <is>
          <t>BUILD_GENERAL1_SMALL</t>
        </is>
      </c>
      <c r="C5" s="39" t="inlineStr">
        <is>
          <t>BUILD_GENERAL1_SMALL</t>
        </is>
      </c>
      <c r="D5" s="39" t="inlineStr">
        <is>
          <t>BUILD_GENERAL1_SMALL</t>
        </is>
      </c>
      <c r="E5" s="39" t="inlineStr">
        <is>
          <t>AWS CodeBuild compute type for AFT account vending and customisation stages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BUILD_GENERAL1_SMALL | BUILD_GENERAL1_MEDIUM | BUILD_GENERAL1_LARGE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SMALL (2 vCPU / 3 GB RAM) is sufficient for Terraform apply workloads at this scale</t>
        </is>
      </c>
      <c r="M5" s="40" t="inlineStr">
        <is>
          <t>2025-01-31</t>
        </is>
      </c>
    </row>
    <row r="6" ht="26" customHeight="1">
      <c r="A6" s="43" t="inlineStr">
        <is>
          <t>aft.pipeline.vending_sla_minutes</t>
        </is>
      </c>
      <c r="B6" s="37" t="inlineStr">
        <is>
          <t>30</t>
        </is>
      </c>
      <c r="C6" s="37" t="inlineStr">
        <is>
          <t>30</t>
        </is>
      </c>
      <c r="D6" s="37" t="inlineStr">
        <is>
          <t>30</t>
        </is>
      </c>
      <c r="E6" s="37" t="inlineStr">
        <is>
          <t>Maximum time in minutes for a complete AFT account vending run including all customisations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1-120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SOW hard success metric: &lt; 30 min validated across 3 consecutive test runs at go-live</t>
        </is>
      </c>
      <c r="M6" s="38" t="inlineStr">
        <is>
          <t>2025-01-31</t>
        </is>
      </c>
    </row>
    <row r="7" ht="26" customHeight="1">
      <c r="A7" s="42" t="inlineStr">
        <is>
          <t>aft.pipeline.max_concurrent_vending</t>
        </is>
      </c>
      <c r="B7" s="39" t="inlineStr">
        <is>
          <t>5</t>
        </is>
      </c>
      <c r="C7" s="39" t="inlineStr">
        <is>
          <t>2</t>
        </is>
      </c>
      <c r="D7" s="39" t="inlineStr">
        <is>
          <t>5</t>
        </is>
      </c>
      <c r="E7" s="39" t="inlineStr">
        <is>
          <t>Maximum number of concurrent AFT account vending pipelines permitted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1-20</t>
        </is>
      </c>
      <c r="I7" s="40" t="inlineStr">
        <is>
          <t>Public</t>
        </is>
      </c>
      <c r="J7" s="39" t="inlineStr">
        <is>
          <t>Cloud CoE</t>
        </is>
      </c>
      <c r="K7" s="39" t="inlineStr">
        <is>
          <t>aft.pipeline.account_request_repo</t>
        </is>
      </c>
      <c r="L7" s="39" t="inlineStr">
        <is>
          <t>Limit prevents AWS API throttling during bulk account provisioning events</t>
        </is>
      </c>
      <c r="M7" s="40" t="inlineStr">
        <is>
          <t>2025-01-31</t>
        </is>
      </c>
    </row>
    <row r="8" ht="26" customHeight="1">
      <c r="A8" s="43" t="inlineStr">
        <is>
          <t>aft.customisation.mandatory_tags.environment_key</t>
        </is>
      </c>
      <c r="B8" s="37" t="inlineStr">
        <is>
          <t>Environment</t>
        </is>
      </c>
      <c r="C8" s="37" t="inlineStr">
        <is>
          <t>Environment</t>
        </is>
      </c>
      <c r="D8" s="37" t="inlineStr">
        <is>
          <t>Environment</t>
        </is>
      </c>
      <c r="E8" s="37" t="inlineStr">
        <is>
          <t>Mandatory tag key for environment classification applied to all resources via AFT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string; valid AWS tag key</t>
        </is>
      </c>
      <c r="I8" s="38" t="inlineStr">
        <is>
          <t>Public</t>
        </is>
      </c>
      <c r="J8" s="37" t="inlineStr">
        <is>
          <t>Cloud CoE</t>
        </is>
      </c>
      <c r="K8" s="37" t="inlineStr"/>
      <c r="L8" s="37" t="inlineStr">
        <is>
          <t>Valid values: development, non-production, production, platform, sandbox</t>
        </is>
      </c>
      <c r="M8" s="38" t="inlineStr">
        <is>
          <t>2025-01-31</t>
        </is>
      </c>
    </row>
    <row r="9" ht="26" customHeight="1">
      <c r="A9" s="42" t="inlineStr">
        <is>
          <t>aft.customisation.mandatory_tags.owner_key</t>
        </is>
      </c>
      <c r="B9" s="39" t="inlineStr">
        <is>
          <t>Owner</t>
        </is>
      </c>
      <c r="C9" s="39" t="inlineStr">
        <is>
          <t>Owner</t>
        </is>
      </c>
      <c r="D9" s="39" t="inlineStr">
        <is>
          <t>Owner</t>
        </is>
      </c>
      <c r="E9" s="39" t="inlineStr">
        <is>
          <t>Mandatory tag key for team ownership applied to all resources via AFT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Non-empty string; valid AWS tag key</t>
        </is>
      </c>
      <c r="I9" s="40" t="inlineStr">
        <is>
          <t>Public</t>
        </is>
      </c>
      <c r="J9" s="39" t="inlineStr">
        <is>
          <t>Cloud CoE</t>
        </is>
      </c>
      <c r="K9" s="39" t="inlineStr"/>
      <c r="L9" s="39" t="inlineStr">
        <is>
          <t>Value must be a valid team name or email from IAM Identity Center group directory</t>
        </is>
      </c>
      <c r="M9" s="40" t="inlineStr">
        <is>
          <t>2025-01-31</t>
        </is>
      </c>
    </row>
    <row r="10" ht="26" customHeight="1">
      <c r="A10" s="43" t="inlineStr">
        <is>
          <t>aft.customisation.mandatory_tags.cost_center_key</t>
        </is>
      </c>
      <c r="B10" s="37" t="inlineStr">
        <is>
          <t>CostCenter</t>
        </is>
      </c>
      <c r="C10" s="37" t="inlineStr">
        <is>
          <t>CostCenter</t>
        </is>
      </c>
      <c r="D10" s="37" t="inlineStr">
        <is>
          <t>CostCenter</t>
        </is>
      </c>
      <c r="E10" s="37" t="inlineStr">
        <is>
          <t>Mandatory tag key for cost allocation applied to all resources via AFT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Non-empty string; valid AWS tag key</t>
        </is>
      </c>
      <c r="I10" s="38" t="inlineStr">
        <is>
          <t>Public</t>
        </is>
      </c>
      <c r="J10" s="37" t="inlineStr">
        <is>
          <t>Cloud CoE</t>
        </is>
      </c>
      <c r="K10" s="37" t="inlineStr"/>
      <c r="L10" s="37" t="inlineStr">
        <is>
          <t>Finance cost centre code provided by client FinOps contact at kick-off</t>
        </is>
      </c>
      <c r="M10" s="38" t="inlineStr">
        <is>
          <t>2025-01-31</t>
        </is>
      </c>
    </row>
    <row r="11" ht="26" customHeight="1">
      <c r="A11" s="42" t="inlineStr">
        <is>
          <t>aft.customisation.mandatory_tags.project_key</t>
        </is>
      </c>
      <c r="B11" s="39" t="inlineStr">
        <is>
          <t>Project</t>
        </is>
      </c>
      <c r="C11" s="39" t="inlineStr">
        <is>
          <t>Project</t>
        </is>
      </c>
      <c r="D11" s="39" t="inlineStr">
        <is>
          <t>Project</t>
        </is>
      </c>
      <c r="E11" s="39" t="inlineStr">
        <is>
          <t>Mandatory tag key for project identification applied to all resources via AFT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Non-empty string; valid AWS tag key</t>
        </is>
      </c>
      <c r="I11" s="40" t="inlineStr">
        <is>
          <t>Public</t>
        </is>
      </c>
      <c r="J11" s="39" t="inlineStr">
        <is>
          <t>Cloud CoE</t>
        </is>
      </c>
      <c r="K11" s="39" t="inlineStr"/>
      <c r="L11" s="39" t="inlineStr"/>
      <c r="M11" s="40" t="inlineStr">
        <is>
          <t>2025-01-31</t>
        </is>
      </c>
    </row>
    <row r="12" ht="26" customHeight="1">
      <c r="A12" s="43" t="inlineStr">
        <is>
          <t>aft.customisation.mandatory_tags.data_classification_key</t>
        </is>
      </c>
      <c r="B12" s="37" t="inlineStr">
        <is>
          <t>DataClassification</t>
        </is>
      </c>
      <c r="C12" s="37" t="inlineStr">
        <is>
          <t>DataClassification</t>
        </is>
      </c>
      <c r="D12" s="37" t="inlineStr">
        <is>
          <t>DataClassification</t>
        </is>
      </c>
      <c r="E12" s="37" t="inlineStr">
        <is>
          <t>Mandatory tag key for data sensitivity classification applied to all resources via AFT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Non-empty string; valid AWS tag key</t>
        </is>
      </c>
      <c r="I12" s="38" t="inlineStr">
        <is>
          <t>Public</t>
        </is>
      </c>
      <c r="J12" s="37" t="inlineStr">
        <is>
          <t>Cloud CoE</t>
        </is>
      </c>
      <c r="K12" s="37" t="inlineStr"/>
      <c r="L12" s="37" t="inlineStr">
        <is>
          <t>Valid values: public, internal, confidential, restricted</t>
        </is>
      </c>
      <c r="M12" s="38" t="inlineStr">
        <is>
          <t>2025-01-31</t>
        </is>
      </c>
    </row>
    <row r="13" ht="26" customHeight="1">
      <c r="A13" s="42" t="inlineStr">
        <is>
          <t>aft.customisation.budgets.alert_threshold_80</t>
        </is>
      </c>
      <c r="B13" s="39" t="inlineStr">
        <is>
          <t>80</t>
        </is>
      </c>
      <c r="C13" s="39" t="inlineStr">
        <is>
          <t>80</t>
        </is>
      </c>
      <c r="D13" s="39" t="inlineStr">
        <is>
          <t>80</t>
        </is>
      </c>
      <c r="E13" s="39" t="inlineStr">
        <is>
          <t>AWS Budgets percentage threshold for the first spend alert sent to all account owners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1-100</t>
        </is>
      </c>
      <c r="I13" s="40" t="inlineStr">
        <is>
          <t>Public</t>
        </is>
      </c>
      <c r="J13" s="39" t="inlineStr">
        <is>
          <t>Cloud CoE</t>
        </is>
      </c>
      <c r="K13" s="39" t="inlineStr"/>
      <c r="L13" s="39" t="inlineStr">
        <is>
          <t>Applied to every vended account via AFT customisation; SOW go-live criterion</t>
        </is>
      </c>
      <c r="M13" s="40" t="inlineStr">
        <is>
          <t>2025-01-31</t>
        </is>
      </c>
    </row>
    <row r="14" ht="26" customHeight="1">
      <c r="A14" s="43" t="inlineStr">
        <is>
          <t>aft.customisation.budgets.alert_threshold_100</t>
        </is>
      </c>
      <c r="B14" s="37" t="inlineStr">
        <is>
          <t>100</t>
        </is>
      </c>
      <c r="C14" s="37" t="inlineStr">
        <is>
          <t>100</t>
        </is>
      </c>
      <c r="D14" s="37" t="inlineStr">
        <is>
          <t>100</t>
        </is>
      </c>
      <c r="E14" s="37" t="inlineStr">
        <is>
          <t>AWS Budgets percentage threshold for the second (full) spend alert sent to all account owners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1-100</t>
        </is>
      </c>
      <c r="I14" s="38" t="inlineStr">
        <is>
          <t>Public</t>
        </is>
      </c>
      <c r="J14" s="37" t="inlineStr">
        <is>
          <t>Cloud CoE</t>
        </is>
      </c>
      <c r="K14" s="37" t="inlineStr">
        <is>
          <t>aft.customisation.budgets.alert_threshold_80</t>
        </is>
      </c>
      <c r="L14" s="37" t="inlineStr">
        <is>
          <t>Both 80% and 100% alerts mandatory per SOW; SNS topic routes to FinOps contact</t>
        </is>
      </c>
      <c r="M14" s="38" t="inlineStr">
        <is>
          <t>2025-01-31</t>
        </is>
      </c>
    </row>
    <row r="15" ht="26" customHeight="1">
      <c r="A15" s="42" t="inlineStr">
        <is>
          <t>cicd.pipeline.branch_protection_enabled</t>
        </is>
      </c>
      <c r="B15" s="39" t="inlineStr">
        <is>
          <t>true</t>
        </is>
      </c>
      <c r="C15" s="39" t="inlineStr">
        <is>
          <t>true</t>
        </is>
      </c>
      <c r="D15" s="39" t="inlineStr">
        <is>
          <t>true</t>
        </is>
      </c>
      <c r="E15" s="39" t="inlineStr">
        <is>
          <t>Enable branch protection rules on the IaC VCS repository requiring peer review before merge</t>
        </is>
      </c>
      <c r="F15" s="40" t="inlineStr">
        <is>
          <t>Yes</t>
        </is>
      </c>
      <c r="G15" s="40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Cloud CoE</t>
        </is>
      </c>
      <c r="K15" s="39" t="inlineStr">
        <is>
          <t>aft.pipeline.account_request_repo</t>
        </is>
      </c>
      <c r="L15" s="39" t="inlineStr">
        <is>
          <t>SOW requires peer review + automated plan gate on all infrastructure changes</t>
        </is>
      </c>
      <c r="M15" s="40" t="inlineStr">
        <is>
          <t>2025-01-31</t>
        </is>
      </c>
    </row>
    <row r="16" ht="26" customHeight="1">
      <c r="A16" s="43" t="inlineStr">
        <is>
          <t>cicd.pipeline.terraform_plan_gate_enabled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Require a successful terraform plan validation as a CI/CD gate before any merge to main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Cloud CoE</t>
        </is>
      </c>
      <c r="K16" s="37" t="inlineStr">
        <is>
          <t>cicd.pipeline.branch_protection_enabled</t>
        </is>
      </c>
      <c r="L16" s="37" t="inlineStr">
        <is>
          <t>Prevents broken or non-compliant Terraform from being applied to any environment</t>
        </is>
      </c>
      <c r="M16" s="38" t="inlineStr">
        <is>
          <t>2025-01-31</t>
        </is>
      </c>
    </row>
    <row r="17" ht="26" customHeight="1">
      <c r="A17" s="42" t="inlineStr">
        <is>
          <t>cicd.pipeline.scp_dual_approval_required</t>
        </is>
      </c>
      <c r="B17" s="39" t="inlineStr">
        <is>
          <t>true</t>
        </is>
      </c>
      <c r="C17" s="39" t="inlineStr">
        <is>
          <t>false</t>
        </is>
      </c>
      <c r="D17" s="39" t="inlineStr">
        <is>
          <t>true</t>
        </is>
      </c>
      <c r="E17" s="39" t="inlineStr">
        <is>
          <t>Require dual approval (Vendor Architect + Client Security Lead) for SCP changes</t>
        </is>
      </c>
      <c r="F17" s="40" t="inlineStr">
        <is>
          <t>Yes</t>
        </is>
      </c>
      <c r="G17" s="40" t="inlineStr">
        <is>
          <t>Boolean</t>
        </is>
      </c>
      <c r="H17" s="39" t="inlineStr">
        <is>
          <t>true|false</t>
        </is>
      </c>
      <c r="I17" s="40" t="inlineStr">
        <is>
          <t>Public</t>
        </is>
      </c>
      <c r="J17" s="39" t="inlineStr">
        <is>
          <t>Security Team</t>
        </is>
      </c>
      <c r="K17" s="39" t="inlineStr">
        <is>
          <t>cicd.pipeline.branch_protection_enabled</t>
        </is>
      </c>
      <c r="L17" s="39" t="inlineStr">
        <is>
          <t>SOW mandates dual-approval gate for all SCP policy changes in production</t>
        </is>
      </c>
      <c r="M17" s="40" t="inlineStr">
        <is>
          <t>2025-01-31</t>
        </is>
      </c>
    </row>
    <row r="18" ht="26" customHeight="1">
      <c r="A18" s="43" t="inlineStr">
        <is>
          <t>terraform_cloud.workspace_prefix</t>
        </is>
      </c>
      <c r="B18" s="37" t="inlineStr">
        <is>
          <t>ins</t>
        </is>
      </c>
      <c r="C18" s="37" t="inlineStr">
        <is>
          <t>ins</t>
        </is>
      </c>
      <c r="D18" s="37" t="inlineStr">
        <is>
          <t>ins</t>
        </is>
      </c>
      <c r="E18" s="37" t="inlineStr">
        <is>
          <t>Prefix for all Terraform Cloud workspace names following ins-{purpose}-{region-short} convention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Lowercase alphanumeric; max 10 chars</t>
        </is>
      </c>
      <c r="I18" s="38" t="inlineStr">
        <is>
          <t>Public</t>
        </is>
      </c>
      <c r="J18" s="37" t="inlineStr">
        <is>
          <t>Cloud CoE</t>
        </is>
      </c>
      <c r="K18" s="37" t="inlineStr"/>
      <c r="L18" s="37" t="inlineStr">
        <is>
          <t>Example workspace: ins-network-hub-use1; set before Phase 2 development begins</t>
        </is>
      </c>
      <c r="M18" s="38" t="inlineStr">
        <is>
          <t>2025-01-31</t>
        </is>
      </c>
    </row>
    <row r="19" ht="26" customHeight="1">
      <c r="A19" s="42" t="inlineStr">
        <is>
          <t>terraform_cloud.organisation_name</t>
        </is>
      </c>
      <c r="B19" s="39" t="inlineStr">
        <is>
          <t>[tf-cloud-org]</t>
        </is>
      </c>
      <c r="C19" s="39" t="inlineStr">
        <is>
          <t>[tf-cloud-org]</t>
        </is>
      </c>
      <c r="D19" s="39" t="inlineStr">
        <is>
          <t>[tf-cloud-org]</t>
        </is>
      </c>
      <c r="E19" s="39" t="inlineStr">
        <is>
          <t>HashiCorp Terraform Cloud organisation name for the client's Team tier account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Valid Terraform Cloud org name</t>
        </is>
      </c>
      <c r="I19" s="40" t="inlineStr">
        <is>
          <t>Confidential</t>
        </is>
      </c>
      <c r="J19" s="39" t="inlineStr">
        <is>
          <t>Cloud CoE</t>
        </is>
      </c>
      <c r="K19" s="39" t="inlineStr"/>
      <c r="L19" s="39" t="inlineStr">
        <is>
          <t>Client owns and registers the Terraform Cloud account per Assumption 12 in SOW</t>
        </is>
      </c>
      <c r="M19" s="40" t="inlineStr">
        <is>
          <t>2025-01-31</t>
        </is>
      </c>
    </row>
    <row r="20" ht="26" customHeight="1">
      <c r="A20" s="43" t="inlineStr">
        <is>
          <t>terraform_cloud.team_token</t>
        </is>
      </c>
      <c r="B20" s="37" t="inlineStr">
        <is>
          <t>[tf-cloud-team-token]</t>
        </is>
      </c>
      <c r="C20" s="37" t="inlineStr">
        <is>
          <t>[tf-cloud-team-token]</t>
        </is>
      </c>
      <c r="D20" s="37" t="inlineStr">
        <is>
          <t>[tf-cloud-team-token]</t>
        </is>
      </c>
      <c r="E20" s="37" t="inlineStr">
        <is>
          <t>Terraform Cloud Team API token injected into AFT CodePipeline at runtime</t>
        </is>
      </c>
      <c r="F20" s="38" t="inlineStr">
        <is>
          <t>Yes</t>
        </is>
      </c>
      <c r="G20" s="38" t="inlineStr">
        <is>
          <t>String</t>
        </is>
      </c>
      <c r="H20" s="37" t="inlineStr">
        <is>
          <t>Valid Terraform Cloud token format</t>
        </is>
      </c>
      <c r="I20" s="38" t="inlineStr">
        <is>
          <t>Secret</t>
        </is>
      </c>
      <c r="J20" s="37" t="inlineStr">
        <is>
          <t>Cloud CoE</t>
        </is>
      </c>
      <c r="K20" s="37" t="inlineStr">
        <is>
          <t>terraform_cloud.organisation_name</t>
        </is>
      </c>
      <c r="L20" s="37" t="inlineStr">
        <is>
          <t>Store in AWS Secrets Manager; injected at pipeline runtime; rotate every 90 days</t>
        </is>
      </c>
      <c r="M20" s="38" t="inlineStr">
        <is>
          <t>2025-01-31</t>
        </is>
      </c>
    </row>
  </sheetData>
  <autoFilter ref="A2:M20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logging.cloudtrail.trail_name</t>
        </is>
      </c>
      <c r="B3" s="39" t="inlineStr">
        <is>
          <t>ins-org-trail-use1</t>
        </is>
      </c>
      <c r="C3" s="39" t="inlineStr">
        <is>
          <t>ins-org-trail-use1</t>
        </is>
      </c>
      <c r="D3" s="39" t="inlineStr">
        <is>
          <t>ins-org-trail-use2</t>
        </is>
      </c>
      <c r="E3" s="39" t="inlineStr">
        <is>
          <t>Name of the CloudTrail organisation trail; naming follows ins-org-trail-{region-short} convention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hyphens; max 128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Single org trail captures all management events across both regions</t>
        </is>
      </c>
      <c r="M3" s="40" t="inlineStr">
        <is>
          <t>2025-01-31</t>
        </is>
      </c>
    </row>
    <row r="4" ht="26" customHeight="1">
      <c r="A4" s="43" t="inlineStr">
        <is>
          <t>logging.cloudtrail.log_bucket_name</t>
        </is>
      </c>
      <c r="B4" s="37" t="inlineStr">
        <is>
          <t>[log-archive-cloudtrail-bucket]</t>
        </is>
      </c>
      <c r="C4" s="37" t="inlineStr">
        <is>
          <t>[log-archive-cloudtrail-bucket]</t>
        </is>
      </c>
      <c r="D4" s="37" t="inlineStr">
        <is>
          <t>[log-archive-cloudtrail-bucket]</t>
        </is>
      </c>
      <c r="E4" s="37" t="inlineStr">
        <is>
          <t>S3 bucket name in the Log Archive account for CloudTrail log delivery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Globally unique S3 bucket name; follows ins-log-archive-use1-{account-id} pattern</t>
        </is>
      </c>
      <c r="I4" s="38" t="inlineStr">
        <is>
          <t>Confidential</t>
        </is>
      </c>
      <c r="J4" s="37" t="inlineStr">
        <is>
          <t>Cloud CoE</t>
        </is>
      </c>
      <c r="K4" s="37" t="inlineStr">
        <is>
          <t>aws.account_id.log_archive</t>
        </is>
      </c>
      <c r="L4" s="37" t="inlineStr">
        <is>
          <t>Object Lock (compliance mode) and SSE-S3 enabled on this bucket</t>
        </is>
      </c>
      <c r="M4" s="38" t="inlineStr">
        <is>
          <t>2025-01-31</t>
        </is>
      </c>
    </row>
    <row r="5" ht="26" customHeight="1">
      <c r="A5" s="42" t="inlineStr">
        <is>
          <t>logging.cloudtrail.s3_retention_days_standard</t>
        </is>
      </c>
      <c r="B5" s="39" t="inlineStr">
        <is>
          <t>90</t>
        </is>
      </c>
      <c r="C5" s="39" t="inlineStr">
        <is>
          <t>30</t>
        </is>
      </c>
      <c r="D5" s="39" t="inlineStr">
        <is>
          <t>90</t>
        </is>
      </c>
      <c r="E5" s="39" t="inlineStr">
        <is>
          <t>Days to retain CloudTrail logs in S3 Standard storage before lifecycle transition to Glacier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1-3653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logging.cloudtrail.log_bucket_name</t>
        </is>
      </c>
      <c r="L5" s="39" t="inlineStr">
        <is>
          <t>After this period logs move to S3 Glacier Instant Retrieval for cost-effective retention</t>
        </is>
      </c>
      <c r="M5" s="40" t="inlineStr">
        <is>
          <t>2025-01-31</t>
        </is>
      </c>
    </row>
    <row r="6" ht="26" customHeight="1">
      <c r="A6" s="43" t="inlineStr">
        <is>
          <t>logging.cloudtrail.lake_retention_years</t>
        </is>
      </c>
      <c r="B6" s="37" t="inlineStr">
        <is>
          <t>7</t>
        </is>
      </c>
      <c r="C6" s="37" t="inlineStr">
        <is>
          <t>1</t>
        </is>
      </c>
      <c r="D6" s="37" t="inlineStr">
        <is>
          <t>7</t>
        </is>
      </c>
      <c r="E6" s="37" t="inlineStr">
        <is>
          <t>Retention period in years for CloudTrail Lake event data store (queryable audit trail)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</t>
        </is>
      </c>
      <c r="I6" s="38" t="inlineStr">
        <is>
          <t>Public</t>
        </is>
      </c>
      <c r="J6" s="37" t="inlineStr">
        <is>
          <t>Cloud CoE</t>
        </is>
      </c>
      <c r="K6" s="37" t="inlineStr">
        <is>
          <t>aws.account_id.audit</t>
        </is>
      </c>
      <c r="L6" s="37" t="inlineStr">
        <is>
          <t>SOW specifies 7-year retention to satisfy SOC 2 / HIPAA / NIST 800-53 requirements</t>
        </is>
      </c>
      <c r="M6" s="38" t="inlineStr">
        <is>
          <t>2025-01-31</t>
        </is>
      </c>
    </row>
    <row r="7" ht="26" customHeight="1">
      <c r="A7" s="42" t="inlineStr">
        <is>
          <t>logging.cloudtrail.object_lock_retention_days</t>
        </is>
      </c>
      <c r="B7" s="39" t="inlineStr">
        <is>
          <t>90</t>
        </is>
      </c>
      <c r="C7" s="39" t="inlineStr">
        <is>
          <t>30</t>
        </is>
      </c>
      <c r="D7" s="39" t="inlineStr">
        <is>
          <t>90</t>
        </is>
      </c>
      <c r="E7" s="39" t="inlineStr">
        <is>
          <t>S3 Object Lock compliance-mode minimum retention period in days; prevents log deletion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1-3653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logging.cloudtrail.log_bucket_name</t>
        </is>
      </c>
      <c r="L7" s="39" t="inlineStr">
        <is>
          <t>Compliance mode means no user or role can delete locked objects within this period</t>
        </is>
      </c>
      <c r="M7" s="40" t="inlineStr">
        <is>
          <t>2025-01-31</t>
        </is>
      </c>
    </row>
    <row r="8" ht="26" customHeight="1">
      <c r="A8" s="43" t="inlineStr">
        <is>
          <t>logging.config.delivery_bucket_name</t>
        </is>
      </c>
      <c r="B8" s="37" t="inlineStr">
        <is>
          <t>[log-archive-config-bucket]</t>
        </is>
      </c>
      <c r="C8" s="37" t="inlineStr">
        <is>
          <t>[log-archive-config-bucket]</t>
        </is>
      </c>
      <c r="D8" s="37" t="inlineStr">
        <is>
          <t>[log-archive-config-bucket]</t>
        </is>
      </c>
      <c r="E8" s="37" t="inlineStr">
        <is>
          <t>S3 bucket name in Log Archive account for AWS Config snapshot and history delivery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Globally unique S3 bucket name</t>
        </is>
      </c>
      <c r="I8" s="38" t="inlineStr">
        <is>
          <t>Confidential</t>
        </is>
      </c>
      <c r="J8" s="37" t="inlineStr">
        <is>
          <t>Cloud CoE</t>
        </is>
      </c>
      <c r="K8" s="37" t="inlineStr">
        <is>
          <t>aws.account_id.log_archive</t>
        </is>
      </c>
      <c r="L8" s="37" t="inlineStr">
        <is>
          <t>Separate prefix from CloudTrail logs within the same Log Archive account</t>
        </is>
      </c>
      <c r="M8" s="38" t="inlineStr">
        <is>
          <t>2025-01-31</t>
        </is>
      </c>
    </row>
    <row r="9" ht="26" customHeight="1">
      <c r="A9" s="42" t="inlineStr">
        <is>
          <t>logging.config.recording_enabled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AWS Config recording in all accounts and both regions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Cloud CoE</t>
        </is>
      </c>
      <c r="K9" s="39" t="inlineStr"/>
      <c r="L9" s="39" t="inlineStr">
        <is>
          <t>Config recording active from Phase 1; SOW go-live criterion</t>
        </is>
      </c>
      <c r="M9" s="40" t="inlineStr">
        <is>
          <t>2025-01-31</t>
        </is>
      </c>
    </row>
    <row r="10" ht="26" customHeight="1">
      <c r="A10" s="43" t="inlineStr">
        <is>
          <t>logging.config.conformance_pack.fsbp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the AWS Foundational Security Best Practices conformance pack in all accounts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logging.config.recording_enabled</t>
        </is>
      </c>
      <c r="L10" s="37" t="inlineStr">
        <is>
          <t>Mandatory at go-live per SOW; provides 200+ FSBP control evaluations</t>
        </is>
      </c>
      <c r="M10" s="38" t="inlineStr">
        <is>
          <t>2025-01-31</t>
        </is>
      </c>
    </row>
    <row r="11" ht="26" customHeight="1">
      <c r="A11" s="42" t="inlineStr">
        <is>
          <t>logging.config.conformance_pack.nist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Enable the NIST 800-53 Rev 5 conformance pack if confirmed by Client Security Lead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logging.config.recording_enabled</t>
        </is>
      </c>
      <c r="L11" s="39" t="inlineStr">
        <is>
          <t>Activation contingent on compliance framework confirmation (Dependency D3 / Week 2)</t>
        </is>
      </c>
      <c r="M11" s="40" t="inlineStr">
        <is>
          <t>2025-01-31</t>
        </is>
      </c>
    </row>
    <row r="12" ht="26" customHeight="1">
      <c r="A12" s="43" t="inlineStr">
        <is>
          <t>monitoring.securityhub.enabled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Enable AWS Security Hub in all accounts and both regions with FSBP standard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aws.account_id.audit</t>
        </is>
      </c>
      <c r="L12" s="37" t="inlineStr">
        <is>
          <t>Aggregated to Audit account; SOW go-live success metric</t>
        </is>
      </c>
      <c r="M12" s="38" t="inlineStr">
        <is>
          <t>2025-01-31</t>
        </is>
      </c>
    </row>
    <row r="13" ht="26" customHeight="1">
      <c r="A13" s="42" t="inlineStr">
        <is>
          <t>monitoring.securityhub.fsbp_score_target</t>
        </is>
      </c>
      <c r="B13" s="39" t="inlineStr">
        <is>
          <t>80</t>
        </is>
      </c>
      <c r="C13" s="39" t="inlineStr">
        <is>
          <t>80</t>
        </is>
      </c>
      <c r="D13" s="39" t="inlineStr">
        <is>
          <t>80</t>
        </is>
      </c>
      <c r="E13" s="39" t="inlineStr">
        <is>
          <t>Minimum Security Hub FSBP compliance score percentage required at go-live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0-100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monitoring.securityhub.enabled</t>
        </is>
      </c>
      <c r="L13" s="39" t="inlineStr">
        <is>
          <t>Zero critical findings AND score &gt;= 80% required for go-live sign-off per SOW</t>
        </is>
      </c>
      <c r="M13" s="40" t="inlineStr">
        <is>
          <t>2025-01-31</t>
        </is>
      </c>
    </row>
    <row r="14" ht="26" customHeight="1">
      <c r="A14" s="43" t="inlineStr">
        <is>
          <t>monitoring.securityhub.delegated_admin_account_id</t>
        </is>
      </c>
      <c r="B14" s="37" t="inlineStr">
        <is>
          <t>[audit-account-id]</t>
        </is>
      </c>
      <c r="C14" s="37" t="inlineStr">
        <is>
          <t>[audit-account-id]</t>
        </is>
      </c>
      <c r="D14" s="37" t="inlineStr">
        <is>
          <t>[audit-account-id]</t>
        </is>
      </c>
      <c r="E14" s="37" t="inlineStr">
        <is>
          <t>AWS account ID of the Security Hub delegated administrator (Audit account)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12-digit numeric; must match aws.account_id.audit</t>
        </is>
      </c>
      <c r="I14" s="38" t="inlineStr">
        <is>
          <t>Confidential</t>
        </is>
      </c>
      <c r="J14" s="37" t="inlineStr">
        <is>
          <t>Security Team</t>
        </is>
      </c>
      <c r="K14" s="37" t="inlineStr">
        <is>
          <t>aws.account_id.audit; monitoring.securityhub.enabled</t>
        </is>
      </c>
      <c r="L14" s="37" t="inlineStr">
        <is>
          <t>Aggregates all member account findings to the Audit account dashboard</t>
        </is>
      </c>
      <c r="M14" s="38" t="inlineStr">
        <is>
          <t>2025-01-31</t>
        </is>
      </c>
    </row>
    <row r="15" ht="26" customHeight="1">
      <c r="A15" s="42" t="inlineStr">
        <is>
          <t>monitoring.guardduty.enabled</t>
        </is>
      </c>
      <c r="B15" s="39" t="inlineStr">
        <is>
          <t>true</t>
        </is>
      </c>
      <c r="C15" s="39" t="inlineStr">
        <is>
          <t>true</t>
        </is>
      </c>
      <c r="D15" s="39" t="inlineStr">
        <is>
          <t>true</t>
        </is>
      </c>
      <c r="E15" s="39" t="inlineStr">
        <is>
          <t>Enable Amazon GuardDuty organisation-wide in both regions with delegated administrator</t>
        </is>
      </c>
      <c r="F15" s="40" t="inlineStr">
        <is>
          <t>Yes</t>
        </is>
      </c>
      <c r="G15" s="40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aws.account_id.audit</t>
        </is>
      </c>
      <c r="L15" s="39" t="inlineStr">
        <is>
          <t>Analyses VPC Flow Logs; CloudTrail events; DNS logs for threat indicators</t>
        </is>
      </c>
      <c r="M15" s="40" t="inlineStr">
        <is>
          <t>2025-01-31</t>
        </is>
      </c>
    </row>
    <row r="16" ht="26" customHeight="1">
      <c r="A16" s="43" t="inlineStr">
        <is>
          <t>monitoring.guardduty.delegated_admin_account_id</t>
        </is>
      </c>
      <c r="B16" s="37" t="inlineStr">
        <is>
          <t>[audit-account-id]</t>
        </is>
      </c>
      <c r="C16" s="37" t="inlineStr">
        <is>
          <t>[audit-account-id]</t>
        </is>
      </c>
      <c r="D16" s="37" t="inlineStr">
        <is>
          <t>[audit-account-id]</t>
        </is>
      </c>
      <c r="E16" s="37" t="inlineStr">
        <is>
          <t>AWS account ID of the GuardDuty delegated administrator (Audit account)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12-digit numeric; must match aws.account_id.audit</t>
        </is>
      </c>
      <c r="I16" s="38" t="inlineStr">
        <is>
          <t>Confidential</t>
        </is>
      </c>
      <c r="J16" s="37" t="inlineStr">
        <is>
          <t>Security Team</t>
        </is>
      </c>
      <c r="K16" s="37" t="inlineStr">
        <is>
          <t>aws.account_id.audit; monitoring.guardduty.enabled</t>
        </is>
      </c>
      <c r="L16" s="37" t="inlineStr">
        <is>
          <t>Single pane for GuardDuty findings across all member accounts</t>
        </is>
      </c>
      <c r="M16" s="38" t="inlineStr">
        <is>
          <t>2025-01-31</t>
        </is>
      </c>
    </row>
    <row r="17" ht="26" customHeight="1">
      <c r="A17" s="42" t="inlineStr">
        <is>
          <t>monitoring.guardduty.alert_severity_threshold</t>
        </is>
      </c>
      <c r="B17" s="39" t="inlineStr">
        <is>
          <t>7.0</t>
        </is>
      </c>
      <c r="C17" s="39" t="inlineStr">
        <is>
          <t>7.0</t>
        </is>
      </c>
      <c r="D17" s="39" t="inlineStr">
        <is>
          <t>7.0</t>
        </is>
      </c>
      <c r="E17" s="39" t="inlineStr">
        <is>
          <t>GuardDuty finding severity threshold above which an SNS HIGH alert is triggered</t>
        </is>
      </c>
      <c r="F17" s="40" t="inlineStr">
        <is>
          <t>Yes</t>
        </is>
      </c>
      <c r="G17" s="40" t="inlineStr">
        <is>
          <t>Number</t>
        </is>
      </c>
      <c r="H17" s="39" t="inlineStr">
        <is>
          <t>0.1-10.0</t>
        </is>
      </c>
      <c r="I17" s="40" t="inlineStr">
        <is>
          <t>Public</t>
        </is>
      </c>
      <c r="J17" s="39" t="inlineStr">
        <is>
          <t>Security Team</t>
        </is>
      </c>
      <c r="K17" s="39" t="inlineStr">
        <is>
          <t>monitoring.guardduty.enabled; monitoring.sns.topic_arn_high</t>
        </is>
      </c>
      <c r="L17" s="39" t="inlineStr">
        <is>
          <t>EventBridge rule routes findings at or above this threshold to SNS HIGH topic</t>
        </is>
      </c>
      <c r="M17" s="40" t="inlineStr">
        <is>
          <t>2025-01-31</t>
        </is>
      </c>
    </row>
    <row r="18" ht="26" customHeight="1">
      <c r="A18" s="43" t="inlineStr">
        <is>
          <t>monitoring.cloudwatch.dashboard_name_ops</t>
        </is>
      </c>
      <c r="B18" s="37" t="inlineStr">
        <is>
          <t>ins-landing-zone-ops</t>
        </is>
      </c>
      <c r="C18" s="37" t="inlineStr">
        <is>
          <t>ins-landing-zone-ops</t>
        </is>
      </c>
      <c r="D18" s="37" t="inlineStr">
        <is>
          <t>ins-landing-zone-ops</t>
        </is>
      </c>
      <c r="E18" s="37" t="inlineStr">
        <is>
          <t>CloudWatch dashboard name for the Landing Zone Operations dashboard in Shared Services account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Non-empty string; max 255 chars</t>
        </is>
      </c>
      <c r="I18" s="38" t="inlineStr">
        <is>
          <t>Public</t>
        </is>
      </c>
      <c r="J18" s="37" t="inlineStr">
        <is>
          <t>Operations</t>
        </is>
      </c>
      <c r="K18" s="37" t="inlineStr">
        <is>
          <t>aws.account_id.shared_services</t>
        </is>
      </c>
      <c r="L18" s="37" t="inlineStr">
        <is>
          <t>Shows CT compliance status; AFT pipeline health; account count; VPN status</t>
        </is>
      </c>
      <c r="M18" s="38" t="inlineStr">
        <is>
          <t>2025-01-31</t>
        </is>
      </c>
    </row>
    <row r="19" ht="26" customHeight="1">
      <c r="A19" s="42" t="inlineStr">
        <is>
          <t>monitoring.cloudwatch.dashboard_name_security</t>
        </is>
      </c>
      <c r="B19" s="39" t="inlineStr">
        <is>
          <t>ins-security-posture</t>
        </is>
      </c>
      <c r="C19" s="39" t="inlineStr">
        <is>
          <t>ins-security-posture</t>
        </is>
      </c>
      <c r="D19" s="39" t="inlineStr">
        <is>
          <t>ins-security-posture</t>
        </is>
      </c>
      <c r="E19" s="39" t="inlineStr">
        <is>
          <t>CloudWatch dashboard name for the Security Posture dashboard in Shared Services account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Non-empty string; max 255 chars</t>
        </is>
      </c>
      <c r="I19" s="40" t="inlineStr">
        <is>
          <t>Public</t>
        </is>
      </c>
      <c r="J19" s="39" t="inlineStr">
        <is>
          <t>Security Team</t>
        </is>
      </c>
      <c r="K19" s="39" t="inlineStr">
        <is>
          <t>aws.account_id.shared_services</t>
        </is>
      </c>
      <c r="L19" s="39" t="inlineStr">
        <is>
          <t>Shows Security Hub FSBP score; GuardDuty finding volume; Config compliance score</t>
        </is>
      </c>
      <c r="M19" s="40" t="inlineStr">
        <is>
          <t>2025-01-31</t>
        </is>
      </c>
    </row>
    <row r="20" ht="26" customHeight="1">
      <c r="A20" s="43" t="inlineStr">
        <is>
          <t>monitoring.cloudwatch.dashboard_name_finops</t>
        </is>
      </c>
      <c r="B20" s="37" t="inlineStr">
        <is>
          <t>ins-finops</t>
        </is>
      </c>
      <c r="C20" s="37" t="inlineStr">
        <is>
          <t>ins-finops</t>
        </is>
      </c>
      <c r="D20" s="37" t="inlineStr">
        <is>
          <t>ins-finops</t>
        </is>
      </c>
      <c r="E20" s="37" t="inlineStr">
        <is>
          <t>CloudWatch dashboard name for the FinOps dashboard in Shared Services account</t>
        </is>
      </c>
      <c r="F20" s="38" t="inlineStr">
        <is>
          <t>Yes</t>
        </is>
      </c>
      <c r="G20" s="38" t="inlineStr">
        <is>
          <t>String</t>
        </is>
      </c>
      <c r="H20" s="37" t="inlineStr">
        <is>
          <t>Non-empty string; max 255 chars</t>
        </is>
      </c>
      <c r="I20" s="38" t="inlineStr">
        <is>
          <t>Public</t>
        </is>
      </c>
      <c r="J20" s="37" t="inlineStr">
        <is>
          <t>Operations</t>
        </is>
      </c>
      <c r="K20" s="37" t="inlineStr">
        <is>
          <t>aws.account_id.shared_services</t>
        </is>
      </c>
      <c r="L20" s="37" t="inlineStr">
        <is>
          <t>Shows org-wide cost trend; top 5 accounts by spend; Budget alert status</t>
        </is>
      </c>
      <c r="M20" s="38" t="inlineStr">
        <is>
          <t>2025-01-31</t>
        </is>
      </c>
    </row>
    <row r="21" ht="26" customHeight="1">
      <c r="A21" s="42" t="inlineStr">
        <is>
          <t>monitoring.cloudwatch.log_retention_days</t>
        </is>
      </c>
      <c r="B21" s="39" t="inlineStr">
        <is>
          <t>90</t>
        </is>
      </c>
      <c r="C21" s="39" t="inlineStr">
        <is>
          <t>30</t>
        </is>
      </c>
      <c r="D21" s="39" t="inlineStr">
        <is>
          <t>90</t>
        </is>
      </c>
      <c r="E21" s="39" t="inlineStr">
        <is>
          <t>Retention period in days for CloudWatch Log Groups created across the landing zone</t>
        </is>
      </c>
      <c r="F21" s="40" t="inlineStr">
        <is>
          <t>Yes</t>
        </is>
      </c>
      <c r="G21" s="40" t="inlineStr">
        <is>
          <t>Integer</t>
        </is>
      </c>
      <c r="H21" s="39" t="inlineStr">
        <is>
          <t>1-3653</t>
        </is>
      </c>
      <c r="I21" s="40" t="inlineStr">
        <is>
          <t>Public</t>
        </is>
      </c>
      <c r="J21" s="39" t="inlineStr">
        <is>
          <t>Operations</t>
        </is>
      </c>
      <c r="K21" s="39" t="inlineStr"/>
      <c r="L21" s="39" t="inlineStr">
        <is>
          <t>Applies to all platform log groups; workload log groups inherit this default</t>
        </is>
      </c>
      <c r="M21" s="40" t="inlineStr">
        <is>
          <t>2025-01-31</t>
        </is>
      </c>
    </row>
    <row r="22" ht="26" customHeight="1">
      <c r="A22" s="43" t="inlineStr">
        <is>
          <t>monitoring.sns.topic_arn_critical</t>
        </is>
      </c>
      <c r="B22" s="37" t="inlineStr">
        <is>
          <t>[sns-topic-arn-critical]</t>
        </is>
      </c>
      <c r="C22" s="37" t="inlineStr">
        <is>
          <t>[sns-topic-arn-critical]</t>
        </is>
      </c>
      <c r="D22" s="37" t="inlineStr">
        <is>
          <t>[sns-topic-arn-critical]</t>
        </is>
      </c>
      <c r="E22" s="37" t="inlineStr">
        <is>
          <t>SNS topic ARN for CRITICAL (P1) alerts — CT drift and FSBP critical findings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Valid SNS topic ARN</t>
        </is>
      </c>
      <c r="I22" s="38" t="inlineStr">
        <is>
          <t>Confidential</t>
        </is>
      </c>
      <c r="J22" s="37" t="inlineStr">
        <is>
          <t>Operations</t>
        </is>
      </c>
      <c r="K22" s="37" t="inlineStr">
        <is>
          <t>aws.account_id.shared_services</t>
        </is>
      </c>
      <c r="L22" s="37" t="inlineStr">
        <is>
          <t>24x7 on-call routing; P1 response SLA 2 hours per SOW hypercare terms</t>
        </is>
      </c>
      <c r="M22" s="38" t="inlineStr">
        <is>
          <t>2025-01-31</t>
        </is>
      </c>
    </row>
    <row r="23" ht="26" customHeight="1">
      <c r="A23" s="42" t="inlineStr">
        <is>
          <t>monitoring.sns.topic_arn_high</t>
        </is>
      </c>
      <c r="B23" s="39" t="inlineStr">
        <is>
          <t>[sns-topic-arn-high]</t>
        </is>
      </c>
      <c r="C23" s="39" t="inlineStr">
        <is>
          <t>[sns-topic-arn-high]</t>
        </is>
      </c>
      <c r="D23" s="39" t="inlineStr">
        <is>
          <t>[sns-topic-arn-high]</t>
        </is>
      </c>
      <c r="E23" s="39" t="inlineStr">
        <is>
          <t>SNS topic ARN for HIGH (P2) alerts — AFT pipeline failures and GuardDuty threats</t>
        </is>
      </c>
      <c r="F23" s="40" t="inlineStr">
        <is>
          <t>Yes</t>
        </is>
      </c>
      <c r="G23" s="40" t="inlineStr">
        <is>
          <t>String</t>
        </is>
      </c>
      <c r="H23" s="39" t="inlineStr">
        <is>
          <t>Valid SNS topic ARN</t>
        </is>
      </c>
      <c r="I23" s="40" t="inlineStr">
        <is>
          <t>Confidential</t>
        </is>
      </c>
      <c r="J23" s="39" t="inlineStr">
        <is>
          <t>Operations</t>
        </is>
      </c>
      <c r="K23" s="39" t="inlineStr">
        <is>
          <t>aws.account_id.shared_services</t>
        </is>
      </c>
      <c r="L23" s="39" t="inlineStr">
        <is>
          <t>Business-hours routing; P2 response SLA 4 hours per SOW hypercare terms</t>
        </is>
      </c>
      <c r="M23" s="40" t="inlineStr">
        <is>
          <t>2025-01-31</t>
        </is>
      </c>
    </row>
    <row r="24" ht="26" customHeight="1">
      <c r="A24" s="43" t="inlineStr">
        <is>
          <t>monitoring.sns.topic_arn_medium</t>
        </is>
      </c>
      <c r="B24" s="37" t="inlineStr">
        <is>
          <t>[sns-topic-arn-medium]</t>
        </is>
      </c>
      <c r="C24" s="37" t="inlineStr">
        <is>
          <t>[sns-topic-arn-medium]</t>
        </is>
      </c>
      <c r="D24" s="37" t="inlineStr">
        <is>
          <t>[sns-topic-arn-medium]</t>
        </is>
      </c>
      <c r="E24" s="37" t="inlineStr">
        <is>
          <t>SNS topic ARN for MEDIUM (P3) alerts — Config drift and budget threshold notifications</t>
        </is>
      </c>
      <c r="F24" s="38" t="inlineStr">
        <is>
          <t>Yes</t>
        </is>
      </c>
      <c r="G24" s="38" t="inlineStr">
        <is>
          <t>String</t>
        </is>
      </c>
      <c r="H24" s="37" t="inlineStr">
        <is>
          <t>Valid SNS topic ARN</t>
        </is>
      </c>
      <c r="I24" s="38" t="inlineStr">
        <is>
          <t>Confidential</t>
        </is>
      </c>
      <c r="J24" s="37" t="inlineStr">
        <is>
          <t>Operations</t>
        </is>
      </c>
      <c r="K24" s="37" t="inlineStr">
        <is>
          <t>aws.account_id.shared_services</t>
        </is>
      </c>
      <c r="L24" s="37" t="inlineStr">
        <is>
          <t>1 business-day response SLA; routed to operations email distribution list</t>
        </is>
      </c>
      <c r="M24" s="38" t="inlineStr">
        <is>
          <t>2025-01-31</t>
        </is>
      </c>
    </row>
    <row r="25" ht="26" customHeight="1">
      <c r="A25" s="42" t="inlineStr">
        <is>
          <t>monitoring.sns.alert_email_endpoint</t>
        </is>
      </c>
      <c r="B25" s="39" t="inlineStr">
        <is>
          <t>[ops-alert-email]</t>
        </is>
      </c>
      <c r="C25" s="39" t="inlineStr">
        <is>
          <t>[ops-alert-email]</t>
        </is>
      </c>
      <c r="D25" s="39" t="inlineStr">
        <is>
          <t>[ops-alert-email]</t>
        </is>
      </c>
      <c r="E25" s="39" t="inlineStr">
        <is>
          <t>Email address for SNS alert delivery; confirmed with client operations team at kick-off</t>
        </is>
      </c>
      <c r="F25" s="40" t="inlineStr">
        <is>
          <t>Yes</t>
        </is>
      </c>
      <c r="G25" s="40" t="inlineStr">
        <is>
          <t>String</t>
        </is>
      </c>
      <c r="H25" s="39" t="inlineStr">
        <is>
          <t>Valid email address</t>
        </is>
      </c>
      <c r="I25" s="40" t="inlineStr">
        <is>
          <t>Confidential</t>
        </is>
      </c>
      <c r="J25" s="39" t="inlineStr">
        <is>
          <t>Operations</t>
        </is>
      </c>
      <c r="K25" s="39" t="inlineStr">
        <is>
          <t>monitoring.sns.topic_arn_critical</t>
        </is>
      </c>
      <c r="L25" s="39" t="inlineStr">
        <is>
          <t>Subscription must be confirmed by the client before go-live readiness sign-off</t>
        </is>
      </c>
      <c r="M25" s="40" t="inlineStr">
        <is>
          <t>2025-01-31</t>
        </is>
      </c>
    </row>
  </sheetData>
  <autoFilter ref="A2:M25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DR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dr.rto_landing_zone_hours</t>
        </is>
      </c>
      <c r="B3" s="39" t="inlineStr">
        <is>
          <t>4</t>
        </is>
      </c>
      <c r="C3" s="39" t="inlineStr">
        <is>
          <t>4</t>
        </is>
      </c>
      <c r="D3" s="39" t="inlineStr">
        <is>
          <t>4</t>
        </is>
      </c>
      <c r="E3" s="39" t="inlineStr">
        <is>
          <t>Recovery Time Objective in hours for full landing zone restoration from Terraform state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1-72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Validated by IaC rebuild DR test in Phase 3; SOW commitment</t>
        </is>
      </c>
      <c r="M3" s="40" t="inlineStr">
        <is>
          <t>2025-01-31</t>
        </is>
      </c>
    </row>
    <row r="4" ht="26" customHeight="1">
      <c r="A4" s="43" t="inlineStr">
        <is>
          <t>dr.rpo_log_archive_minutes</t>
        </is>
      </c>
      <c r="B4" s="37" t="inlineStr">
        <is>
          <t>15</t>
        </is>
      </c>
      <c r="C4" s="37" t="inlineStr">
        <is>
          <t>15</t>
        </is>
      </c>
      <c r="D4" s="37" t="inlineStr">
        <is>
          <t>15</t>
        </is>
      </c>
      <c r="E4" s="37" t="inlineStr">
        <is>
          <t>Recovery Point Objective in minutes for Log Archive S3 data via cross-region replication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1-60</t>
        </is>
      </c>
      <c r="I4" s="38" t="inlineStr">
        <is>
          <t>Public</t>
        </is>
      </c>
      <c r="J4" s="37" t="inlineStr">
        <is>
          <t>Cloud CoE</t>
        </is>
      </c>
      <c r="K4" s="37" t="inlineStr">
        <is>
          <t>storage.log_archive.bucket_name_replica</t>
        </is>
      </c>
      <c r="L4" s="37" t="inlineStr">
        <is>
          <t>S3 CRR lag monitored by CloudWatch replication metric; alert if lag exceeds threshold</t>
        </is>
      </c>
      <c r="M4" s="38" t="inlineStr">
        <is>
          <t>2025-01-31</t>
        </is>
      </c>
    </row>
    <row r="5" ht="26" customHeight="1">
      <c r="A5" s="42" t="inlineStr">
        <is>
          <t>dr.rto_network_firewall_minutes</t>
        </is>
      </c>
      <c r="B5" s="39" t="inlineStr">
        <is>
          <t>30</t>
        </is>
      </c>
      <c r="C5" s="39" t="inlineStr">
        <is>
          <t>30</t>
        </is>
      </c>
      <c r="D5" s="39" t="inlineStr">
        <is>
          <t>30</t>
        </is>
      </c>
      <c r="E5" s="39" t="inlineStr">
        <is>
          <t>Recovery Time Objective in minutes for Network Firewall AZ failover via TGW re-routing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1-120</t>
        </is>
      </c>
      <c r="I5" s="40" t="inlineStr">
        <is>
          <t>Public</t>
        </is>
      </c>
      <c r="J5" s="39" t="inlineStr">
        <is>
          <t>Network Team</t>
        </is>
      </c>
      <c r="K5" s="39" t="inlineStr">
        <is>
          <t>networking.firewall.policy_arn.us_east_1</t>
        </is>
      </c>
      <c r="L5" s="39" t="inlineStr">
        <is>
          <t>Multi-AZ deployment enables automatic AZ failover without manual intervention</t>
        </is>
      </c>
      <c r="M5" s="40" t="inlineStr">
        <is>
          <t>2025-01-31</t>
        </is>
      </c>
    </row>
    <row r="6" ht="26" customHeight="1">
      <c r="A6" s="43" t="inlineStr">
        <is>
          <t>dr.rto_iam_identity_center_hours</t>
        </is>
      </c>
      <c r="B6" s="37" t="inlineStr">
        <is>
          <t>2</t>
        </is>
      </c>
      <c r="C6" s="37" t="inlineStr">
        <is>
          <t>2</t>
        </is>
      </c>
      <c r="D6" s="37" t="inlineStr">
        <is>
          <t>2</t>
        </is>
      </c>
      <c r="E6" s="37" t="inlineStr">
        <is>
          <t>Recovery Time Objective in hours for IAM Identity Center SSO (AWS-managed service SLA)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1-24</t>
        </is>
      </c>
      <c r="I6" s="38" t="inlineStr">
        <is>
          <t>Public</t>
        </is>
      </c>
      <c r="J6" s="37" t="inlineStr">
        <is>
          <t>Cloud CoE</t>
        </is>
      </c>
      <c r="K6" s="37" t="inlineStr">
        <is>
          <t>iam_identity_center.instance_arn</t>
        </is>
      </c>
      <c r="L6" s="37" t="inlineStr">
        <is>
          <t>AWS-managed multi-region SLA; no client action required for SSO recovery</t>
        </is>
      </c>
      <c r="M6" s="38" t="inlineStr">
        <is>
          <t>2025-01-31</t>
        </is>
      </c>
    </row>
  </sheetData>
  <autoFilter ref="A2:M6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operations.iac_coverage_target_percent</t>
        </is>
      </c>
      <c r="B3" s="39" t="inlineStr">
        <is>
          <t>95</t>
        </is>
      </c>
      <c r="C3" s="39" t="inlineStr">
        <is>
          <t>95</t>
        </is>
      </c>
      <c r="D3" s="39" t="inlineStr">
        <is>
          <t>95</t>
        </is>
      </c>
      <c r="E3" s="39" t="inlineStr">
        <is>
          <t>Minimum percentage of infrastructure managed via Terraform and AFT (no manual console changes)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0-100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SOW go-live criterion; confirmed via Terraform drift detection before go-live sign-off</t>
        </is>
      </c>
      <c r="M3" s="40" t="inlineStr">
        <is>
          <t>2025-01-31</t>
        </is>
      </c>
    </row>
    <row r="4" ht="26" customHeight="1">
      <c r="A4" s="43" t="inlineStr">
        <is>
          <t>operations.account_count.target_go_live</t>
        </is>
      </c>
      <c r="B4" s="37" t="inlineStr">
        <is>
          <t>12</t>
        </is>
      </c>
      <c r="C4" s="37" t="inlineStr">
        <is>
          <t>2</t>
        </is>
      </c>
      <c r="D4" s="37" t="inlineStr">
        <is>
          <t>12</t>
        </is>
      </c>
      <c r="E4" s="37" t="inlineStr">
        <is>
          <t>Target number of AWS accounts to be provisioned and enrolled at go-live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2-1000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SOW scopes 7-12 accounts; at minimum 2 workload accounts validated per go-live checklist</t>
        </is>
      </c>
      <c r="M4" s="38" t="inlineStr">
        <is>
          <t>2025-01-31</t>
        </is>
      </c>
    </row>
    <row r="5" ht="26" customHeight="1">
      <c r="A5" s="42" t="inlineStr">
        <is>
          <t>operations.account_count.iam_identity_center_users</t>
        </is>
      </c>
      <c r="B5" s="39" t="inlineStr">
        <is>
          <t>50</t>
        </is>
      </c>
      <c r="C5" s="39" t="inlineStr">
        <is>
          <t>50</t>
        </is>
      </c>
      <c r="D5" s="39" t="inlineStr">
        <is>
          <t>50</t>
        </is>
      </c>
      <c r="E5" s="39" t="inlineStr">
        <is>
          <t>Maximum number of users in IAM Identity Center covered under the no-charge tier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1-500000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iam_identity_center.instance_arn</t>
        </is>
      </c>
      <c r="L5" s="39" t="inlineStr">
        <is>
          <t>SOW scopes &lt;= 50 users; exceeding this triggers pricing review</t>
        </is>
      </c>
      <c r="M5" s="40" t="inlineStr">
        <is>
          <t>2025-01-31</t>
        </is>
      </c>
    </row>
    <row r="6" ht="26" customHeight="1">
      <c r="A6" s="43" t="inlineStr">
        <is>
          <t>operations.cloudtrail.events_per_month_estimate</t>
        </is>
      </c>
      <c r="B6" s="37" t="inlineStr">
        <is>
          <t>100000000</t>
        </is>
      </c>
      <c r="C6" s="37" t="inlineStr">
        <is>
          <t>100000000</t>
        </is>
      </c>
      <c r="D6" s="37" t="inlineStr">
        <is>
          <t>100000000</t>
        </is>
      </c>
      <c r="E6" s="37" t="inlineStr">
        <is>
          <t>Estimated CloudTrail event volume per month (organisation trail; both regions) used for cost modelling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1-10000000000</t>
        </is>
      </c>
      <c r="I6" s="38" t="inlineStr">
        <is>
          <t>Public</t>
        </is>
      </c>
      <c r="J6" s="37" t="inlineStr">
        <is>
          <t>Cloud CoE</t>
        </is>
      </c>
      <c r="K6" s="37" t="inlineStr">
        <is>
          <t>logging.cloudtrail.trail_name</t>
        </is>
      </c>
      <c r="L6" s="37" t="inlineStr">
        <is>
          <t>~100M events/month per SOW scope sizing; used to validate infrastructure cost model</t>
        </is>
      </c>
      <c r="M6" s="38" t="inlineStr">
        <is>
          <t>2025-01-31</t>
        </is>
      </c>
    </row>
    <row r="7" ht="26" customHeight="1">
      <c r="A7" s="42" t="inlineStr">
        <is>
          <t>operations.log_storage.gb_per_month_estimate</t>
        </is>
      </c>
      <c r="B7" s="39" t="inlineStr">
        <is>
          <t>500</t>
        </is>
      </c>
      <c r="C7" s="39" t="inlineStr">
        <is>
          <t>100</t>
        </is>
      </c>
      <c r="D7" s="39" t="inlineStr">
        <is>
          <t>500</t>
        </is>
      </c>
      <c r="E7" s="39" t="inlineStr">
        <is>
          <t>Estimated log storage ingestion in GB per month across all log types for capacity and cost planning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1-1000000</t>
        </is>
      </c>
      <c r="I7" s="40" t="inlineStr">
        <is>
          <t>Public</t>
        </is>
      </c>
      <c r="J7" s="39" t="inlineStr">
        <is>
          <t>Cloud CoE</t>
        </is>
      </c>
      <c r="K7" s="39" t="inlineStr">
        <is>
          <t>storage.log_archive.bucket_name_primary</t>
        </is>
      </c>
      <c r="L7" s="39" t="inlineStr">
        <is>
          <t>~500 GB/month per SOW scope sizing; Glacier lifecycle manages long-term cost</t>
        </is>
      </c>
      <c r="M7" s="40" t="inlineStr">
        <is>
          <t>2025-01-31</t>
        </is>
      </c>
    </row>
    <row r="8" ht="26" customHeight="1">
      <c r="A8" s="43" t="inlineStr">
        <is>
          <t>operations.hypercare.duration_weeks</t>
        </is>
      </c>
      <c r="B8" s="37" t="inlineStr">
        <is>
          <t>4</t>
        </is>
      </c>
      <c r="C8" s="37" t="inlineStr">
        <is>
          <t>4</t>
        </is>
      </c>
      <c r="D8" s="37" t="inlineStr">
        <is>
          <t>4</t>
        </is>
      </c>
      <c r="E8" s="37" t="inlineStr">
        <is>
          <t>Duration in weeks of post-go-live hypercare support provided by the vendor team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1-52</t>
        </is>
      </c>
      <c r="I8" s="38" t="inlineStr">
        <is>
          <t>Public</t>
        </is>
      </c>
      <c r="J8" s="37" t="inlineStr">
        <is>
          <t>Cloud CoE</t>
        </is>
      </c>
      <c r="K8" s="37" t="inlineStr"/>
      <c r="L8" s="37" t="inlineStr">
        <is>
          <t>Weeks 13-16 per SOW; P1 incidents covered 24x7 with 2-hour response SLA</t>
        </is>
      </c>
      <c r="M8" s="38" t="inlineStr">
        <is>
          <t>2025-01-31</t>
        </is>
      </c>
    </row>
    <row r="9" ht="26" customHeight="1">
      <c r="A9" s="42" t="inlineStr">
        <is>
          <t>operations.hypercare.p1_response_sla_hours</t>
        </is>
      </c>
      <c r="B9" s="39" t="inlineStr">
        <is>
          <t>2</t>
        </is>
      </c>
      <c r="C9" s="39" t="inlineStr">
        <is>
          <t>2</t>
        </is>
      </c>
      <c r="D9" s="39" t="inlineStr">
        <is>
          <t>2</t>
        </is>
      </c>
      <c r="E9" s="39" t="inlineStr">
        <is>
          <t>Maximum response time in hours for P1 (Critical) issues during hypercare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1-24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operations.hypercare.duration_weeks</t>
        </is>
      </c>
      <c r="L9" s="39" t="inlineStr">
        <is>
          <t>24x7 on-call for P1; landing zone governance failures are the primary P1 trigger</t>
        </is>
      </c>
      <c r="M9" s="40" t="inlineStr">
        <is>
          <t>2025-01-31</t>
        </is>
      </c>
    </row>
    <row r="10" ht="26" customHeight="1">
      <c r="A10" s="43" t="inlineStr">
        <is>
          <t>operations.hypercare.p2_response_sla_hours</t>
        </is>
      </c>
      <c r="B10" s="37" t="inlineStr">
        <is>
          <t>4</t>
        </is>
      </c>
      <c r="C10" s="37" t="inlineStr">
        <is>
          <t>4</t>
        </is>
      </c>
      <c r="D10" s="37" t="inlineStr">
        <is>
          <t>4</t>
        </is>
      </c>
      <c r="E10" s="37" t="inlineStr">
        <is>
          <t>Maximum response time in hours for P2 (High) issues during hypercare (business hours)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1-48</t>
        </is>
      </c>
      <c r="I10" s="38" t="inlineStr">
        <is>
          <t>Public</t>
        </is>
      </c>
      <c r="J10" s="37" t="inlineStr">
        <is>
          <t>Cloud CoE</t>
        </is>
      </c>
      <c r="K10" s="37" t="inlineStr">
        <is>
          <t>operations.hypercare.duration_weeks</t>
        </is>
      </c>
      <c r="L10" s="37" t="inlineStr">
        <is>
          <t>Business hours only; AFT pipeline failures and Security Hub critical findings are P2</t>
        </is>
      </c>
      <c r="M10" s="38" t="inlineStr">
        <is>
          <t>2025-01-31</t>
        </is>
      </c>
    </row>
    <row r="11" ht="26" customHeight="1">
      <c r="A11" s="42" t="inlineStr">
        <is>
          <t>finops.cost_explorer.enabled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AWS Cost Explorer at the organisation level for consolidated billing visibility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Cloud CoE</t>
        </is>
      </c>
      <c r="K11" s="39" t="inlineStr"/>
      <c r="L11" s="39" t="inlineStr">
        <is>
          <t>Activated from go-live; FinOps dashboard uses Cost Explorer API for cost trend widgets</t>
        </is>
      </c>
      <c r="M11" s="40" t="inlineStr">
        <is>
          <t>2025-01-31</t>
        </is>
      </c>
    </row>
    <row r="12" ht="26" customHeight="1">
      <c r="A12" s="43" t="inlineStr">
        <is>
          <t>finops.cost_anomaly_detection.enabled</t>
        </is>
      </c>
      <c r="B12" s="37" t="inlineStr">
        <is>
          <t>true</t>
        </is>
      </c>
      <c r="C12" s="37" t="inlineStr">
        <is>
          <t>false</t>
        </is>
      </c>
      <c r="D12" s="37" t="inlineStr">
        <is>
          <t>true</t>
        </is>
      </c>
      <c r="E12" s="37" t="inlineStr">
        <is>
          <t>Enable AWS Cost Anomaly Detection for automatic spend anomaly identification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Cloud CoE</t>
        </is>
      </c>
      <c r="K12" s="37" t="inlineStr">
        <is>
          <t>finops.cost_explorer.enabled</t>
        </is>
      </c>
      <c r="L12" s="37" t="inlineStr">
        <is>
          <t>SNS MEDIUM alert triggered when anomaly exceeds configured dollar threshold</t>
        </is>
      </c>
      <c r="M12" s="38" t="inlineStr">
        <is>
          <t>2025-01-31</t>
        </is>
      </c>
    </row>
    <row r="13" ht="26" customHeight="1">
      <c r="A13" s="42" t="inlineStr">
        <is>
          <t>finops.budgets.monthly_threshold_usd</t>
        </is>
      </c>
      <c r="B13" s="39" t="inlineStr">
        <is>
          <t>3000</t>
        </is>
      </c>
      <c r="C13" s="39" t="inlineStr">
        <is>
          <t>500</t>
        </is>
      </c>
      <c r="D13" s="39" t="inlineStr">
        <is>
          <t>3000</t>
        </is>
      </c>
      <c r="E13" s="39" t="inlineStr">
        <is>
          <t>Default monthly budget amount in USD applied to each new workload account via AFT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1-10000000</t>
        </is>
      </c>
      <c r="I13" s="40" t="inlineStr">
        <is>
          <t>Public</t>
        </is>
      </c>
      <c r="J13" s="39" t="inlineStr">
        <is>
          <t>Cloud CoE</t>
        </is>
      </c>
      <c r="K13" s="39" t="inlineStr">
        <is>
          <t>aft.customisation.budgets.alert_threshold_80</t>
        </is>
      </c>
      <c r="L13" s="39" t="inlineStr">
        <is>
          <t>Accounts exceeding threshold trigger SNS MEDIUM alert to FinOps contact</t>
        </is>
      </c>
      <c r="M13" s="40" t="inlineStr">
        <is>
          <t>2025-01-31</t>
        </is>
      </c>
    </row>
  </sheetData>
  <autoFilter ref="A2:M13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2026-08-17T00:11:33Z</dcterms:modified>
  <cp:lastModifiedBy>Kishan Siram</cp:lastModifiedBy>
</cp:coreProperties>
</file>