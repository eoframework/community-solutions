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5" fillId="7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9" fontId="15" fillId="8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Discovery Questionnaire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August 16, 2026</t>
        </is>
      </c>
    </row>
    <row r="6" ht="18" customHeight="1">
      <c r="B6" s="2" t="inlineStr">
        <is>
          <t>Solution:</t>
        </is>
      </c>
      <c r="C6" s="3" t="inlineStr">
        <is>
          <t>Tmpjxtoe4F5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4" t="inlineStr">
        <is>
          <t>Total Questions</t>
        </is>
      </c>
      <c r="B1" s="34" t="inlineStr">
        <is>
          <t>Answered</t>
        </is>
      </c>
      <c r="C1" s="34" t="inlineStr">
        <is>
          <t>Remaining</t>
        </is>
      </c>
      <c r="D1" s="34" t="inlineStr">
        <is>
          <t>% Complete</t>
        </is>
      </c>
    </row>
    <row r="2" ht="26" customHeight="1">
      <c r="A2" s="35" t="n">
        <v>67</v>
      </c>
      <c r="B2" s="35">
        <f>SUMPRODUCT(--(LEN(F5:F71)&gt;0))</f>
        <v/>
      </c>
      <c r="C2" s="35">
        <f>A2-B2</f>
        <v/>
      </c>
      <c r="D2" s="36">
        <f>B2/A2</f>
        <v/>
      </c>
    </row>
    <row r="4" ht="32" customHeight="1">
      <c r="A4" s="37" t="inlineStr">
        <is>
          <t>Question ID</t>
        </is>
      </c>
      <c r="B4" s="37" t="inlineStr">
        <is>
          <t>Category</t>
        </is>
      </c>
      <c r="C4" s="37" t="inlineStr">
        <is>
          <t>Sub-Category</t>
        </is>
      </c>
      <c r="D4" s="37" t="inlineStr">
        <is>
          <t>Question</t>
        </is>
      </c>
      <c r="E4" s="37" t="inlineStr">
        <is>
          <t>Guidance</t>
        </is>
      </c>
      <c r="F4" s="37" t="inlineStr">
        <is>
          <t>Customer Response</t>
        </is>
      </c>
      <c r="G4" s="37" t="inlineStr">
        <is>
          <t>Notes</t>
        </is>
      </c>
    </row>
    <row r="5">
      <c r="A5" s="38">
        <f>IF('Business Requirements'!A2="","",'Business Requirements'!A2)</f>
        <v/>
      </c>
      <c r="B5" s="38">
        <f>IF('Business Requirements'!B2="","",'Business Requirements'!B2)</f>
        <v/>
      </c>
      <c r="C5" s="38">
        <f>IF('Business Requirements'!C2="","",'Business Requirements'!C2)</f>
        <v/>
      </c>
      <c r="D5" s="38">
        <f>IF('Business Requirements'!D2="","",'Business Requirements'!D2)</f>
        <v/>
      </c>
      <c r="E5" s="38">
        <f>IF('Business Requirements'!E2="","",'Business Requirements'!E2)</f>
        <v/>
      </c>
      <c r="F5" s="39">
        <f>IF('Business Requirements'!F2="","",'Business Requirements'!F2)</f>
        <v/>
      </c>
      <c r="G5" s="38">
        <f>IF('Business Requirements'!G2="","",'Business Requirements'!G2)</f>
        <v/>
      </c>
    </row>
    <row r="6">
      <c r="A6" s="40">
        <f>IF('Business Requirements'!A3="","",'Business Requirements'!A3)</f>
        <v/>
      </c>
      <c r="B6" s="40">
        <f>IF('Business Requirements'!B3="","",'Business Requirements'!B3)</f>
        <v/>
      </c>
      <c r="C6" s="40">
        <f>IF('Business Requirements'!C3="","",'Business Requirements'!C3)</f>
        <v/>
      </c>
      <c r="D6" s="40">
        <f>IF('Business Requirements'!D3="","",'Business Requirements'!D3)</f>
        <v/>
      </c>
      <c r="E6" s="40">
        <f>IF('Business Requirements'!E3="","",'Business Requirements'!E3)</f>
        <v/>
      </c>
      <c r="F6" s="39">
        <f>IF('Business Requirements'!F3="","",'Business Requirements'!F3)</f>
        <v/>
      </c>
      <c r="G6" s="40">
        <f>IF('Business Requirements'!G3="","",'Business Requirements'!G3)</f>
        <v/>
      </c>
    </row>
    <row r="7">
      <c r="A7" s="38">
        <f>IF('Business Requirements'!A4="","",'Business Requirements'!A4)</f>
        <v/>
      </c>
      <c r="B7" s="38">
        <f>IF('Business Requirements'!B4="","",'Business Requirements'!B4)</f>
        <v/>
      </c>
      <c r="C7" s="38">
        <f>IF('Business Requirements'!C4="","",'Business Requirements'!C4)</f>
        <v/>
      </c>
      <c r="D7" s="38">
        <f>IF('Business Requirements'!D4="","",'Business Requirements'!D4)</f>
        <v/>
      </c>
      <c r="E7" s="38">
        <f>IF('Business Requirements'!E4="","",'Business Requirements'!E4)</f>
        <v/>
      </c>
      <c r="F7" s="39">
        <f>IF('Business Requirements'!F4="","",'Business Requirements'!F4)</f>
        <v/>
      </c>
      <c r="G7" s="38">
        <f>IF('Business Requirements'!G4="","",'Business Requirements'!G4)</f>
        <v/>
      </c>
    </row>
    <row r="8">
      <c r="A8" s="40">
        <f>IF('Business Requirements'!A5="","",'Business Requirements'!A5)</f>
        <v/>
      </c>
      <c r="B8" s="40">
        <f>IF('Business Requirements'!B5="","",'Business Requirements'!B5)</f>
        <v/>
      </c>
      <c r="C8" s="40">
        <f>IF('Business Requirements'!C5="","",'Business Requirements'!C5)</f>
        <v/>
      </c>
      <c r="D8" s="40">
        <f>IF('Business Requirements'!D5="","",'Business Requirements'!D5)</f>
        <v/>
      </c>
      <c r="E8" s="40">
        <f>IF('Business Requirements'!E5="","",'Business Requirements'!E5)</f>
        <v/>
      </c>
      <c r="F8" s="39">
        <f>IF('Business Requirements'!F5="","",'Business Requirements'!F5)</f>
        <v/>
      </c>
      <c r="G8" s="40">
        <f>IF('Business Requirements'!G5="","",'Business Requirements'!G5)</f>
        <v/>
      </c>
    </row>
    <row r="9">
      <c r="A9" s="38">
        <f>IF('Business Requirements'!A6="","",'Business Requirements'!A6)</f>
        <v/>
      </c>
      <c r="B9" s="38">
        <f>IF('Business Requirements'!B6="","",'Business Requirements'!B6)</f>
        <v/>
      </c>
      <c r="C9" s="38">
        <f>IF('Business Requirements'!C6="","",'Business Requirements'!C6)</f>
        <v/>
      </c>
      <c r="D9" s="38">
        <f>IF('Business Requirements'!D6="","",'Business Requirements'!D6)</f>
        <v/>
      </c>
      <c r="E9" s="38">
        <f>IF('Business Requirements'!E6="","",'Business Requirements'!E6)</f>
        <v/>
      </c>
      <c r="F9" s="39">
        <f>IF('Business Requirements'!F6="","",'Business Requirements'!F6)</f>
        <v/>
      </c>
      <c r="G9" s="38">
        <f>IF('Business Requirements'!G6="","",'Business Requirements'!G6)</f>
        <v/>
      </c>
    </row>
    <row r="10">
      <c r="A10" s="40">
        <f>IF('Business Requirements'!A7="","",'Business Requirements'!A7)</f>
        <v/>
      </c>
      <c r="B10" s="40">
        <f>IF('Business Requirements'!B7="","",'Business Requirements'!B7)</f>
        <v/>
      </c>
      <c r="C10" s="40">
        <f>IF('Business Requirements'!C7="","",'Business Requirements'!C7)</f>
        <v/>
      </c>
      <c r="D10" s="40">
        <f>IF('Business Requirements'!D7="","",'Business Requirements'!D7)</f>
        <v/>
      </c>
      <c r="E10" s="40">
        <f>IF('Business Requirements'!E7="","",'Business Requirements'!E7)</f>
        <v/>
      </c>
      <c r="F10" s="39">
        <f>IF('Business Requirements'!F7="","",'Business Requirements'!F7)</f>
        <v/>
      </c>
      <c r="G10" s="40">
        <f>IF('Business Requirements'!G7="","",'Business Requirements'!G7)</f>
        <v/>
      </c>
    </row>
    <row r="11">
      <c r="A11" s="38">
        <f>IF('Business Requirements'!A8="","",'Business Requirements'!A8)</f>
        <v/>
      </c>
      <c r="B11" s="38">
        <f>IF('Business Requirements'!B8="","",'Business Requirements'!B8)</f>
        <v/>
      </c>
      <c r="C11" s="38">
        <f>IF('Business Requirements'!C8="","",'Business Requirements'!C8)</f>
        <v/>
      </c>
      <c r="D11" s="38">
        <f>IF('Business Requirements'!D8="","",'Business Requirements'!D8)</f>
        <v/>
      </c>
      <c r="E11" s="38">
        <f>IF('Business Requirements'!E8="","",'Business Requirements'!E8)</f>
        <v/>
      </c>
      <c r="F11" s="39">
        <f>IF('Business Requirements'!F8="","",'Business Requirements'!F8)</f>
        <v/>
      </c>
      <c r="G11" s="38">
        <f>IF('Business Requirements'!G8="","",'Business Requirements'!G8)</f>
        <v/>
      </c>
    </row>
    <row r="12">
      <c r="A12" s="40">
        <f>IF('Business Requirements'!A9="","",'Business Requirements'!A9)</f>
        <v/>
      </c>
      <c r="B12" s="40">
        <f>IF('Business Requirements'!B9="","",'Business Requirements'!B9)</f>
        <v/>
      </c>
      <c r="C12" s="40">
        <f>IF('Business Requirements'!C9="","",'Business Requirements'!C9)</f>
        <v/>
      </c>
      <c r="D12" s="40">
        <f>IF('Business Requirements'!D9="","",'Business Requirements'!D9)</f>
        <v/>
      </c>
      <c r="E12" s="40">
        <f>IF('Business Requirements'!E9="","",'Business Requirements'!E9)</f>
        <v/>
      </c>
      <c r="F12" s="39">
        <f>IF('Business Requirements'!F9="","",'Business Requirements'!F9)</f>
        <v/>
      </c>
      <c r="G12" s="40">
        <f>IF('Business Requirements'!G9="","",'Business Requirements'!G9)</f>
        <v/>
      </c>
    </row>
    <row r="13">
      <c r="A13" s="38">
        <f>IF('Business Requirements'!A10="","",'Business Requirements'!A10)</f>
        <v/>
      </c>
      <c r="B13" s="38">
        <f>IF('Business Requirements'!B10="","",'Business Requirements'!B10)</f>
        <v/>
      </c>
      <c r="C13" s="38">
        <f>IF('Business Requirements'!C10="","",'Business Requirements'!C10)</f>
        <v/>
      </c>
      <c r="D13" s="38">
        <f>IF('Business Requirements'!D10="","",'Business Requirements'!D10)</f>
        <v/>
      </c>
      <c r="E13" s="38">
        <f>IF('Business Requirements'!E10="","",'Business Requirements'!E10)</f>
        <v/>
      </c>
      <c r="F13" s="39">
        <f>IF('Business Requirements'!F10="","",'Business Requirements'!F10)</f>
        <v/>
      </c>
      <c r="G13" s="38">
        <f>IF('Business Requirements'!G10="","",'Business Requirements'!G10)</f>
        <v/>
      </c>
    </row>
    <row r="14">
      <c r="A14" s="40">
        <f>IF('Business Requirements'!A11="","",'Business Requirements'!A11)</f>
        <v/>
      </c>
      <c r="B14" s="40">
        <f>IF('Business Requirements'!B11="","",'Business Requirements'!B11)</f>
        <v/>
      </c>
      <c r="C14" s="40">
        <f>IF('Business Requirements'!C11="","",'Business Requirements'!C11)</f>
        <v/>
      </c>
      <c r="D14" s="40">
        <f>IF('Business Requirements'!D11="","",'Business Requirements'!D11)</f>
        <v/>
      </c>
      <c r="E14" s="40">
        <f>IF('Business Requirements'!E11="","",'Business Requirements'!E11)</f>
        <v/>
      </c>
      <c r="F14" s="39">
        <f>IF('Business Requirements'!F11="","",'Business Requirements'!F11)</f>
        <v/>
      </c>
      <c r="G14" s="40">
        <f>IF('Business Requirements'!G11="","",'Business Requirements'!G11)</f>
        <v/>
      </c>
    </row>
    <row r="15">
      <c r="A15" s="38">
        <f>IF('Business Requirements'!A12="","",'Business Requirements'!A12)</f>
        <v/>
      </c>
      <c r="B15" s="38">
        <f>IF('Business Requirements'!B12="","",'Business Requirements'!B12)</f>
        <v/>
      </c>
      <c r="C15" s="38">
        <f>IF('Business Requirements'!C12="","",'Business Requirements'!C12)</f>
        <v/>
      </c>
      <c r="D15" s="38">
        <f>IF('Business Requirements'!D12="","",'Business Requirements'!D12)</f>
        <v/>
      </c>
      <c r="E15" s="38">
        <f>IF('Business Requirements'!E12="","",'Business Requirements'!E12)</f>
        <v/>
      </c>
      <c r="F15" s="39">
        <f>IF('Business Requirements'!F12="","",'Business Requirements'!F12)</f>
        <v/>
      </c>
      <c r="G15" s="38">
        <f>IF('Business Requirements'!G12="","",'Business Requirements'!G12)</f>
        <v/>
      </c>
    </row>
    <row r="16">
      <c r="A16" s="40">
        <f>IF('Business Requirements'!A13="","",'Business Requirements'!A13)</f>
        <v/>
      </c>
      <c r="B16" s="40">
        <f>IF('Business Requirements'!B13="","",'Business Requirements'!B13)</f>
        <v/>
      </c>
      <c r="C16" s="40">
        <f>IF('Business Requirements'!C13="","",'Business Requirements'!C13)</f>
        <v/>
      </c>
      <c r="D16" s="40">
        <f>IF('Business Requirements'!D13="","",'Business Requirements'!D13)</f>
        <v/>
      </c>
      <c r="E16" s="40">
        <f>IF('Business Requirements'!E13="","",'Business Requirements'!E13)</f>
        <v/>
      </c>
      <c r="F16" s="39">
        <f>IF('Business Requirements'!F13="","",'Business Requirements'!F13)</f>
        <v/>
      </c>
      <c r="G16" s="40">
        <f>IF('Business Requirements'!G13="","",'Business Requirements'!G13)</f>
        <v/>
      </c>
    </row>
    <row r="17">
      <c r="A17" s="38">
        <f>IF('Technical Requirements'!A2="","",'Technical Requirements'!A2)</f>
        <v/>
      </c>
      <c r="B17" s="38">
        <f>IF('Technical Requirements'!B2="","",'Technical Requirements'!B2)</f>
        <v/>
      </c>
      <c r="C17" s="38">
        <f>IF('Technical Requirements'!C2="","",'Technical Requirements'!C2)</f>
        <v/>
      </c>
      <c r="D17" s="38">
        <f>IF('Technical Requirements'!D2="","",'Technical Requirements'!D2)</f>
        <v/>
      </c>
      <c r="E17" s="38">
        <f>IF('Technical Requirements'!E2="","",'Technical Requirements'!E2)</f>
        <v/>
      </c>
      <c r="F17" s="39">
        <f>IF('Technical Requirements'!F2="","",'Technical Requirements'!F2)</f>
        <v/>
      </c>
      <c r="G17" s="38">
        <f>IF('Technical Requirements'!G2="","",'Technical Requirements'!G2)</f>
        <v/>
      </c>
    </row>
    <row r="18">
      <c r="A18" s="40">
        <f>IF('Technical Requirements'!A3="","",'Technical Requirements'!A3)</f>
        <v/>
      </c>
      <c r="B18" s="40">
        <f>IF('Technical Requirements'!B3="","",'Technical Requirements'!B3)</f>
        <v/>
      </c>
      <c r="C18" s="40">
        <f>IF('Technical Requirements'!C3="","",'Technical Requirements'!C3)</f>
        <v/>
      </c>
      <c r="D18" s="40">
        <f>IF('Technical Requirements'!D3="","",'Technical Requirements'!D3)</f>
        <v/>
      </c>
      <c r="E18" s="40">
        <f>IF('Technical Requirements'!E3="","",'Technical Requirements'!E3)</f>
        <v/>
      </c>
      <c r="F18" s="39">
        <f>IF('Technical Requirements'!F3="","",'Technical Requirements'!F3)</f>
        <v/>
      </c>
      <c r="G18" s="40">
        <f>IF('Technical Requirements'!G3="","",'Technical Requirements'!G3)</f>
        <v/>
      </c>
    </row>
    <row r="19">
      <c r="A19" s="38">
        <f>IF('Technical Requirements'!A4="","",'Technical Requirements'!A4)</f>
        <v/>
      </c>
      <c r="B19" s="38">
        <f>IF('Technical Requirements'!B4="","",'Technical Requirements'!B4)</f>
        <v/>
      </c>
      <c r="C19" s="38">
        <f>IF('Technical Requirements'!C4="","",'Technical Requirements'!C4)</f>
        <v/>
      </c>
      <c r="D19" s="38">
        <f>IF('Technical Requirements'!D4="","",'Technical Requirements'!D4)</f>
        <v/>
      </c>
      <c r="E19" s="38">
        <f>IF('Technical Requirements'!E4="","",'Technical Requirements'!E4)</f>
        <v/>
      </c>
      <c r="F19" s="39">
        <f>IF('Technical Requirements'!F4="","",'Technical Requirements'!F4)</f>
        <v/>
      </c>
      <c r="G19" s="38">
        <f>IF('Technical Requirements'!G4="","",'Technical Requirements'!G4)</f>
        <v/>
      </c>
    </row>
    <row r="20">
      <c r="A20" s="40">
        <f>IF('Technical Requirements'!A5="","",'Technical Requirements'!A5)</f>
        <v/>
      </c>
      <c r="B20" s="40">
        <f>IF('Technical Requirements'!B5="","",'Technical Requirements'!B5)</f>
        <v/>
      </c>
      <c r="C20" s="40">
        <f>IF('Technical Requirements'!C5="","",'Technical Requirements'!C5)</f>
        <v/>
      </c>
      <c r="D20" s="40">
        <f>IF('Technical Requirements'!D5="","",'Technical Requirements'!D5)</f>
        <v/>
      </c>
      <c r="E20" s="40">
        <f>IF('Technical Requirements'!E5="","",'Technical Requirements'!E5)</f>
        <v/>
      </c>
      <c r="F20" s="39">
        <f>IF('Technical Requirements'!F5="","",'Technical Requirements'!F5)</f>
        <v/>
      </c>
      <c r="G20" s="40">
        <f>IF('Technical Requirements'!G5="","",'Technical Requirements'!G5)</f>
        <v/>
      </c>
    </row>
    <row r="21">
      <c r="A21" s="38">
        <f>IF('Technical Requirements'!A6="","",'Technical Requirements'!A6)</f>
        <v/>
      </c>
      <c r="B21" s="38">
        <f>IF('Technical Requirements'!B6="","",'Technical Requirements'!B6)</f>
        <v/>
      </c>
      <c r="C21" s="38">
        <f>IF('Technical Requirements'!C6="","",'Technical Requirements'!C6)</f>
        <v/>
      </c>
      <c r="D21" s="38">
        <f>IF('Technical Requirements'!D6="","",'Technical Requirements'!D6)</f>
        <v/>
      </c>
      <c r="E21" s="38">
        <f>IF('Technical Requirements'!E6="","",'Technical Requirements'!E6)</f>
        <v/>
      </c>
      <c r="F21" s="39">
        <f>IF('Technical Requirements'!F6="","",'Technical Requirements'!F6)</f>
        <v/>
      </c>
      <c r="G21" s="38">
        <f>IF('Technical Requirements'!G6="","",'Technical Requirements'!G6)</f>
        <v/>
      </c>
    </row>
    <row r="22">
      <c r="A22" s="40">
        <f>IF('Technical Requirements'!A7="","",'Technical Requirements'!A7)</f>
        <v/>
      </c>
      <c r="B22" s="40">
        <f>IF('Technical Requirements'!B7="","",'Technical Requirements'!B7)</f>
        <v/>
      </c>
      <c r="C22" s="40">
        <f>IF('Technical Requirements'!C7="","",'Technical Requirements'!C7)</f>
        <v/>
      </c>
      <c r="D22" s="40">
        <f>IF('Technical Requirements'!D7="","",'Technical Requirements'!D7)</f>
        <v/>
      </c>
      <c r="E22" s="40">
        <f>IF('Technical Requirements'!E7="","",'Technical Requirements'!E7)</f>
        <v/>
      </c>
      <c r="F22" s="39">
        <f>IF('Technical Requirements'!F7="","",'Technical Requirements'!F7)</f>
        <v/>
      </c>
      <c r="G22" s="40">
        <f>IF('Technical Requirements'!G7="","",'Technical Requirements'!G7)</f>
        <v/>
      </c>
    </row>
    <row r="23">
      <c r="A23" s="38">
        <f>IF('Technical Requirements'!A8="","",'Technical Requirements'!A8)</f>
        <v/>
      </c>
      <c r="B23" s="38">
        <f>IF('Technical Requirements'!B8="","",'Technical Requirements'!B8)</f>
        <v/>
      </c>
      <c r="C23" s="38">
        <f>IF('Technical Requirements'!C8="","",'Technical Requirements'!C8)</f>
        <v/>
      </c>
      <c r="D23" s="38">
        <f>IF('Technical Requirements'!D8="","",'Technical Requirements'!D8)</f>
        <v/>
      </c>
      <c r="E23" s="38">
        <f>IF('Technical Requirements'!E8="","",'Technical Requirements'!E8)</f>
        <v/>
      </c>
      <c r="F23" s="39">
        <f>IF('Technical Requirements'!F8="","",'Technical Requirements'!F8)</f>
        <v/>
      </c>
      <c r="G23" s="38">
        <f>IF('Technical Requirements'!G8="","",'Technical Requirements'!G8)</f>
        <v/>
      </c>
    </row>
    <row r="24">
      <c r="A24" s="40">
        <f>IF('Technical Requirements'!A9="","",'Technical Requirements'!A9)</f>
        <v/>
      </c>
      <c r="B24" s="40">
        <f>IF('Technical Requirements'!B9="","",'Technical Requirements'!B9)</f>
        <v/>
      </c>
      <c r="C24" s="40">
        <f>IF('Technical Requirements'!C9="","",'Technical Requirements'!C9)</f>
        <v/>
      </c>
      <c r="D24" s="40">
        <f>IF('Technical Requirements'!D9="","",'Technical Requirements'!D9)</f>
        <v/>
      </c>
      <c r="E24" s="40">
        <f>IF('Technical Requirements'!E9="","",'Technical Requirements'!E9)</f>
        <v/>
      </c>
      <c r="F24" s="39">
        <f>IF('Technical Requirements'!F9="","",'Technical Requirements'!F9)</f>
        <v/>
      </c>
      <c r="G24" s="40">
        <f>IF('Technical Requirements'!G9="","",'Technical Requirements'!G9)</f>
        <v/>
      </c>
    </row>
    <row r="25">
      <c r="A25" s="38">
        <f>IF('Technical Requirements'!A10="","",'Technical Requirements'!A10)</f>
        <v/>
      </c>
      <c r="B25" s="38">
        <f>IF('Technical Requirements'!B10="","",'Technical Requirements'!B10)</f>
        <v/>
      </c>
      <c r="C25" s="38">
        <f>IF('Technical Requirements'!C10="","",'Technical Requirements'!C10)</f>
        <v/>
      </c>
      <c r="D25" s="38">
        <f>IF('Technical Requirements'!D10="","",'Technical Requirements'!D10)</f>
        <v/>
      </c>
      <c r="E25" s="38">
        <f>IF('Technical Requirements'!E10="","",'Technical Requirements'!E10)</f>
        <v/>
      </c>
      <c r="F25" s="39">
        <f>IF('Technical Requirements'!F10="","",'Technical Requirements'!F10)</f>
        <v/>
      </c>
      <c r="G25" s="38">
        <f>IF('Technical Requirements'!G10="","",'Technical Requirements'!G10)</f>
        <v/>
      </c>
    </row>
    <row r="26">
      <c r="A26" s="40">
        <f>IF('Technical Requirements'!A11="","",'Technical Requirements'!A11)</f>
        <v/>
      </c>
      <c r="B26" s="40">
        <f>IF('Technical Requirements'!B11="","",'Technical Requirements'!B11)</f>
        <v/>
      </c>
      <c r="C26" s="40">
        <f>IF('Technical Requirements'!C11="","",'Technical Requirements'!C11)</f>
        <v/>
      </c>
      <c r="D26" s="40">
        <f>IF('Technical Requirements'!D11="","",'Technical Requirements'!D11)</f>
        <v/>
      </c>
      <c r="E26" s="40">
        <f>IF('Technical Requirements'!E11="","",'Technical Requirements'!E11)</f>
        <v/>
      </c>
      <c r="F26" s="39">
        <f>IF('Technical Requirements'!F11="","",'Technical Requirements'!F11)</f>
        <v/>
      </c>
      <c r="G26" s="40">
        <f>IF('Technical Requirements'!G11="","",'Technical Requirements'!G11)</f>
        <v/>
      </c>
    </row>
    <row r="27">
      <c r="A27" s="38">
        <f>IF('Technical Requirements'!A12="","",'Technical Requirements'!A12)</f>
        <v/>
      </c>
      <c r="B27" s="38">
        <f>IF('Technical Requirements'!B12="","",'Technical Requirements'!B12)</f>
        <v/>
      </c>
      <c r="C27" s="38">
        <f>IF('Technical Requirements'!C12="","",'Technical Requirements'!C12)</f>
        <v/>
      </c>
      <c r="D27" s="38">
        <f>IF('Technical Requirements'!D12="","",'Technical Requirements'!D12)</f>
        <v/>
      </c>
      <c r="E27" s="38">
        <f>IF('Technical Requirements'!E12="","",'Technical Requirements'!E12)</f>
        <v/>
      </c>
      <c r="F27" s="39">
        <f>IF('Technical Requirements'!F12="","",'Technical Requirements'!F12)</f>
        <v/>
      </c>
      <c r="G27" s="38">
        <f>IF('Technical Requirements'!G12="","",'Technical Requirements'!G12)</f>
        <v/>
      </c>
    </row>
    <row r="28">
      <c r="A28" s="40">
        <f>IF('Technical Requirements'!A13="","",'Technical Requirements'!A13)</f>
        <v/>
      </c>
      <c r="B28" s="40">
        <f>IF('Technical Requirements'!B13="","",'Technical Requirements'!B13)</f>
        <v/>
      </c>
      <c r="C28" s="40">
        <f>IF('Technical Requirements'!C13="","",'Technical Requirements'!C13)</f>
        <v/>
      </c>
      <c r="D28" s="40">
        <f>IF('Technical Requirements'!D13="","",'Technical Requirements'!D13)</f>
        <v/>
      </c>
      <c r="E28" s="40">
        <f>IF('Technical Requirements'!E13="","",'Technical Requirements'!E13)</f>
        <v/>
      </c>
      <c r="F28" s="39">
        <f>IF('Technical Requirements'!F13="","",'Technical Requirements'!F13)</f>
        <v/>
      </c>
      <c r="G28" s="40">
        <f>IF('Technical Requirements'!G13="","",'Technical Requirements'!G13)</f>
        <v/>
      </c>
    </row>
    <row r="29">
      <c r="A29" s="38">
        <f>IF('Technical Requirements'!A14="","",'Technical Requirements'!A14)</f>
        <v/>
      </c>
      <c r="B29" s="38">
        <f>IF('Technical Requirements'!B14="","",'Technical Requirements'!B14)</f>
        <v/>
      </c>
      <c r="C29" s="38">
        <f>IF('Technical Requirements'!C14="","",'Technical Requirements'!C14)</f>
        <v/>
      </c>
      <c r="D29" s="38">
        <f>IF('Technical Requirements'!D14="","",'Technical Requirements'!D14)</f>
        <v/>
      </c>
      <c r="E29" s="38">
        <f>IF('Technical Requirements'!E14="","",'Technical Requirements'!E14)</f>
        <v/>
      </c>
      <c r="F29" s="39">
        <f>IF('Technical Requirements'!F14="","",'Technical Requirements'!F14)</f>
        <v/>
      </c>
      <c r="G29" s="38">
        <f>IF('Technical Requirements'!G14="","",'Technical Requirements'!G14)</f>
        <v/>
      </c>
    </row>
    <row r="30">
      <c r="A30" s="40">
        <f>IF('Technical Requirements'!A15="","",'Technical Requirements'!A15)</f>
        <v/>
      </c>
      <c r="B30" s="40">
        <f>IF('Technical Requirements'!B15="","",'Technical Requirements'!B15)</f>
        <v/>
      </c>
      <c r="C30" s="40">
        <f>IF('Technical Requirements'!C15="","",'Technical Requirements'!C15)</f>
        <v/>
      </c>
      <c r="D30" s="40">
        <f>IF('Technical Requirements'!D15="","",'Technical Requirements'!D15)</f>
        <v/>
      </c>
      <c r="E30" s="40">
        <f>IF('Technical Requirements'!E15="","",'Technical Requirements'!E15)</f>
        <v/>
      </c>
      <c r="F30" s="39">
        <f>IF('Technical Requirements'!F15="","",'Technical Requirements'!F15)</f>
        <v/>
      </c>
      <c r="G30" s="40">
        <f>IF('Technical Requirements'!G15="","",'Technical Requirements'!G15)</f>
        <v/>
      </c>
    </row>
    <row r="31">
      <c r="A31" s="38">
        <f>IF('Technical Requirements'!A16="","",'Technical Requirements'!A16)</f>
        <v/>
      </c>
      <c r="B31" s="38">
        <f>IF('Technical Requirements'!B16="","",'Technical Requirements'!B16)</f>
        <v/>
      </c>
      <c r="C31" s="38">
        <f>IF('Technical Requirements'!C16="","",'Technical Requirements'!C16)</f>
        <v/>
      </c>
      <c r="D31" s="38">
        <f>IF('Technical Requirements'!D16="","",'Technical Requirements'!D16)</f>
        <v/>
      </c>
      <c r="E31" s="38">
        <f>IF('Technical Requirements'!E16="","",'Technical Requirements'!E16)</f>
        <v/>
      </c>
      <c r="F31" s="39">
        <f>IF('Technical Requirements'!F16="","",'Technical Requirements'!F16)</f>
        <v/>
      </c>
      <c r="G31" s="38">
        <f>IF('Technical Requirements'!G16="","",'Technical Requirements'!G16)</f>
        <v/>
      </c>
    </row>
    <row r="32">
      <c r="A32" s="40">
        <f>IF('Technical Requirements'!A17="","",'Technical Requirements'!A17)</f>
        <v/>
      </c>
      <c r="B32" s="40">
        <f>IF('Technical Requirements'!B17="","",'Technical Requirements'!B17)</f>
        <v/>
      </c>
      <c r="C32" s="40">
        <f>IF('Technical Requirements'!C17="","",'Technical Requirements'!C17)</f>
        <v/>
      </c>
      <c r="D32" s="40">
        <f>IF('Technical Requirements'!D17="","",'Technical Requirements'!D17)</f>
        <v/>
      </c>
      <c r="E32" s="40">
        <f>IF('Technical Requirements'!E17="","",'Technical Requirements'!E17)</f>
        <v/>
      </c>
      <c r="F32" s="39">
        <f>IF('Technical Requirements'!F17="","",'Technical Requirements'!F17)</f>
        <v/>
      </c>
      <c r="G32" s="40">
        <f>IF('Technical Requirements'!G17="","",'Technical Requirements'!G17)</f>
        <v/>
      </c>
    </row>
    <row r="33">
      <c r="A33" s="38">
        <f>IF('Technical Requirements'!A18="","",'Technical Requirements'!A18)</f>
        <v/>
      </c>
      <c r="B33" s="38">
        <f>IF('Technical Requirements'!B18="","",'Technical Requirements'!B18)</f>
        <v/>
      </c>
      <c r="C33" s="38">
        <f>IF('Technical Requirements'!C18="","",'Technical Requirements'!C18)</f>
        <v/>
      </c>
      <c r="D33" s="38">
        <f>IF('Technical Requirements'!D18="","",'Technical Requirements'!D18)</f>
        <v/>
      </c>
      <c r="E33" s="38">
        <f>IF('Technical Requirements'!E18="","",'Technical Requirements'!E18)</f>
        <v/>
      </c>
      <c r="F33" s="39">
        <f>IF('Technical Requirements'!F18="","",'Technical Requirements'!F18)</f>
        <v/>
      </c>
      <c r="G33" s="38">
        <f>IF('Technical Requirements'!G18="","",'Technical Requirements'!G18)</f>
        <v/>
      </c>
    </row>
    <row r="34">
      <c r="A34" s="40">
        <f>IF('Technical Requirements'!A19="","",'Technical Requirements'!A19)</f>
        <v/>
      </c>
      <c r="B34" s="40">
        <f>IF('Technical Requirements'!B19="","",'Technical Requirements'!B19)</f>
        <v/>
      </c>
      <c r="C34" s="40">
        <f>IF('Technical Requirements'!C19="","",'Technical Requirements'!C19)</f>
        <v/>
      </c>
      <c r="D34" s="40">
        <f>IF('Technical Requirements'!D19="","",'Technical Requirements'!D19)</f>
        <v/>
      </c>
      <c r="E34" s="40">
        <f>IF('Technical Requirements'!E19="","",'Technical Requirements'!E19)</f>
        <v/>
      </c>
      <c r="F34" s="39">
        <f>IF('Technical Requirements'!F19="","",'Technical Requirements'!F19)</f>
        <v/>
      </c>
      <c r="G34" s="40">
        <f>IF('Technical Requirements'!G19="","",'Technical Requirements'!G19)</f>
        <v/>
      </c>
    </row>
    <row r="35">
      <c r="A35" s="38">
        <f>IF('Technical Requirements'!A20="","",'Technical Requirements'!A20)</f>
        <v/>
      </c>
      <c r="B35" s="38">
        <f>IF('Technical Requirements'!B20="","",'Technical Requirements'!B20)</f>
        <v/>
      </c>
      <c r="C35" s="38">
        <f>IF('Technical Requirements'!C20="","",'Technical Requirements'!C20)</f>
        <v/>
      </c>
      <c r="D35" s="38">
        <f>IF('Technical Requirements'!D20="","",'Technical Requirements'!D20)</f>
        <v/>
      </c>
      <c r="E35" s="38">
        <f>IF('Technical Requirements'!E20="","",'Technical Requirements'!E20)</f>
        <v/>
      </c>
      <c r="F35" s="39">
        <f>IF('Technical Requirements'!F20="","",'Technical Requirements'!F20)</f>
        <v/>
      </c>
      <c r="G35" s="38">
        <f>IF('Technical Requirements'!G20="","",'Technical Requirements'!G20)</f>
        <v/>
      </c>
    </row>
    <row r="36">
      <c r="A36" s="40">
        <f>IF('Technical Requirements'!A21="","",'Technical Requirements'!A21)</f>
        <v/>
      </c>
      <c r="B36" s="40">
        <f>IF('Technical Requirements'!B21="","",'Technical Requirements'!B21)</f>
        <v/>
      </c>
      <c r="C36" s="40">
        <f>IF('Technical Requirements'!C21="","",'Technical Requirements'!C21)</f>
        <v/>
      </c>
      <c r="D36" s="40">
        <f>IF('Technical Requirements'!D21="","",'Technical Requirements'!D21)</f>
        <v/>
      </c>
      <c r="E36" s="40">
        <f>IF('Technical Requirements'!E21="","",'Technical Requirements'!E21)</f>
        <v/>
      </c>
      <c r="F36" s="39">
        <f>IF('Technical Requirements'!F21="","",'Technical Requirements'!F21)</f>
        <v/>
      </c>
      <c r="G36" s="40">
        <f>IF('Technical Requirements'!G21="","",'Technical Requirements'!G21)</f>
        <v/>
      </c>
    </row>
    <row r="37">
      <c r="A37" s="38">
        <f>IF('Security &amp; Compliance'!A2="","",'Security &amp; Compliance'!A2)</f>
        <v/>
      </c>
      <c r="B37" s="38">
        <f>IF('Security &amp; Compliance'!B2="","",'Security &amp; Compliance'!B2)</f>
        <v/>
      </c>
      <c r="C37" s="38">
        <f>IF('Security &amp; Compliance'!C2="","",'Security &amp; Compliance'!C2)</f>
        <v/>
      </c>
      <c r="D37" s="38">
        <f>IF('Security &amp; Compliance'!D2="","",'Security &amp; Compliance'!D2)</f>
        <v/>
      </c>
      <c r="E37" s="38">
        <f>IF('Security &amp; Compliance'!E2="","",'Security &amp; Compliance'!E2)</f>
        <v/>
      </c>
      <c r="F37" s="39">
        <f>IF('Security &amp; Compliance'!F2="","",'Security &amp; Compliance'!F2)</f>
        <v/>
      </c>
      <c r="G37" s="38">
        <f>IF('Security &amp; Compliance'!G2="","",'Security &amp; Compliance'!G2)</f>
        <v/>
      </c>
    </row>
    <row r="38">
      <c r="A38" s="40">
        <f>IF('Security &amp; Compliance'!A3="","",'Security &amp; Compliance'!A3)</f>
        <v/>
      </c>
      <c r="B38" s="40">
        <f>IF('Security &amp; Compliance'!B3="","",'Security &amp; Compliance'!B3)</f>
        <v/>
      </c>
      <c r="C38" s="40">
        <f>IF('Security &amp; Compliance'!C3="","",'Security &amp; Compliance'!C3)</f>
        <v/>
      </c>
      <c r="D38" s="40">
        <f>IF('Security &amp; Compliance'!D3="","",'Security &amp; Compliance'!D3)</f>
        <v/>
      </c>
      <c r="E38" s="40">
        <f>IF('Security &amp; Compliance'!E3="","",'Security &amp; Compliance'!E3)</f>
        <v/>
      </c>
      <c r="F38" s="39">
        <f>IF('Security &amp; Compliance'!F3="","",'Security &amp; Compliance'!F3)</f>
        <v/>
      </c>
      <c r="G38" s="40">
        <f>IF('Security &amp; Compliance'!G3="","",'Security &amp; Compliance'!G3)</f>
        <v/>
      </c>
    </row>
    <row r="39">
      <c r="A39" s="38">
        <f>IF('Security &amp; Compliance'!A4="","",'Security &amp; Compliance'!A4)</f>
        <v/>
      </c>
      <c r="B39" s="38">
        <f>IF('Security &amp; Compliance'!B4="","",'Security &amp; Compliance'!B4)</f>
        <v/>
      </c>
      <c r="C39" s="38">
        <f>IF('Security &amp; Compliance'!C4="","",'Security &amp; Compliance'!C4)</f>
        <v/>
      </c>
      <c r="D39" s="38">
        <f>IF('Security &amp; Compliance'!D4="","",'Security &amp; Compliance'!D4)</f>
        <v/>
      </c>
      <c r="E39" s="38">
        <f>IF('Security &amp; Compliance'!E4="","",'Security &amp; Compliance'!E4)</f>
        <v/>
      </c>
      <c r="F39" s="39">
        <f>IF('Security &amp; Compliance'!F4="","",'Security &amp; Compliance'!F4)</f>
        <v/>
      </c>
      <c r="G39" s="38">
        <f>IF('Security &amp; Compliance'!G4="","",'Security &amp; Compliance'!G4)</f>
        <v/>
      </c>
    </row>
    <row r="40">
      <c r="A40" s="40">
        <f>IF('Security &amp; Compliance'!A5="","",'Security &amp; Compliance'!A5)</f>
        <v/>
      </c>
      <c r="B40" s="40">
        <f>IF('Security &amp; Compliance'!B5="","",'Security &amp; Compliance'!B5)</f>
        <v/>
      </c>
      <c r="C40" s="40">
        <f>IF('Security &amp; Compliance'!C5="","",'Security &amp; Compliance'!C5)</f>
        <v/>
      </c>
      <c r="D40" s="40">
        <f>IF('Security &amp; Compliance'!D5="","",'Security &amp; Compliance'!D5)</f>
        <v/>
      </c>
      <c r="E40" s="40">
        <f>IF('Security &amp; Compliance'!E5="","",'Security &amp; Compliance'!E5)</f>
        <v/>
      </c>
      <c r="F40" s="39">
        <f>IF('Security &amp; Compliance'!F5="","",'Security &amp; Compliance'!F5)</f>
        <v/>
      </c>
      <c r="G40" s="40">
        <f>IF('Security &amp; Compliance'!G5="","",'Security &amp; Compliance'!G5)</f>
        <v/>
      </c>
    </row>
    <row r="41">
      <c r="A41" s="38">
        <f>IF('Security &amp; Compliance'!A6="","",'Security &amp; Compliance'!A6)</f>
        <v/>
      </c>
      <c r="B41" s="38">
        <f>IF('Security &amp; Compliance'!B6="","",'Security &amp; Compliance'!B6)</f>
        <v/>
      </c>
      <c r="C41" s="38">
        <f>IF('Security &amp; Compliance'!C6="","",'Security &amp; Compliance'!C6)</f>
        <v/>
      </c>
      <c r="D41" s="38">
        <f>IF('Security &amp; Compliance'!D6="","",'Security &amp; Compliance'!D6)</f>
        <v/>
      </c>
      <c r="E41" s="38">
        <f>IF('Security &amp; Compliance'!E6="","",'Security &amp; Compliance'!E6)</f>
        <v/>
      </c>
      <c r="F41" s="39">
        <f>IF('Security &amp; Compliance'!F6="","",'Security &amp; Compliance'!F6)</f>
        <v/>
      </c>
      <c r="G41" s="38">
        <f>IF('Security &amp; Compliance'!G6="","",'Security &amp; Compliance'!G6)</f>
        <v/>
      </c>
    </row>
    <row r="42">
      <c r="A42" s="40">
        <f>IF('Security &amp; Compliance'!A7="","",'Security &amp; Compliance'!A7)</f>
        <v/>
      </c>
      <c r="B42" s="40">
        <f>IF('Security &amp; Compliance'!B7="","",'Security &amp; Compliance'!B7)</f>
        <v/>
      </c>
      <c r="C42" s="40">
        <f>IF('Security &amp; Compliance'!C7="","",'Security &amp; Compliance'!C7)</f>
        <v/>
      </c>
      <c r="D42" s="40">
        <f>IF('Security &amp; Compliance'!D7="","",'Security &amp; Compliance'!D7)</f>
        <v/>
      </c>
      <c r="E42" s="40">
        <f>IF('Security &amp; Compliance'!E7="","",'Security &amp; Compliance'!E7)</f>
        <v/>
      </c>
      <c r="F42" s="39">
        <f>IF('Security &amp; Compliance'!F7="","",'Security &amp; Compliance'!F7)</f>
        <v/>
      </c>
      <c r="G42" s="40">
        <f>IF('Security &amp; Compliance'!G7="","",'Security &amp; Compliance'!G7)</f>
        <v/>
      </c>
    </row>
    <row r="43">
      <c r="A43" s="38">
        <f>IF('Security &amp; Compliance'!A8="","",'Security &amp; Compliance'!A8)</f>
        <v/>
      </c>
      <c r="B43" s="38">
        <f>IF('Security &amp; Compliance'!B8="","",'Security &amp; Compliance'!B8)</f>
        <v/>
      </c>
      <c r="C43" s="38">
        <f>IF('Security &amp; Compliance'!C8="","",'Security &amp; Compliance'!C8)</f>
        <v/>
      </c>
      <c r="D43" s="38">
        <f>IF('Security &amp; Compliance'!D8="","",'Security &amp; Compliance'!D8)</f>
        <v/>
      </c>
      <c r="E43" s="38">
        <f>IF('Security &amp; Compliance'!E8="","",'Security &amp; Compliance'!E8)</f>
        <v/>
      </c>
      <c r="F43" s="39">
        <f>IF('Security &amp; Compliance'!F8="","",'Security &amp; Compliance'!F8)</f>
        <v/>
      </c>
      <c r="G43" s="38">
        <f>IF('Security &amp; Compliance'!G8="","",'Security &amp; Compliance'!G8)</f>
        <v/>
      </c>
    </row>
    <row r="44">
      <c r="A44" s="40">
        <f>IF('Security &amp; Compliance'!A9="","",'Security &amp; Compliance'!A9)</f>
        <v/>
      </c>
      <c r="B44" s="40">
        <f>IF('Security &amp; Compliance'!B9="","",'Security &amp; Compliance'!B9)</f>
        <v/>
      </c>
      <c r="C44" s="40">
        <f>IF('Security &amp; Compliance'!C9="","",'Security &amp; Compliance'!C9)</f>
        <v/>
      </c>
      <c r="D44" s="40">
        <f>IF('Security &amp; Compliance'!D9="","",'Security &amp; Compliance'!D9)</f>
        <v/>
      </c>
      <c r="E44" s="40">
        <f>IF('Security &amp; Compliance'!E9="","",'Security &amp; Compliance'!E9)</f>
        <v/>
      </c>
      <c r="F44" s="39">
        <f>IF('Security &amp; Compliance'!F9="","",'Security &amp; Compliance'!F9)</f>
        <v/>
      </c>
      <c r="G44" s="40">
        <f>IF('Security &amp; Compliance'!G9="","",'Security &amp; Compliance'!G9)</f>
        <v/>
      </c>
    </row>
    <row r="45">
      <c r="A45" s="38">
        <f>IF('Security &amp; Compliance'!A10="","",'Security &amp; Compliance'!A10)</f>
        <v/>
      </c>
      <c r="B45" s="38">
        <f>IF('Security &amp; Compliance'!B10="","",'Security &amp; Compliance'!B10)</f>
        <v/>
      </c>
      <c r="C45" s="38">
        <f>IF('Security &amp; Compliance'!C10="","",'Security &amp; Compliance'!C10)</f>
        <v/>
      </c>
      <c r="D45" s="38">
        <f>IF('Security &amp; Compliance'!D10="","",'Security &amp; Compliance'!D10)</f>
        <v/>
      </c>
      <c r="E45" s="38">
        <f>IF('Security &amp; Compliance'!E10="","",'Security &amp; Compliance'!E10)</f>
        <v/>
      </c>
      <c r="F45" s="39">
        <f>IF('Security &amp; Compliance'!F10="","",'Security &amp; Compliance'!F10)</f>
        <v/>
      </c>
      <c r="G45" s="38">
        <f>IF('Security &amp; Compliance'!G10="","",'Security &amp; Compliance'!G10)</f>
        <v/>
      </c>
    </row>
    <row r="46">
      <c r="A46" s="40">
        <f>IF('Security &amp; Compliance'!A11="","",'Security &amp; Compliance'!A11)</f>
        <v/>
      </c>
      <c r="B46" s="40">
        <f>IF('Security &amp; Compliance'!B11="","",'Security &amp; Compliance'!B11)</f>
        <v/>
      </c>
      <c r="C46" s="40">
        <f>IF('Security &amp; Compliance'!C11="","",'Security &amp; Compliance'!C11)</f>
        <v/>
      </c>
      <c r="D46" s="40">
        <f>IF('Security &amp; Compliance'!D11="","",'Security &amp; Compliance'!D11)</f>
        <v/>
      </c>
      <c r="E46" s="40">
        <f>IF('Security &amp; Compliance'!E11="","",'Security &amp; Compliance'!E11)</f>
        <v/>
      </c>
      <c r="F46" s="39">
        <f>IF('Security &amp; Compliance'!F11="","",'Security &amp; Compliance'!F11)</f>
        <v/>
      </c>
      <c r="G46" s="40">
        <f>IF('Security &amp; Compliance'!G11="","",'Security &amp; Compliance'!G11)</f>
        <v/>
      </c>
    </row>
    <row r="47">
      <c r="A47" s="38">
        <f>IF('Security &amp; Compliance'!A12="","",'Security &amp; Compliance'!A12)</f>
        <v/>
      </c>
      <c r="B47" s="38">
        <f>IF('Security &amp; Compliance'!B12="","",'Security &amp; Compliance'!B12)</f>
        <v/>
      </c>
      <c r="C47" s="38">
        <f>IF('Security &amp; Compliance'!C12="","",'Security &amp; Compliance'!C12)</f>
        <v/>
      </c>
      <c r="D47" s="38">
        <f>IF('Security &amp; Compliance'!D12="","",'Security &amp; Compliance'!D12)</f>
        <v/>
      </c>
      <c r="E47" s="38">
        <f>IF('Security &amp; Compliance'!E12="","",'Security &amp; Compliance'!E12)</f>
        <v/>
      </c>
      <c r="F47" s="39">
        <f>IF('Security &amp; Compliance'!F12="","",'Security &amp; Compliance'!F12)</f>
        <v/>
      </c>
      <c r="G47" s="38">
        <f>IF('Security &amp; Compliance'!G12="","",'Security &amp; Compliance'!G12)</f>
        <v/>
      </c>
    </row>
    <row r="48">
      <c r="A48" s="40">
        <f>IF('Security &amp; Compliance'!A13="","",'Security &amp; Compliance'!A13)</f>
        <v/>
      </c>
      <c r="B48" s="40">
        <f>IF('Security &amp; Compliance'!B13="","",'Security &amp; Compliance'!B13)</f>
        <v/>
      </c>
      <c r="C48" s="40">
        <f>IF('Security &amp; Compliance'!C13="","",'Security &amp; Compliance'!C13)</f>
        <v/>
      </c>
      <c r="D48" s="40">
        <f>IF('Security &amp; Compliance'!D13="","",'Security &amp; Compliance'!D13)</f>
        <v/>
      </c>
      <c r="E48" s="40">
        <f>IF('Security &amp; Compliance'!E13="","",'Security &amp; Compliance'!E13)</f>
        <v/>
      </c>
      <c r="F48" s="39">
        <f>IF('Security &amp; Compliance'!F13="","",'Security &amp; Compliance'!F13)</f>
        <v/>
      </c>
      <c r="G48" s="40">
        <f>IF('Security &amp; Compliance'!G13="","",'Security &amp; Compliance'!G13)</f>
        <v/>
      </c>
    </row>
    <row r="49">
      <c r="A49" s="38">
        <f>IF('Operations &amp; Support'!A2="","",'Operations &amp; Support'!A2)</f>
        <v/>
      </c>
      <c r="B49" s="38">
        <f>IF('Operations &amp; Support'!B2="","",'Operations &amp; Support'!B2)</f>
        <v/>
      </c>
      <c r="C49" s="38">
        <f>IF('Operations &amp; Support'!C2="","",'Operations &amp; Support'!C2)</f>
        <v/>
      </c>
      <c r="D49" s="38">
        <f>IF('Operations &amp; Support'!D2="","",'Operations &amp; Support'!D2)</f>
        <v/>
      </c>
      <c r="E49" s="38">
        <f>IF('Operations &amp; Support'!E2="","",'Operations &amp; Support'!E2)</f>
        <v/>
      </c>
      <c r="F49" s="39">
        <f>IF('Operations &amp; Support'!F2="","",'Operations &amp; Support'!F2)</f>
        <v/>
      </c>
      <c r="G49" s="38">
        <f>IF('Operations &amp; Support'!G2="","",'Operations &amp; Support'!G2)</f>
        <v/>
      </c>
    </row>
    <row r="50">
      <c r="A50" s="40">
        <f>IF('Operations &amp; Support'!A3="","",'Operations &amp; Support'!A3)</f>
        <v/>
      </c>
      <c r="B50" s="40">
        <f>IF('Operations &amp; Support'!B3="","",'Operations &amp; Support'!B3)</f>
        <v/>
      </c>
      <c r="C50" s="40">
        <f>IF('Operations &amp; Support'!C3="","",'Operations &amp; Support'!C3)</f>
        <v/>
      </c>
      <c r="D50" s="40">
        <f>IF('Operations &amp; Support'!D3="","",'Operations &amp; Support'!D3)</f>
        <v/>
      </c>
      <c r="E50" s="40">
        <f>IF('Operations &amp; Support'!E3="","",'Operations &amp; Support'!E3)</f>
        <v/>
      </c>
      <c r="F50" s="39">
        <f>IF('Operations &amp; Support'!F3="","",'Operations &amp; Support'!F3)</f>
        <v/>
      </c>
      <c r="G50" s="40">
        <f>IF('Operations &amp; Support'!G3="","",'Operations &amp; Support'!G3)</f>
        <v/>
      </c>
    </row>
    <row r="51">
      <c r="A51" s="38">
        <f>IF('Operations &amp; Support'!A4="","",'Operations &amp; Support'!A4)</f>
        <v/>
      </c>
      <c r="B51" s="38">
        <f>IF('Operations &amp; Support'!B4="","",'Operations &amp; Support'!B4)</f>
        <v/>
      </c>
      <c r="C51" s="38">
        <f>IF('Operations &amp; Support'!C4="","",'Operations &amp; Support'!C4)</f>
        <v/>
      </c>
      <c r="D51" s="38">
        <f>IF('Operations &amp; Support'!D4="","",'Operations &amp; Support'!D4)</f>
        <v/>
      </c>
      <c r="E51" s="38">
        <f>IF('Operations &amp; Support'!E4="","",'Operations &amp; Support'!E4)</f>
        <v/>
      </c>
      <c r="F51" s="39">
        <f>IF('Operations &amp; Support'!F4="","",'Operations &amp; Support'!F4)</f>
        <v/>
      </c>
      <c r="G51" s="38">
        <f>IF('Operations &amp; Support'!G4="","",'Operations &amp; Support'!G4)</f>
        <v/>
      </c>
    </row>
    <row r="52">
      <c r="A52" s="40">
        <f>IF('Operations &amp; Support'!A5="","",'Operations &amp; Support'!A5)</f>
        <v/>
      </c>
      <c r="B52" s="40">
        <f>IF('Operations &amp; Support'!B5="","",'Operations &amp; Support'!B5)</f>
        <v/>
      </c>
      <c r="C52" s="40">
        <f>IF('Operations &amp; Support'!C5="","",'Operations &amp; Support'!C5)</f>
        <v/>
      </c>
      <c r="D52" s="40">
        <f>IF('Operations &amp; Support'!D5="","",'Operations &amp; Support'!D5)</f>
        <v/>
      </c>
      <c r="E52" s="40">
        <f>IF('Operations &amp; Support'!E5="","",'Operations &amp; Support'!E5)</f>
        <v/>
      </c>
      <c r="F52" s="39">
        <f>IF('Operations &amp; Support'!F5="","",'Operations &amp; Support'!F5)</f>
        <v/>
      </c>
      <c r="G52" s="40">
        <f>IF('Operations &amp; Support'!G5="","",'Operations &amp; Support'!G5)</f>
        <v/>
      </c>
    </row>
    <row r="53">
      <c r="A53" s="38">
        <f>IF('Operations &amp; Support'!A6="","",'Operations &amp; Support'!A6)</f>
        <v/>
      </c>
      <c r="B53" s="38">
        <f>IF('Operations &amp; Support'!B6="","",'Operations &amp; Support'!B6)</f>
        <v/>
      </c>
      <c r="C53" s="38">
        <f>IF('Operations &amp; Support'!C6="","",'Operations &amp; Support'!C6)</f>
        <v/>
      </c>
      <c r="D53" s="38">
        <f>IF('Operations &amp; Support'!D6="","",'Operations &amp; Support'!D6)</f>
        <v/>
      </c>
      <c r="E53" s="38">
        <f>IF('Operations &amp; Support'!E6="","",'Operations &amp; Support'!E6)</f>
        <v/>
      </c>
      <c r="F53" s="39">
        <f>IF('Operations &amp; Support'!F6="","",'Operations &amp; Support'!F6)</f>
        <v/>
      </c>
      <c r="G53" s="38">
        <f>IF('Operations &amp; Support'!G6="","",'Operations &amp; Support'!G6)</f>
        <v/>
      </c>
    </row>
    <row r="54">
      <c r="A54" s="40">
        <f>IF('Operations &amp; Support'!A7="","",'Operations &amp; Support'!A7)</f>
        <v/>
      </c>
      <c r="B54" s="40">
        <f>IF('Operations &amp; Support'!B7="","",'Operations &amp; Support'!B7)</f>
        <v/>
      </c>
      <c r="C54" s="40">
        <f>IF('Operations &amp; Support'!C7="","",'Operations &amp; Support'!C7)</f>
        <v/>
      </c>
      <c r="D54" s="40">
        <f>IF('Operations &amp; Support'!D7="","",'Operations &amp; Support'!D7)</f>
        <v/>
      </c>
      <c r="E54" s="40">
        <f>IF('Operations &amp; Support'!E7="","",'Operations &amp; Support'!E7)</f>
        <v/>
      </c>
      <c r="F54" s="39">
        <f>IF('Operations &amp; Support'!F7="","",'Operations &amp; Support'!F7)</f>
        <v/>
      </c>
      <c r="G54" s="40">
        <f>IF('Operations &amp; Support'!G7="","",'Operations &amp; Support'!G7)</f>
        <v/>
      </c>
    </row>
    <row r="55">
      <c r="A55" s="38">
        <f>IF('Operations &amp; Support'!A8="","",'Operations &amp; Support'!A8)</f>
        <v/>
      </c>
      <c r="B55" s="38">
        <f>IF('Operations &amp; Support'!B8="","",'Operations &amp; Support'!B8)</f>
        <v/>
      </c>
      <c r="C55" s="38">
        <f>IF('Operations &amp; Support'!C8="","",'Operations &amp; Support'!C8)</f>
        <v/>
      </c>
      <c r="D55" s="38">
        <f>IF('Operations &amp; Support'!D8="","",'Operations &amp; Support'!D8)</f>
        <v/>
      </c>
      <c r="E55" s="38">
        <f>IF('Operations &amp; Support'!E8="","",'Operations &amp; Support'!E8)</f>
        <v/>
      </c>
      <c r="F55" s="39">
        <f>IF('Operations &amp; Support'!F8="","",'Operations &amp; Support'!F8)</f>
        <v/>
      </c>
      <c r="G55" s="38">
        <f>IF('Operations &amp; Support'!G8="","",'Operations &amp; Support'!G8)</f>
        <v/>
      </c>
    </row>
    <row r="56">
      <c r="A56" s="40">
        <f>IF('Operations &amp; Support'!A9="","",'Operations &amp; Support'!A9)</f>
        <v/>
      </c>
      <c r="B56" s="40">
        <f>IF('Operations &amp; Support'!B9="","",'Operations &amp; Support'!B9)</f>
        <v/>
      </c>
      <c r="C56" s="40">
        <f>IF('Operations &amp; Support'!C9="","",'Operations &amp; Support'!C9)</f>
        <v/>
      </c>
      <c r="D56" s="40">
        <f>IF('Operations &amp; Support'!D9="","",'Operations &amp; Support'!D9)</f>
        <v/>
      </c>
      <c r="E56" s="40">
        <f>IF('Operations &amp; Support'!E9="","",'Operations &amp; Support'!E9)</f>
        <v/>
      </c>
      <c r="F56" s="39">
        <f>IF('Operations &amp; Support'!F9="","",'Operations &amp; Support'!F9)</f>
        <v/>
      </c>
      <c r="G56" s="40">
        <f>IF('Operations &amp; Support'!G9="","",'Operations &amp; Support'!G9)</f>
        <v/>
      </c>
    </row>
    <row r="57">
      <c r="A57" s="38">
        <f>IF('Implementation Planning'!A2="","",'Implementation Planning'!A2)</f>
        <v/>
      </c>
      <c r="B57" s="38">
        <f>IF('Implementation Planning'!B2="","",'Implementation Planning'!B2)</f>
        <v/>
      </c>
      <c r="C57" s="38">
        <f>IF('Implementation Planning'!C2="","",'Implementation Planning'!C2)</f>
        <v/>
      </c>
      <c r="D57" s="38">
        <f>IF('Implementation Planning'!D2="","",'Implementation Planning'!D2)</f>
        <v/>
      </c>
      <c r="E57" s="38">
        <f>IF('Implementation Planning'!E2="","",'Implementation Planning'!E2)</f>
        <v/>
      </c>
      <c r="F57" s="39">
        <f>IF('Implementation Planning'!F2="","",'Implementation Planning'!F2)</f>
        <v/>
      </c>
      <c r="G57" s="38">
        <f>IF('Implementation Planning'!G2="","",'Implementation Planning'!G2)</f>
        <v/>
      </c>
    </row>
    <row r="58">
      <c r="A58" s="40">
        <f>IF('Implementation Planning'!A3="","",'Implementation Planning'!A3)</f>
        <v/>
      </c>
      <c r="B58" s="40">
        <f>IF('Implementation Planning'!B3="","",'Implementation Planning'!B3)</f>
        <v/>
      </c>
      <c r="C58" s="40">
        <f>IF('Implementation Planning'!C3="","",'Implementation Planning'!C3)</f>
        <v/>
      </c>
      <c r="D58" s="40">
        <f>IF('Implementation Planning'!D3="","",'Implementation Planning'!D3)</f>
        <v/>
      </c>
      <c r="E58" s="40">
        <f>IF('Implementation Planning'!E3="","",'Implementation Planning'!E3)</f>
        <v/>
      </c>
      <c r="F58" s="39">
        <f>IF('Implementation Planning'!F3="","",'Implementation Planning'!F3)</f>
        <v/>
      </c>
      <c r="G58" s="40">
        <f>IF('Implementation Planning'!G3="","",'Implementation Planning'!G3)</f>
        <v/>
      </c>
    </row>
    <row r="59">
      <c r="A59" s="38">
        <f>IF('Implementation Planning'!A4="","",'Implementation Planning'!A4)</f>
        <v/>
      </c>
      <c r="B59" s="38">
        <f>IF('Implementation Planning'!B4="","",'Implementation Planning'!B4)</f>
        <v/>
      </c>
      <c r="C59" s="38">
        <f>IF('Implementation Planning'!C4="","",'Implementation Planning'!C4)</f>
        <v/>
      </c>
      <c r="D59" s="38">
        <f>IF('Implementation Planning'!D4="","",'Implementation Planning'!D4)</f>
        <v/>
      </c>
      <c r="E59" s="38">
        <f>IF('Implementation Planning'!E4="","",'Implementation Planning'!E4)</f>
        <v/>
      </c>
      <c r="F59" s="39">
        <f>IF('Implementation Planning'!F4="","",'Implementation Planning'!F4)</f>
        <v/>
      </c>
      <c r="G59" s="38">
        <f>IF('Implementation Planning'!G4="","",'Implementation Planning'!G4)</f>
        <v/>
      </c>
    </row>
    <row r="60">
      <c r="A60" s="40">
        <f>IF('Implementation Planning'!A5="","",'Implementation Planning'!A5)</f>
        <v/>
      </c>
      <c r="B60" s="40">
        <f>IF('Implementation Planning'!B5="","",'Implementation Planning'!B5)</f>
        <v/>
      </c>
      <c r="C60" s="40">
        <f>IF('Implementation Planning'!C5="","",'Implementation Planning'!C5)</f>
        <v/>
      </c>
      <c r="D60" s="40">
        <f>IF('Implementation Planning'!D5="","",'Implementation Planning'!D5)</f>
        <v/>
      </c>
      <c r="E60" s="40">
        <f>IF('Implementation Planning'!E5="","",'Implementation Planning'!E5)</f>
        <v/>
      </c>
      <c r="F60" s="39">
        <f>IF('Implementation Planning'!F5="","",'Implementation Planning'!F5)</f>
        <v/>
      </c>
      <c r="G60" s="40">
        <f>IF('Implementation Planning'!G5="","",'Implementation Planning'!G5)</f>
        <v/>
      </c>
    </row>
    <row r="61">
      <c r="A61" s="38">
        <f>IF('Implementation Planning'!A6="","",'Implementation Planning'!A6)</f>
        <v/>
      </c>
      <c r="B61" s="38">
        <f>IF('Implementation Planning'!B6="","",'Implementation Planning'!B6)</f>
        <v/>
      </c>
      <c r="C61" s="38">
        <f>IF('Implementation Planning'!C6="","",'Implementation Planning'!C6)</f>
        <v/>
      </c>
      <c r="D61" s="38">
        <f>IF('Implementation Planning'!D6="","",'Implementation Planning'!D6)</f>
        <v/>
      </c>
      <c r="E61" s="38">
        <f>IF('Implementation Planning'!E6="","",'Implementation Planning'!E6)</f>
        <v/>
      </c>
      <c r="F61" s="39">
        <f>IF('Implementation Planning'!F6="","",'Implementation Planning'!F6)</f>
        <v/>
      </c>
      <c r="G61" s="38">
        <f>IF('Implementation Planning'!G6="","",'Implementation Planning'!G6)</f>
        <v/>
      </c>
    </row>
    <row r="62">
      <c r="A62" s="40">
        <f>IF('Implementation Planning'!A7="","",'Implementation Planning'!A7)</f>
        <v/>
      </c>
      <c r="B62" s="40">
        <f>IF('Implementation Planning'!B7="","",'Implementation Planning'!B7)</f>
        <v/>
      </c>
      <c r="C62" s="40">
        <f>IF('Implementation Planning'!C7="","",'Implementation Planning'!C7)</f>
        <v/>
      </c>
      <c r="D62" s="40">
        <f>IF('Implementation Planning'!D7="","",'Implementation Planning'!D7)</f>
        <v/>
      </c>
      <c r="E62" s="40">
        <f>IF('Implementation Planning'!E7="","",'Implementation Planning'!E7)</f>
        <v/>
      </c>
      <c r="F62" s="39">
        <f>IF('Implementation Planning'!F7="","",'Implementation Planning'!F7)</f>
        <v/>
      </c>
      <c r="G62" s="40">
        <f>IF('Implementation Planning'!G7="","",'Implementation Planning'!G7)</f>
        <v/>
      </c>
    </row>
    <row r="63">
      <c r="A63" s="38">
        <f>IF('Implementation Planning'!A8="","",'Implementation Planning'!A8)</f>
        <v/>
      </c>
      <c r="B63" s="38">
        <f>IF('Implementation Planning'!B8="","",'Implementation Planning'!B8)</f>
        <v/>
      </c>
      <c r="C63" s="38">
        <f>IF('Implementation Planning'!C8="","",'Implementation Planning'!C8)</f>
        <v/>
      </c>
      <c r="D63" s="38">
        <f>IF('Implementation Planning'!D8="","",'Implementation Planning'!D8)</f>
        <v/>
      </c>
      <c r="E63" s="38">
        <f>IF('Implementation Planning'!E8="","",'Implementation Planning'!E8)</f>
        <v/>
      </c>
      <c r="F63" s="39">
        <f>IF('Implementation Planning'!F8="","",'Implementation Planning'!F8)</f>
        <v/>
      </c>
      <c r="G63" s="38">
        <f>IF('Implementation Planning'!G8="","",'Implementation Planning'!G8)</f>
        <v/>
      </c>
    </row>
    <row r="64">
      <c r="A64" s="40">
        <f>IF('Implementation Planning'!A9="","",'Implementation Planning'!A9)</f>
        <v/>
      </c>
      <c r="B64" s="40">
        <f>IF('Implementation Planning'!B9="","",'Implementation Planning'!B9)</f>
        <v/>
      </c>
      <c r="C64" s="40">
        <f>IF('Implementation Planning'!C9="","",'Implementation Planning'!C9)</f>
        <v/>
      </c>
      <c r="D64" s="40">
        <f>IF('Implementation Planning'!D9="","",'Implementation Planning'!D9)</f>
        <v/>
      </c>
      <c r="E64" s="40">
        <f>IF('Implementation Planning'!E9="","",'Implementation Planning'!E9)</f>
        <v/>
      </c>
      <c r="F64" s="39">
        <f>IF('Implementation Planning'!F9="","",'Implementation Planning'!F9)</f>
        <v/>
      </c>
      <c r="G64" s="40">
        <f>IF('Implementation Planning'!G9="","",'Implementation Planning'!G9)</f>
        <v/>
      </c>
    </row>
    <row r="65">
      <c r="A65" s="38">
        <f>IF('Implementation Planning'!A10="","",'Implementation Planning'!A10)</f>
        <v/>
      </c>
      <c r="B65" s="38">
        <f>IF('Implementation Planning'!B10="","",'Implementation Planning'!B10)</f>
        <v/>
      </c>
      <c r="C65" s="38">
        <f>IF('Implementation Planning'!C10="","",'Implementation Planning'!C10)</f>
        <v/>
      </c>
      <c r="D65" s="38">
        <f>IF('Implementation Planning'!D10="","",'Implementation Planning'!D10)</f>
        <v/>
      </c>
      <c r="E65" s="38">
        <f>IF('Implementation Planning'!E10="","",'Implementation Planning'!E10)</f>
        <v/>
      </c>
      <c r="F65" s="39">
        <f>IF('Implementation Planning'!F10="","",'Implementation Planning'!F10)</f>
        <v/>
      </c>
      <c r="G65" s="38">
        <f>IF('Implementation Planning'!G10="","",'Implementation Planning'!G10)</f>
        <v/>
      </c>
    </row>
    <row r="66">
      <c r="A66" s="40">
        <f>IF('Implementation Planning'!A11="","",'Implementation Planning'!A11)</f>
        <v/>
      </c>
      <c r="B66" s="40">
        <f>IF('Implementation Planning'!B11="","",'Implementation Planning'!B11)</f>
        <v/>
      </c>
      <c r="C66" s="40">
        <f>IF('Implementation Planning'!C11="","",'Implementation Planning'!C11)</f>
        <v/>
      </c>
      <c r="D66" s="40">
        <f>IF('Implementation Planning'!D11="","",'Implementation Planning'!D11)</f>
        <v/>
      </c>
      <c r="E66" s="40">
        <f>IF('Implementation Planning'!E11="","",'Implementation Planning'!E11)</f>
        <v/>
      </c>
      <c r="F66" s="39">
        <f>IF('Implementation Planning'!F11="","",'Implementation Planning'!F11)</f>
        <v/>
      </c>
      <c r="G66" s="40">
        <f>IF('Implementation Planning'!G11="","",'Implementation Planning'!G11)</f>
        <v/>
      </c>
    </row>
    <row r="67">
      <c r="A67" s="38">
        <f>IF('Risk &amp; Constraints'!A2="","",'Risk &amp; Constraints'!A2)</f>
        <v/>
      </c>
      <c r="B67" s="38">
        <f>IF('Risk &amp; Constraints'!B2="","",'Risk &amp; Constraints'!B2)</f>
        <v/>
      </c>
      <c r="C67" s="38">
        <f>IF('Risk &amp; Constraints'!C2="","",'Risk &amp; Constraints'!C2)</f>
        <v/>
      </c>
      <c r="D67" s="38">
        <f>IF('Risk &amp; Constraints'!D2="","",'Risk &amp; Constraints'!D2)</f>
        <v/>
      </c>
      <c r="E67" s="38">
        <f>IF('Risk &amp; Constraints'!E2="","",'Risk &amp; Constraints'!E2)</f>
        <v/>
      </c>
      <c r="F67" s="39">
        <f>IF('Risk &amp; Constraints'!F2="","",'Risk &amp; Constraints'!F2)</f>
        <v/>
      </c>
      <c r="G67" s="38">
        <f>IF('Risk &amp; Constraints'!G2="","",'Risk &amp; Constraints'!G2)</f>
        <v/>
      </c>
    </row>
    <row r="68">
      <c r="A68" s="40">
        <f>IF('Risk &amp; Constraints'!A3="","",'Risk &amp; Constraints'!A3)</f>
        <v/>
      </c>
      <c r="B68" s="40">
        <f>IF('Risk &amp; Constraints'!B3="","",'Risk &amp; Constraints'!B3)</f>
        <v/>
      </c>
      <c r="C68" s="40">
        <f>IF('Risk &amp; Constraints'!C3="","",'Risk &amp; Constraints'!C3)</f>
        <v/>
      </c>
      <c r="D68" s="40">
        <f>IF('Risk &amp; Constraints'!D3="","",'Risk &amp; Constraints'!D3)</f>
        <v/>
      </c>
      <c r="E68" s="40">
        <f>IF('Risk &amp; Constraints'!E3="","",'Risk &amp; Constraints'!E3)</f>
        <v/>
      </c>
      <c r="F68" s="39">
        <f>IF('Risk &amp; Constraints'!F3="","",'Risk &amp; Constraints'!F3)</f>
        <v/>
      </c>
      <c r="G68" s="40">
        <f>IF('Risk &amp; Constraints'!G3="","",'Risk &amp; Constraints'!G3)</f>
        <v/>
      </c>
    </row>
    <row r="69">
      <c r="A69" s="38">
        <f>IF('Risk &amp; Constraints'!A4="","",'Risk &amp; Constraints'!A4)</f>
        <v/>
      </c>
      <c r="B69" s="38">
        <f>IF('Risk &amp; Constraints'!B4="","",'Risk &amp; Constraints'!B4)</f>
        <v/>
      </c>
      <c r="C69" s="38">
        <f>IF('Risk &amp; Constraints'!C4="","",'Risk &amp; Constraints'!C4)</f>
        <v/>
      </c>
      <c r="D69" s="38">
        <f>IF('Risk &amp; Constraints'!D4="","",'Risk &amp; Constraints'!D4)</f>
        <v/>
      </c>
      <c r="E69" s="38">
        <f>IF('Risk &amp; Constraints'!E4="","",'Risk &amp; Constraints'!E4)</f>
        <v/>
      </c>
      <c r="F69" s="39">
        <f>IF('Risk &amp; Constraints'!F4="","",'Risk &amp; Constraints'!F4)</f>
        <v/>
      </c>
      <c r="G69" s="38">
        <f>IF('Risk &amp; Constraints'!G4="","",'Risk &amp; Constraints'!G4)</f>
        <v/>
      </c>
    </row>
    <row r="70">
      <c r="A70" s="40">
        <f>IF('Risk &amp; Constraints'!A5="","",'Risk &amp; Constraints'!A5)</f>
        <v/>
      </c>
      <c r="B70" s="40">
        <f>IF('Risk &amp; Constraints'!B5="","",'Risk &amp; Constraints'!B5)</f>
        <v/>
      </c>
      <c r="C70" s="40">
        <f>IF('Risk &amp; Constraints'!C5="","",'Risk &amp; Constraints'!C5)</f>
        <v/>
      </c>
      <c r="D70" s="40">
        <f>IF('Risk &amp; Constraints'!D5="","",'Risk &amp; Constraints'!D5)</f>
        <v/>
      </c>
      <c r="E70" s="40">
        <f>IF('Risk &amp; Constraints'!E5="","",'Risk &amp; Constraints'!E5)</f>
        <v/>
      </c>
      <c r="F70" s="39">
        <f>IF('Risk &amp; Constraints'!F5="","",'Risk &amp; Constraints'!F5)</f>
        <v/>
      </c>
      <c r="G70" s="40">
        <f>IF('Risk &amp; Constraints'!G5="","",'Risk &amp; Constraints'!G5)</f>
        <v/>
      </c>
    </row>
    <row r="71">
      <c r="A71" s="38">
        <f>IF('Risk &amp; Constraints'!A6="","",'Risk &amp; Constraints'!A6)</f>
        <v/>
      </c>
      <c r="B71" s="38">
        <f>IF('Risk &amp; Constraints'!B6="","",'Risk &amp; Constraints'!B6)</f>
        <v/>
      </c>
      <c r="C71" s="38">
        <f>IF('Risk &amp; Constraints'!C6="","",'Risk &amp; Constraints'!C6)</f>
        <v/>
      </c>
      <c r="D71" s="38">
        <f>IF('Risk &amp; Constraints'!D6="","",'Risk &amp; Constraints'!D6)</f>
        <v/>
      </c>
      <c r="E71" s="38">
        <f>IF('Risk &amp; Constraints'!E6="","",'Risk &amp; Constraints'!E6)</f>
        <v/>
      </c>
      <c r="F71" s="39">
        <f>IF('Risk &amp; Constraints'!F6="","",'Risk &amp; Constraints'!F6)</f>
        <v/>
      </c>
      <c r="G71" s="38">
        <f>IF('Risk &amp; Constraints'!G6="","",'Risk &amp; Constraints'!G6)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BUS-001</t>
        </is>
      </c>
      <c r="B2" s="40" t="inlineStr">
        <is>
          <t>Business Requirements</t>
        </is>
      </c>
      <c r="C2" s="40" t="inlineStr">
        <is>
          <t>Business Drivers</t>
        </is>
      </c>
      <c r="D2" s="40" t="inlineStr">
        <is>
          <t>What are the top 3-5 business challenges driving the decision to adopt AWS now?</t>
        </is>
      </c>
      <c r="E2" s="40" t="inlineStr">
        <is>
          <t>Examples: regulatory pressure, inability to scale on-premises, cost reduction, new product launches, competitive pressure</t>
        </is>
      </c>
      <c r="F2" s="39" t="n"/>
      <c r="G2" s="40" t="inlineStr">
        <is>
          <t>Aligns the landing zone design to immediate business priorities and ensures the architecture supports the root drivers</t>
        </is>
      </c>
    </row>
    <row r="3">
      <c r="A3" s="38" t="inlineStr">
        <is>
          <t>BUS-002</t>
        </is>
      </c>
      <c r="B3" s="38" t="inlineStr">
        <is>
          <t>Business Requirements</t>
        </is>
      </c>
      <c r="C3" s="38" t="inlineStr">
        <is>
          <t>Business Drivers</t>
        </is>
      </c>
      <c r="D3" s="38" t="inlineStr">
        <is>
          <t>Which lines of business or product teams will be the first consumers of the new landing zone?</t>
        </is>
      </c>
      <c r="E3" s="38" t="inlineStr">
        <is>
          <t>List teams or products expected to onboard workloads within the first 6 months</t>
        </is>
      </c>
      <c r="F3" s="39" t="n"/>
      <c r="G3" s="38" t="inlineStr">
        <is>
          <t>Determines initial OU structure, account layout, and network segmentation requirements</t>
        </is>
      </c>
    </row>
    <row r="4">
      <c r="A4" s="40" t="inlineStr">
        <is>
          <t>BUS-003</t>
        </is>
      </c>
      <c r="B4" s="40" t="inlineStr">
        <is>
          <t>Business Requirements</t>
        </is>
      </c>
      <c r="C4" s="40" t="inlineStr">
        <is>
          <t>Success Criteria</t>
        </is>
      </c>
      <c r="D4" s="40" t="inlineStr">
        <is>
          <t>What does a successful landing zone look like to your organisation at the end of Month 3?</t>
        </is>
      </c>
      <c r="E4" s="40" t="inlineStr">
        <is>
          <t>Define measurable outcomes — e.g. all guardrails passing, first workload migrated, team self-sufficient</t>
        </is>
      </c>
      <c r="F4" s="39" t="n"/>
      <c r="G4" s="40" t="inlineStr">
        <is>
          <t>Drives go-live acceptance criteria and UAT scope</t>
        </is>
      </c>
    </row>
    <row r="5">
      <c r="A5" s="38" t="inlineStr">
        <is>
          <t>BUS-004</t>
        </is>
      </c>
      <c r="B5" s="38" t="inlineStr">
        <is>
          <t>Business Requirements</t>
        </is>
      </c>
      <c r="C5" s="38" t="inlineStr">
        <is>
          <t>Success Criteria</t>
        </is>
      </c>
      <c r="D5" s="38" t="inlineStr">
        <is>
          <t>How will ongoing operational success be measured post go-live?</t>
        </is>
      </c>
      <c r="E5" s="38" t="inlineStr">
        <is>
          <t>Examples: Security Hub critical finding count, account provisioning lead time, IaC coverage percentage</t>
        </is>
      </c>
      <c r="F5" s="39" t="n"/>
      <c r="G5" s="38" t="inlineStr">
        <is>
          <t>Informs KPI dashboards and operational runbook content</t>
        </is>
      </c>
    </row>
    <row r="6">
      <c r="A6" s="40" t="inlineStr">
        <is>
          <t>BUS-005</t>
        </is>
      </c>
      <c r="B6" s="40" t="inlineStr">
        <is>
          <t>Business Requirements</t>
        </is>
      </c>
      <c r="C6" s="40" t="inlineStr">
        <is>
          <t>Timeline</t>
        </is>
      </c>
      <c r="D6" s="40" t="inlineStr">
        <is>
          <t>Is the 3-month target timeline firm, or is there flexibility if scope expands?</t>
        </is>
      </c>
      <c r="E6" s="40" t="inlineStr">
        <is>
          <t>Confirm whether a hard regulatory, contractual, or board deadline exists</t>
        </is>
      </c>
      <c r="F6" s="39" t="n"/>
      <c r="G6" s="40" t="inlineStr">
        <is>
          <t>A fixed deadline requires scope management; flexibility allows phased delivery</t>
        </is>
      </c>
    </row>
    <row r="7">
      <c r="A7" s="38" t="inlineStr">
        <is>
          <t>BUS-006</t>
        </is>
      </c>
      <c r="B7" s="38" t="inlineStr">
        <is>
          <t>Business Requirements</t>
        </is>
      </c>
      <c r="C7" s="38" t="inlineStr">
        <is>
          <t>Timeline</t>
        </is>
      </c>
      <c r="D7" s="38" t="inlineStr">
        <is>
          <t>Are there any blackout periods (e.g. quarter-end close, open enrolment, audit windows) that would restrict project activity?</t>
        </is>
      </c>
      <c r="E7" s="38" t="inlineStr">
        <is>
          <t>Provide dates or periods when change freezes apply</t>
        </is>
      </c>
      <c r="F7" s="39" t="n"/>
      <c r="G7" s="38" t="inlineStr">
        <is>
          <t>Impacts sprint planning, cutover windows, and Phase transitions</t>
        </is>
      </c>
    </row>
    <row r="8">
      <c r="A8" s="40" t="inlineStr">
        <is>
          <t>BUS-007</t>
        </is>
      </c>
      <c r="B8" s="40" t="inlineStr">
        <is>
          <t>Business Requirements</t>
        </is>
      </c>
      <c r="C8" s="40" t="inlineStr">
        <is>
          <t>Budget</t>
        </is>
      </c>
      <c r="D8" s="40" t="inlineStr">
        <is>
          <t>What is the approved budget range for the professional services engagement?</t>
        </is>
      </c>
      <c r="E8" s="40" t="inlineStr">
        <is>
          <t>Provide a range or ceiling; indicate whether CapEx or OpEx funded</t>
        </is>
      </c>
      <c r="F8" s="39" t="n"/>
      <c r="G8" s="40" t="inlineStr">
        <is>
          <t>Required to right-size the engagement and confirm whether phased commercial approach is needed</t>
        </is>
      </c>
    </row>
    <row r="9">
      <c r="A9" s="38" t="inlineStr">
        <is>
          <t>BUS-008</t>
        </is>
      </c>
      <c r="B9" s="38" t="inlineStr">
        <is>
          <t>Business Requirements</t>
        </is>
      </c>
      <c r="C9" s="38" t="inlineStr">
        <is>
          <t>Budget</t>
        </is>
      </c>
      <c r="D9" s="38" t="inlineStr">
        <is>
          <t>Has a budget been allocated for ongoing AWS infrastructure running costs?</t>
        </is>
      </c>
      <c r="E9" s="38" t="inlineStr">
        <is>
          <t>Estimate monthly spend tolerance for shared services (logging, networking, security tooling)</t>
        </is>
      </c>
      <c r="F9" s="39" t="n"/>
      <c r="G9" s="38" t="inlineStr">
        <is>
          <t>Informs architecture decisions such as log retention periods and firewall tier selection</t>
        </is>
      </c>
    </row>
    <row r="10">
      <c r="A10" s="40" t="inlineStr">
        <is>
          <t>BUS-009</t>
        </is>
      </c>
      <c r="B10" s="40" t="inlineStr">
        <is>
          <t>Business Requirements</t>
        </is>
      </c>
      <c r="C10" s="40" t="inlineStr">
        <is>
          <t>Stakeholders</t>
        </is>
      </c>
      <c r="D10" s="40" t="inlineStr">
        <is>
          <t>Who is the executive sponsor for this initiative and what is their primary concern?</t>
        </is>
      </c>
      <c r="E10" s="40" t="inlineStr">
        <is>
          <t>Name and title of the sponsor; note if their priority is security, speed, or cost</t>
        </is>
      </c>
      <c r="F10" s="39" t="n"/>
      <c r="G10" s="40" t="inlineStr">
        <is>
          <t>Executive alignment is critical for scope decisions and escalation paths</t>
        </is>
      </c>
    </row>
    <row r="11">
      <c r="A11" s="38" t="inlineStr">
        <is>
          <t>BUS-010</t>
        </is>
      </c>
      <c r="B11" s="38" t="inlineStr">
        <is>
          <t>Business Requirements</t>
        </is>
      </c>
      <c r="C11" s="38" t="inlineStr">
        <is>
          <t>Stakeholders</t>
        </is>
      </c>
      <c r="D11" s="38" t="inlineStr">
        <is>
          <t>Which internal teams need to be involved and what are their roles? (Cloud/Infra, Security, Networking, FinOps, Application teams)</t>
        </is>
      </c>
      <c r="E11" s="38" t="inlineStr">
        <is>
          <t>List team names and approximate availability (hours per week)</t>
        </is>
      </c>
      <c r="F11" s="39" t="n"/>
      <c r="G11" s="38" t="inlineStr">
        <is>
          <t>Determines RACI matrix and resource dependencies for each phase</t>
        </is>
      </c>
    </row>
    <row r="12">
      <c r="A12" s="40" t="inlineStr">
        <is>
          <t>BUS-011</t>
        </is>
      </c>
      <c r="B12" s="40" t="inlineStr">
        <is>
          <t>Business Requirements</t>
        </is>
      </c>
      <c r="C12" s="40" t="inlineStr">
        <is>
          <t>Regulatory Drivers</t>
        </is>
      </c>
      <c r="D12" s="40" t="inlineStr">
        <is>
          <t>Are there specific insurance-industry regulations (e.g. NAIC model law, state-level data privacy statutes) driving cloud adoption or constraining architecture choices?</t>
        </is>
      </c>
      <c r="E12" s="40" t="inlineStr">
        <is>
          <t>List applicable regulations or audit requirements</t>
        </is>
      </c>
      <c r="F12" s="39" t="n"/>
      <c r="G12" s="40" t="inlineStr">
        <is>
          <t>May impose data residency, encryption, logging retention, or access control mandates beyond AWS defaults</t>
        </is>
      </c>
    </row>
    <row r="13">
      <c r="A13" s="38" t="inlineStr">
        <is>
          <t>BUS-012</t>
        </is>
      </c>
      <c r="B13" s="38" t="inlineStr">
        <is>
          <t>Business Requirements</t>
        </is>
      </c>
      <c r="C13" s="38" t="inlineStr">
        <is>
          <t>Organisational Readiness</t>
        </is>
      </c>
      <c r="D13" s="38" t="inlineStr">
        <is>
          <t>Does your organisation have an existing cloud governance policy or cloud centre of excellence (CCoE)?</t>
        </is>
      </c>
      <c r="E13" s="38" t="inlineStr">
        <is>
          <t>Describe any existing policies, committees, or approval workflows</t>
        </is>
      </c>
      <c r="F13" s="39" t="n"/>
      <c r="G13" s="38" t="inlineStr">
        <is>
          <t>Determines how quickly governance artefacts (SCPs, tagging, cost allocation) can be ratified and enforced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TECH-001</t>
        </is>
      </c>
      <c r="B2" s="40" t="inlineStr">
        <is>
          <t>Technical Requirements</t>
        </is>
      </c>
      <c r="C2" s="40" t="inlineStr">
        <is>
          <t>Current Infrastructure</t>
        </is>
      </c>
      <c r="D2" s="40" t="inlineStr">
        <is>
          <t>Describe any existing on-premises infrastructure that workloads will eventually connect to or migrate from.</t>
        </is>
      </c>
      <c r="E2" s="40" t="inlineStr">
        <is>
          <t>Include data centre locations, hypervisors, primary applications, and network edge devices</t>
        </is>
      </c>
      <c r="F2" s="39" t="n"/>
      <c r="G2" s="40" t="inlineStr">
        <is>
          <t>Informs on-premises connectivity design (VPN vs Direct Connect) and future migration scope</t>
        </is>
      </c>
    </row>
    <row r="3">
      <c r="A3" s="38" t="inlineStr">
        <is>
          <t>TECH-002</t>
        </is>
      </c>
      <c r="B3" s="38" t="inlineStr">
        <is>
          <t>Technical Requirements</t>
        </is>
      </c>
      <c r="C3" s="38" t="inlineStr">
        <is>
          <t>Current Infrastructure</t>
        </is>
      </c>
      <c r="D3" s="38" t="inlineStr">
        <is>
          <t>Do you have any existing DNS infrastructure (internal or public) that must integrate with the AWS environment?</t>
        </is>
      </c>
      <c r="E3" s="38" t="inlineStr">
        <is>
          <t>Include DNS provider, zone names, and whether split-horizon DNS is in use</t>
        </is>
      </c>
      <c r="F3" s="39" t="n"/>
      <c r="G3" s="38" t="inlineStr">
        <is>
          <t>Drives Route 53 Resolver and private hosted zone design</t>
        </is>
      </c>
    </row>
    <row r="4">
      <c r="A4" s="40" t="inlineStr">
        <is>
          <t>TECH-003</t>
        </is>
      </c>
      <c r="B4" s="40" t="inlineStr">
        <is>
          <t>Technical Requirements</t>
        </is>
      </c>
      <c r="C4" s="40" t="inlineStr">
        <is>
          <t>Current Infrastructure</t>
        </is>
      </c>
      <c r="D4" s="40" t="inlineStr">
        <is>
          <t>Do you have any existing identity provider (IdP) — Active Directory, Okta, Azure AD, Ping — that must federate with AWS IAM Identity Center?</t>
        </is>
      </c>
      <c r="E4" s="40" t="inlineStr">
        <is>
          <t>Provide IdP product, version, and federation protocol (SAML 2.0, SCIM)</t>
        </is>
      </c>
      <c r="F4" s="39" t="n"/>
      <c r="G4" s="40" t="inlineStr">
        <is>
          <t>Critical for IAM Identity Center configuration and user/group sync design</t>
        </is>
      </c>
    </row>
    <row r="5">
      <c r="A5" s="38" t="inlineStr">
        <is>
          <t>TECH-004</t>
        </is>
      </c>
      <c r="B5" s="38" t="inlineStr">
        <is>
          <t>Technical Requirements</t>
        </is>
      </c>
      <c r="C5" s="38" t="inlineStr">
        <is>
          <t>Cloud Platform</t>
        </is>
      </c>
      <c r="D5" s="38" t="inlineStr">
        <is>
          <t>Are there any AWS services that are explicitly prohibited or preferred by your security or procurement policy?</t>
        </is>
      </c>
      <c r="E5" s="38" t="inlineStr">
        <is>
          <t>List any services on an approved or prohibited list</t>
        </is>
      </c>
      <c r="F5" s="39" t="n"/>
      <c r="G5" s="38" t="inlineStr">
        <is>
          <t>May affect service selection for logging, monitoring, or automation components</t>
        </is>
      </c>
    </row>
    <row r="6">
      <c r="A6" s="40" t="inlineStr">
        <is>
          <t>TECH-005</t>
        </is>
      </c>
      <c r="B6" s="40" t="inlineStr">
        <is>
          <t>Technical Requirements</t>
        </is>
      </c>
      <c r="C6" s="40" t="inlineStr">
        <is>
          <t>AWS Footprint</t>
        </is>
      </c>
      <c r="D6" s="40" t="inlineStr">
        <is>
          <t>Do you have any existing AWS accounts, IAM users, or AWS Organizations today (even informal or test accounts)?</t>
        </is>
      </c>
      <c r="E6" s="40" t="inlineStr">
        <is>
          <t>List all existing account IDs and their current state</t>
        </is>
      </c>
      <c r="F6" s="39" t="n"/>
      <c r="G6" s="40" t="inlineStr">
        <is>
          <t>Existing accounts must be enrolled into the new organization or decommissioned; rogue accounts are a security risk</t>
        </is>
      </c>
    </row>
    <row r="7">
      <c r="A7" s="38" t="inlineStr">
        <is>
          <t>TECH-006</t>
        </is>
      </c>
      <c r="B7" s="38" t="inlineStr">
        <is>
          <t>Technical Requirements</t>
        </is>
      </c>
      <c r="C7" s="38" t="inlineStr">
        <is>
          <t>AWS Footprint</t>
        </is>
      </c>
      <c r="D7" s="38" t="inlineStr">
        <is>
          <t>Are you enrolled in any AWS commercial programs? (APN credits, MAP, EDP, Activate, ISV Accelerate)</t>
        </is>
      </c>
      <c r="E7" s="38" t="inlineStr">
        <is>
          <t>List program names and credit amounts available</t>
        </is>
      </c>
      <c r="F7" s="39" t="n"/>
      <c r="G7" s="38" t="inlineStr">
        <is>
          <t>AWS credits can offset landing zone infrastructure costs; MAP may include funded assessments</t>
        </is>
      </c>
    </row>
    <row r="8">
      <c r="A8" s="40" t="inlineStr">
        <is>
          <t>TECH-007</t>
        </is>
      </c>
      <c r="B8" s="40" t="inlineStr">
        <is>
          <t>Technical Requirements</t>
        </is>
      </c>
      <c r="C8" s="40" t="inlineStr">
        <is>
          <t>OU &amp; Account Structure</t>
        </is>
      </c>
      <c r="D8" s="40" t="inlineStr">
        <is>
          <t>How many AWS accounts do you expect to need in the first 12 months? (Exclude the 6 Control Tower baseline accounts)</t>
        </is>
      </c>
      <c r="E8" s="40" t="inlineStr">
        <is>
          <t>Provide counts by environment type: Production, Non-Production, Sandbox</t>
        </is>
      </c>
      <c r="F8" s="39" t="n"/>
      <c r="G8" s="40" t="inlineStr">
        <is>
          <t>Determines Account Factory throughput requirements and OU design depth</t>
        </is>
      </c>
    </row>
    <row r="9">
      <c r="A9" s="38" t="inlineStr">
        <is>
          <t>TECH-008</t>
        </is>
      </c>
      <c r="B9" s="38" t="inlineStr">
        <is>
          <t>Technical Requirements</t>
        </is>
      </c>
      <c r="C9" s="38" t="inlineStr">
        <is>
          <t>OU &amp; Account Structure</t>
        </is>
      </c>
      <c r="D9" s="38" t="inlineStr">
        <is>
          <t>Do you anticipate onboarding separate business units or acquired companies onto the same AWS Organization?</t>
        </is>
      </c>
      <c r="E9" s="38" t="inlineStr">
        <is>
          <t>Describe the business units and their expected autonomy (shared payer, separate billing, separate security boundary)</t>
        </is>
      </c>
      <c r="F9" s="39" t="n"/>
      <c r="G9" s="38" t="inlineStr">
        <is>
          <t>Drives top-level OU design and whether a dedicated BU OU tier is needed</t>
        </is>
      </c>
    </row>
    <row r="10">
      <c r="A10" s="40" t="inlineStr">
        <is>
          <t>TECH-009</t>
        </is>
      </c>
      <c r="B10" s="40" t="inlineStr">
        <is>
          <t>Technical Requirements</t>
        </is>
      </c>
      <c r="C10" s="40" t="inlineStr">
        <is>
          <t>Networking</t>
        </is>
      </c>
      <c r="D10" s="40" t="inlineStr">
        <is>
          <t>What on-premises connectivity option is preferred for the initial phase — Site-to-Site VPN or AWS Direct Connect?</t>
        </is>
      </c>
      <c r="E10" s="40" t="inlineStr">
        <is>
          <t>VPN is faster to provision; Direct Connect offers lower latency and higher bandwidth but has longer lead times (weeks to months)</t>
        </is>
      </c>
      <c r="F10" s="39" t="n"/>
      <c r="G10" s="40" t="inlineStr">
        <is>
          <t>Direct Connect lead time may impact Phase 2 networking timeline</t>
        </is>
      </c>
    </row>
    <row r="11">
      <c r="A11" s="38" t="inlineStr">
        <is>
          <t>TECH-010</t>
        </is>
      </c>
      <c r="B11" s="38" t="inlineStr">
        <is>
          <t>Technical Requirements</t>
        </is>
      </c>
      <c r="C11" s="38" t="inlineStr">
        <is>
          <t>Networking</t>
        </is>
      </c>
      <c r="D11" s="38" t="inlineStr">
        <is>
          <t>What is the expected bandwidth requirement for on-premises-to-AWS traffic at launch and at 12-month projected growth?</t>
        </is>
      </c>
      <c r="E11" s="38" t="inlineStr">
        <is>
          <t>Provide current WAN capacity and expected cloud traffic volume (Mbps or Gbps)</t>
        </is>
      </c>
      <c r="F11" s="39" t="n"/>
      <c r="G11" s="38" t="inlineStr">
        <is>
          <t>Determines VPN or Direct Connect circuit sizing and redundancy requirements</t>
        </is>
      </c>
    </row>
    <row r="12">
      <c r="A12" s="40" t="inlineStr">
        <is>
          <t>TECH-011</t>
        </is>
      </c>
      <c r="B12" s="40" t="inlineStr">
        <is>
          <t>Technical Requirements</t>
        </is>
      </c>
      <c r="C12" s="40" t="inlineStr">
        <is>
          <t>Networking</t>
        </is>
      </c>
      <c r="D12" s="40" t="inlineStr">
        <is>
          <t>Are there any third-party SaaS or partner networks that require private connectivity (AWS PrivateLink or VPC peering)?</t>
        </is>
      </c>
      <c r="E12" s="40" t="inlineStr">
        <is>
          <t>List SaaS providers and connectivity requirements</t>
        </is>
      </c>
      <c r="F12" s="39" t="n"/>
      <c r="G12" s="40" t="inlineStr">
        <is>
          <t>May require additional PrivateLink endpoints or peering connections in the network hub</t>
        </is>
      </c>
    </row>
    <row r="13">
      <c r="A13" s="38" t="inlineStr">
        <is>
          <t>TECH-012</t>
        </is>
      </c>
      <c r="B13" s="38" t="inlineStr">
        <is>
          <t>Technical Requirements</t>
        </is>
      </c>
      <c r="C13" s="38" t="inlineStr">
        <is>
          <t>Networking</t>
        </is>
      </c>
      <c r="D13" s="38" t="inlineStr">
        <is>
          <t>What IP address ranges are already in use on-premises or in partner networks that must not overlap with the 10.0.0.0/8 supernet?</t>
        </is>
      </c>
      <c r="E13" s="38" t="inlineStr">
        <is>
          <t>Provide a list of used RFC 1918 ranges</t>
        </is>
      </c>
      <c r="F13" s="39" t="n"/>
      <c r="G13" s="38" t="inlineStr">
        <is>
          <t>Required for VPC IPAM plan design; overlapping ranges prevent routing</t>
        </is>
      </c>
    </row>
    <row r="14">
      <c r="A14" s="40" t="inlineStr">
        <is>
          <t>TECH-013</t>
        </is>
      </c>
      <c r="B14" s="40" t="inlineStr">
        <is>
          <t>Technical Requirements</t>
        </is>
      </c>
      <c r="C14" s="40" t="inlineStr">
        <is>
          <t>Networking</t>
        </is>
      </c>
      <c r="D14" s="40" t="inlineStr">
        <is>
          <t>How many spoke VPCs are anticipated in the first 12 months and what workload types will they host?</t>
        </is>
      </c>
      <c r="E14" s="40" t="inlineStr">
        <is>
          <t>List VPC count by environment and workload type (web, app, data, tooling)</t>
        </is>
      </c>
      <c r="F14" s="39" t="n"/>
      <c r="G14" s="40" t="inlineStr">
        <is>
          <t>Drives Transit Gateway attachment planning and IPAM /20 block allocation</t>
        </is>
      </c>
    </row>
    <row r="15">
      <c r="A15" s="38" t="inlineStr">
        <is>
          <t>TECH-014</t>
        </is>
      </c>
      <c r="B15" s="38" t="inlineStr">
        <is>
          <t>Technical Requirements</t>
        </is>
      </c>
      <c r="C15" s="38" t="inlineStr">
        <is>
          <t>Automation &amp; IaC</t>
        </is>
      </c>
      <c r="D15" s="38" t="inlineStr">
        <is>
          <t>What is the team's current experience level with Terraform?</t>
        </is>
      </c>
      <c r="E15" s="38" t="inlineStr">
        <is>
          <t>Beginner (no experience), Intermediate (used in projects), Advanced (production pipelines)</t>
        </is>
      </c>
      <c r="F15" s="39" t="n"/>
      <c r="G15" s="38" t="inlineStr">
        <is>
          <t>Impacts training scope, AFT complexity, and whether a simpler IaC abstraction is needed for early phases</t>
        </is>
      </c>
    </row>
    <row r="16">
      <c r="A16" s="40" t="inlineStr">
        <is>
          <t>TECH-015</t>
        </is>
      </c>
      <c r="B16" s="40" t="inlineStr">
        <is>
          <t>Technical Requirements</t>
        </is>
      </c>
      <c r="C16" s="40" t="inlineStr">
        <is>
          <t>Automation &amp; IaC</t>
        </is>
      </c>
      <c r="D16" s="40" t="inlineStr">
        <is>
          <t>What CI/CD platform will be used for Terraform pipelines? (GitHub Actions, GitLab CI, AWS CodePipeline, Azure DevOps, etc.)</t>
        </is>
      </c>
      <c r="E16" s="40" t="inlineStr">
        <is>
          <t>Specify the preferred platform and whether it is already licenced and in use</t>
        </is>
      </c>
      <c r="F16" s="39" t="n"/>
      <c r="G16" s="40" t="inlineStr">
        <is>
          <t>AFT supports multiple VCS backends; pipeline choice affects Phase 3 automation scope</t>
        </is>
      </c>
    </row>
    <row r="17">
      <c r="A17" s="38" t="inlineStr">
        <is>
          <t>TECH-016</t>
        </is>
      </c>
      <c r="B17" s="38" t="inlineStr">
        <is>
          <t>Technical Requirements</t>
        </is>
      </c>
      <c r="C17" s="38" t="inlineStr">
        <is>
          <t>Automation &amp; IaC</t>
        </is>
      </c>
      <c r="D17" s="38" t="inlineStr">
        <is>
          <t>What version control system (VCS) will host the landing zone Terraform modules? (GitHub, GitLab, Bitbucket, CodeCommit)</t>
        </is>
      </c>
      <c r="E17" s="38" t="inlineStr">
        <is>
          <t>Specify VCS provider, organisation/group name, and branch strategy</t>
        </is>
      </c>
      <c r="F17" s="39" t="n"/>
      <c r="G17" s="38" t="inlineStr">
        <is>
          <t>AFT requires VCS integration; branch protection rules impact deployment guardrails</t>
        </is>
      </c>
    </row>
    <row r="18">
      <c r="A18" s="40" t="inlineStr">
        <is>
          <t>TECH-017</t>
        </is>
      </c>
      <c r="B18" s="40" t="inlineStr">
        <is>
          <t>Technical Requirements</t>
        </is>
      </c>
      <c r="C18" s="40" t="inlineStr">
        <is>
          <t>Monitoring &amp; Alerting</t>
        </is>
      </c>
      <c r="D18" s="40" t="inlineStr">
        <is>
          <t>What monitoring and alerting tools does your organisation currently use or plan to use? (Datadog, Splunk, PagerDuty, ServiceNow, native AWS)</t>
        </is>
      </c>
      <c r="E18" s="40" t="inlineStr">
        <is>
          <t>List preferred tools and whether they are already licenced</t>
        </is>
      </c>
      <c r="F18" s="39" t="n"/>
      <c r="G18" s="40" t="inlineStr">
        <is>
          <t>Determines whether CloudWatch and Security Hub alerts route to native SNS/email or a third-party SIEM/ITSM</t>
        </is>
      </c>
    </row>
    <row r="19">
      <c r="A19" s="38" t="inlineStr">
        <is>
          <t>TECH-018</t>
        </is>
      </c>
      <c r="B19" s="38" t="inlineStr">
        <is>
          <t>Technical Requirements</t>
        </is>
      </c>
      <c r="C19" s="38" t="inlineStr">
        <is>
          <t>Monitoring &amp; Alerting</t>
        </is>
      </c>
      <c r="D19" s="38" t="inlineStr">
        <is>
          <t>What log retention periods are required for CloudTrail, Config, and VPC Flow Logs?</t>
        </is>
      </c>
      <c r="E19" s="38" t="inlineStr">
        <is>
          <t>Typical ranges: 90 days hot (S3 Standard), 1 year warm (S3 IA), 7 years cold (Glacier) for regulated industries</t>
        </is>
      </c>
      <c r="F19" s="39" t="n"/>
      <c r="G19" s="38" t="inlineStr">
        <is>
          <t>Log retention directly impacts S3 storage costs and compliance posture</t>
        </is>
      </c>
    </row>
    <row r="20">
      <c r="A20" s="40" t="inlineStr">
        <is>
          <t>TECH-019</t>
        </is>
      </c>
      <c r="B20" s="40" t="inlineStr">
        <is>
          <t>Technical Requirements</t>
        </is>
      </c>
      <c r="C20" s="40" t="inlineStr">
        <is>
          <t>Tagging &amp; Cost Allocation</t>
        </is>
      </c>
      <c r="D20" s="40" t="inlineStr">
        <is>
          <t>Are the proposed mandatory tags (Environment, Owner, CostCenter, Project, DataClassification) aligned with your internal taxonomy?</t>
        </is>
      </c>
      <c r="E20" s="40" t="inlineStr">
        <is>
          <t>Provide your preferred tag key names and valid values for each tag</t>
        </is>
      </c>
      <c r="F20" s="39" t="n"/>
      <c r="G20" s="40" t="inlineStr">
        <is>
          <t>Tag keys and values must match internal finance systems for cost allocation reports to be actionable</t>
        </is>
      </c>
    </row>
    <row r="21">
      <c r="A21" s="38" t="inlineStr">
        <is>
          <t>TECH-020</t>
        </is>
      </c>
      <c r="B21" s="38" t="inlineStr">
        <is>
          <t>Technical Requirements</t>
        </is>
      </c>
      <c r="C21" s="38" t="inlineStr">
        <is>
          <t>Tagging &amp; Cost Allocation</t>
        </is>
      </c>
      <c r="D21" s="38" t="inlineStr">
        <is>
          <t>Do you require per-account or per-tag cost allocation reports to be delivered to specific stakeholders?</t>
        </is>
      </c>
      <c r="E21" s="38" t="inlineStr">
        <is>
          <t>Specify report format (AWS Cost and Usage Report, Cost Explorer export, third-party FinOps tool)</t>
        </is>
      </c>
      <c r="F21" s="39" t="n"/>
      <c r="G21" s="38" t="inlineStr">
        <is>
          <t>Drives AWS Cost and Usage Report configuration and any downstream FinOps tooling integration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SEC-001</t>
        </is>
      </c>
      <c r="B2" s="40" t="inlineStr">
        <is>
          <t>Security &amp; Compliance</t>
        </is>
      </c>
      <c r="C2" s="40" t="inlineStr">
        <is>
          <t>Compliance Frameworks</t>
        </is>
      </c>
      <c r="D2" s="40" t="inlineStr">
        <is>
          <t>Which compliance frameworks are formally required for your cloud environment? (SOC 2 Type II, HIPAA, PCI-DSS, NIST 800-53, FedRAMP, ISO 27001, state privacy laws)</t>
        </is>
      </c>
      <c r="E2" s="40" t="inlineStr">
        <is>
          <t>List all frameworks and indicate which are legally mandated vs internally adopted</t>
        </is>
      </c>
      <c r="F2" s="39" t="n"/>
      <c r="G2" s="40" t="inlineStr">
        <is>
          <t>Determines which Security Hub standards to enable and which Config rules are mandatory</t>
        </is>
      </c>
    </row>
    <row r="3">
      <c r="A3" s="38" t="inlineStr">
        <is>
          <t>SEC-002</t>
        </is>
      </c>
      <c r="B3" s="38" t="inlineStr">
        <is>
          <t>Security &amp; Compliance</t>
        </is>
      </c>
      <c r="C3" s="38" t="inlineStr">
        <is>
          <t>Compliance Frameworks</t>
        </is>
      </c>
      <c r="D3" s="38" t="inlineStr">
        <is>
          <t>Is a formal third-party audit or attestation (e.g. SOC 2 audit, PCI QSA assessment) planned within the next 12 months?</t>
        </is>
      </c>
      <c r="E3" s="38" t="inlineStr">
        <is>
          <t>Provide audit scope and target date if known</t>
        </is>
      </c>
      <c r="F3" s="39" t="n"/>
      <c r="G3" s="38" t="inlineStr">
        <is>
          <t>Audit timelines may require specific controls to be operational before the assessment window</t>
        </is>
      </c>
    </row>
    <row r="4">
      <c r="A4" s="40" t="inlineStr">
        <is>
          <t>SEC-003</t>
        </is>
      </c>
      <c r="B4" s="40" t="inlineStr">
        <is>
          <t>Security &amp; Compliance</t>
        </is>
      </c>
      <c r="C4" s="40" t="inlineStr">
        <is>
          <t>Data Classification</t>
        </is>
      </c>
      <c r="D4" s="40" t="inlineStr">
        <is>
          <t>What is the highest data classification level expected to be stored or processed in AWS at launch?</t>
        </is>
      </c>
      <c r="E4" s="40" t="inlineStr">
        <is>
          <t>Options: Public, Internal, Confidential (PII/PHI), Restricted (payment card, legal)</t>
        </is>
      </c>
      <c r="F4" s="39" t="n"/>
      <c r="G4" s="40" t="inlineStr">
        <is>
          <t>Highest classification drives encryption key management, access control, and network segmentation requirements</t>
        </is>
      </c>
    </row>
    <row r="5">
      <c r="A5" s="38" t="inlineStr">
        <is>
          <t>SEC-004</t>
        </is>
      </c>
      <c r="B5" s="38" t="inlineStr">
        <is>
          <t>Security &amp; Compliance</t>
        </is>
      </c>
      <c r="C5" s="38" t="inlineStr">
        <is>
          <t>Data Classification</t>
        </is>
      </c>
      <c r="D5" s="38" t="inlineStr">
        <is>
          <t>Will the environment store, process, or transmit Protected Health Information (PHI) or Personally Identifiable Information (PII)?</t>
        </is>
      </c>
      <c r="E5" s="38" t="inlineStr">
        <is>
          <t>Indicate data types and applicable regulations (HIPAA, CCPA, NAIC)</t>
        </is>
      </c>
      <c r="F5" s="39" t="n"/>
      <c r="G5" s="38" t="inlineStr">
        <is>
          <t>PHI/PII triggers HIPAA BAA with AWS, specific encryption requirements, and audit log retention minimums</t>
        </is>
      </c>
    </row>
    <row r="6">
      <c r="A6" s="40" t="inlineStr">
        <is>
          <t>SEC-005</t>
        </is>
      </c>
      <c r="B6" s="40" t="inlineStr">
        <is>
          <t>Security &amp; Compliance</t>
        </is>
      </c>
      <c r="C6" s="40" t="inlineStr">
        <is>
          <t>Authentication</t>
        </is>
      </c>
      <c r="D6" s="40" t="inlineStr">
        <is>
          <t>What MFA method is required for AWS console access? (Virtual MFA, hardware token FIDO2, SSO-enforced)</t>
        </is>
      </c>
      <c r="E6" s="40" t="inlineStr">
        <is>
          <t>Specify whether MFA is enforced at IdP level or via SCP</t>
        </is>
      </c>
      <c r="F6" s="39" t="n"/>
      <c r="G6" s="40" t="inlineStr">
        <is>
          <t>SCP-enforced MFA is already proposed; confirm whether hardware token compliance is required</t>
        </is>
      </c>
    </row>
    <row r="7">
      <c r="A7" s="38" t="inlineStr">
        <is>
          <t>SEC-006</t>
        </is>
      </c>
      <c r="B7" s="38" t="inlineStr">
        <is>
          <t>Security &amp; Compliance</t>
        </is>
      </c>
      <c r="C7" s="38" t="inlineStr">
        <is>
          <t>Authentication</t>
        </is>
      </c>
      <c r="D7" s="38" t="inlineStr">
        <is>
          <t>Will the root account be used for any operational purpose, or is it to be locked immediately after Control Tower setup?</t>
        </is>
      </c>
      <c r="E7" s="38" t="inlineStr">
        <is>
          <t>Root account should be locked with hardware MFA per AWS best practice</t>
        </is>
      </c>
      <c r="F7" s="39" t="n"/>
      <c r="G7" s="38" t="inlineStr">
        <is>
          <t>Root account lockdown is a proposed SCP; confirm exceptions if any break-glass procedure requires root</t>
        </is>
      </c>
    </row>
    <row r="8">
      <c r="A8" s="40" t="inlineStr">
        <is>
          <t>SEC-007</t>
        </is>
      </c>
      <c r="B8" s="40" t="inlineStr">
        <is>
          <t>Security &amp; Compliance</t>
        </is>
      </c>
      <c r="C8" s="40" t="inlineStr">
        <is>
          <t>Network Security</t>
        </is>
      </c>
      <c r="D8" s="40" t="inlineStr">
        <is>
          <t>Are there data loss prevention (DLP) or web content filtering requirements for egress traffic?</t>
        </is>
      </c>
      <c r="E8" s="40" t="inlineStr">
        <is>
          <t>Specify whether URL filtering, SSL inspection, or DLP scanning is required at the AWS Network Firewall</t>
        </is>
      </c>
      <c r="F8" s="39" t="n"/>
      <c r="G8" s="40" t="inlineStr">
        <is>
          <t>Determines Network Firewall rule group complexity and whether a third-party NGFW is needed</t>
        </is>
      </c>
    </row>
    <row r="9">
      <c r="A9" s="38" t="inlineStr">
        <is>
          <t>SEC-008</t>
        </is>
      </c>
      <c r="B9" s="38" t="inlineStr">
        <is>
          <t>Security &amp; Compliance</t>
        </is>
      </c>
      <c r="C9" s="38" t="inlineStr">
        <is>
          <t>Network Security</t>
        </is>
      </c>
      <c r="D9" s="38" t="inlineStr">
        <is>
          <t>Are there requirements for east-west (lateral) traffic inspection between workload VPCs?</t>
        </is>
      </c>
      <c r="E9" s="38" t="inlineStr">
        <is>
          <t>Describe whether VPC-to-VPC traffic must be inspected or only north-south internet egress</t>
        </is>
      </c>
      <c r="F9" s="39" t="n"/>
      <c r="G9" s="38" t="inlineStr">
        <is>
          <t>Determines Transit Gateway routing topology (inspection VPC pattern vs flat hub-and-spoke)</t>
        </is>
      </c>
    </row>
    <row r="10">
      <c r="A10" s="40" t="inlineStr">
        <is>
          <t>SEC-009</t>
        </is>
      </c>
      <c r="B10" s="40" t="inlineStr">
        <is>
          <t>Security &amp; Compliance</t>
        </is>
      </c>
      <c r="C10" s="40" t="inlineStr">
        <is>
          <t>Encryption</t>
        </is>
      </c>
      <c r="D10" s="40" t="inlineStr">
        <is>
          <t>What key management approach is required for data at rest? (AWS managed keys, customer managed keys via KMS, external key store via XKS)</t>
        </is>
      </c>
      <c r="E10" s="40" t="inlineStr">
        <is>
          <t>Regulated industries often require customer managed keys with annual rotation</t>
        </is>
      </c>
      <c r="F10" s="39" t="n"/>
      <c r="G10" s="40" t="inlineStr">
        <is>
          <t>Customer managed KMS keys add operational overhead but provide key custody audit trails</t>
        </is>
      </c>
    </row>
    <row r="11">
      <c r="A11" s="38" t="inlineStr">
        <is>
          <t>SEC-010</t>
        </is>
      </c>
      <c r="B11" s="38" t="inlineStr">
        <is>
          <t>Security &amp; Compliance</t>
        </is>
      </c>
      <c r="C11" s="38" t="inlineStr">
        <is>
          <t>Encryption</t>
        </is>
      </c>
      <c r="D11" s="38" t="inlineStr">
        <is>
          <t>Are there requirements for TLS inspection or certificate pinning for inbound or outbound traffic?</t>
        </is>
      </c>
      <c r="E11" s="38" t="inlineStr">
        <is>
          <t>Specify whether ACM-issued certificates are acceptable or if an internal CA is required</t>
        </is>
      </c>
      <c r="F11" s="39" t="n"/>
      <c r="G11" s="38" t="inlineStr">
        <is>
          <t>Internal CA requirements impact AWS Certificate Manager configuration and Private CA costs</t>
        </is>
      </c>
    </row>
    <row r="12">
      <c r="A12" s="40" t="inlineStr">
        <is>
          <t>SEC-011</t>
        </is>
      </c>
      <c r="B12" s="40" t="inlineStr">
        <is>
          <t>Security &amp; Compliance</t>
        </is>
      </c>
      <c r="C12" s="40" t="inlineStr">
        <is>
          <t>Audit &amp; Logging</t>
        </is>
      </c>
      <c r="D12" s="40" t="inlineStr">
        <is>
          <t>What is the required retention period for CloudTrail logs and who must have read access to them?</t>
        </is>
      </c>
      <c r="E12" s="40" t="inlineStr">
        <is>
          <t>Common requirements: 1 year active, 7 years archived; access for internal audit and external auditors</t>
        </is>
      </c>
      <c r="F12" s="39" t="n"/>
      <c r="G12" s="40" t="inlineStr">
        <is>
          <t>Drives S3 lifecycle policy, CloudTrail Lake query retention, and bucket access policy design</t>
        </is>
      </c>
    </row>
    <row r="13">
      <c r="A13" s="38" t="inlineStr">
        <is>
          <t>SEC-012</t>
        </is>
      </c>
      <c r="B13" s="38" t="inlineStr">
        <is>
          <t>Security &amp; Compliance</t>
        </is>
      </c>
      <c r="C13" s="38" t="inlineStr">
        <is>
          <t>Vulnerability Management</t>
        </is>
      </c>
      <c r="D13" s="38" t="inlineStr">
        <is>
          <t>Is there a vulnerability management programme in place that must integrate with AWS findings? (Tenable, Rapid7, AWS Inspector)</t>
        </is>
      </c>
      <c r="E13" s="38" t="inlineStr">
        <is>
          <t>Describe current tooling and integration requirements</t>
        </is>
      </c>
      <c r="F13" s="39" t="n"/>
      <c r="G13" s="38" t="inlineStr">
        <is>
          <t>AWS Inspector can be centralised in the Audit account; third-party integrations require Security Hub connector configuration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OPS-001</t>
        </is>
      </c>
      <c r="B2" s="40" t="inlineStr">
        <is>
          <t>Operations &amp; Support</t>
        </is>
      </c>
      <c r="C2" s="40" t="inlineStr">
        <is>
          <t>RTO</t>
        </is>
      </c>
      <c r="D2" s="40" t="inlineStr">
        <is>
          <t>What is the Recovery Time Objective (RTO) for the landing zone shared services (logging, networking, IAM Identity Center)?</t>
        </is>
      </c>
      <c r="E2" s="40" t="inlineStr">
        <is>
          <t>Maximum time the organisation can operate without access to centralised services; typical range: 1–4 hours</t>
        </is>
      </c>
      <c r="F2" s="39" t="n"/>
      <c r="G2" s="40" t="inlineStr">
        <is>
          <t>Drives Control Tower multi-region configuration and cross-region replication of log buckets</t>
        </is>
      </c>
    </row>
    <row r="3">
      <c r="A3" s="38" t="inlineStr">
        <is>
          <t>OPS-002</t>
        </is>
      </c>
      <c r="B3" s="38" t="inlineStr">
        <is>
          <t>Operations &amp; Support</t>
        </is>
      </c>
      <c r="C3" s="38" t="inlineStr">
        <is>
          <t>RPO</t>
        </is>
      </c>
      <c r="D3" s="38" t="inlineStr">
        <is>
          <t>What is the Recovery Point Objective (RPO) for configuration state and audit logs?</t>
        </is>
      </c>
      <c r="E3" s="38" t="inlineStr">
        <is>
          <t>Maximum acceptable data loss; typical range: 0–15 minutes for audit logs</t>
        </is>
      </c>
      <c r="F3" s="39" t="n"/>
      <c r="G3" s="38" t="inlineStr">
        <is>
          <t>Drives CloudTrail log delivery frequency, S3 Cross-Region Replication, and Config snapshot frequency</t>
        </is>
      </c>
    </row>
    <row r="4">
      <c r="A4" s="40" t="inlineStr">
        <is>
          <t>OPS-003</t>
        </is>
      </c>
      <c r="B4" s="40" t="inlineStr">
        <is>
          <t>Operations &amp; Support</t>
        </is>
      </c>
      <c r="C4" s="40" t="inlineStr">
        <is>
          <t>Backup</t>
        </is>
      </c>
      <c r="D4" s="40" t="inlineStr">
        <is>
          <t>Are there requirements to back up Terraform state files and AFT configuration repositories?</t>
        </is>
      </c>
      <c r="E4" s="40" t="inlineStr">
        <is>
          <t>Specify whether S3 versioning, DynamoDB PITR, or external backup is required for state</t>
        </is>
      </c>
      <c r="F4" s="39" t="n"/>
      <c r="G4" s="40" t="inlineStr">
        <is>
          <t>Terraform state loss can require full environment reimport; backup strategy prevents data loss</t>
        </is>
      </c>
    </row>
    <row r="5">
      <c r="A5" s="38" t="inlineStr">
        <is>
          <t>OPS-004</t>
        </is>
      </c>
      <c r="B5" s="38" t="inlineStr">
        <is>
          <t>Operations &amp; Support</t>
        </is>
      </c>
      <c r="C5" s="38" t="inlineStr">
        <is>
          <t>Monitoring</t>
        </is>
      </c>
      <c r="D5" s="38" t="inlineStr">
        <is>
          <t>What is the expected response SLA for Security Hub critical findings? (Immediate/15 min, 1 hour, 4 hours, next business day)</t>
        </is>
      </c>
      <c r="E5" s="38" t="inlineStr">
        <is>
          <t>Define severity-to-response mapping for the initial operational period</t>
        </is>
      </c>
      <c r="F5" s="39" t="n"/>
      <c r="G5" s="38" t="inlineStr">
        <is>
          <t>Drives alerting thresholds, escalation runbook design, and on-call requirements for the operations team</t>
        </is>
      </c>
    </row>
    <row r="6">
      <c r="A6" s="40" t="inlineStr">
        <is>
          <t>OPS-005</t>
        </is>
      </c>
      <c r="B6" s="40" t="inlineStr">
        <is>
          <t>Operations &amp; Support</t>
        </is>
      </c>
      <c r="C6" s="40" t="inlineStr">
        <is>
          <t>Support Coverage</t>
        </is>
      </c>
      <c r="D6" s="40" t="inlineStr">
        <is>
          <t>What AWS Support tier is in place or planned? (Developer, Business, Enterprise On-Ramp, Enterprise)</t>
        </is>
      </c>
      <c r="E6" s="40" t="inlineStr">
        <is>
          <t>Higher support tiers provide faster response times and access to Technical Account Managers</t>
        </is>
      </c>
      <c r="F6" s="39" t="n"/>
      <c r="G6" s="40" t="inlineStr">
        <is>
          <t>Enterprise Support is recommended for regulated industries; TAM access supports ongoing optimisation</t>
        </is>
      </c>
    </row>
    <row r="7">
      <c r="A7" s="38" t="inlineStr">
        <is>
          <t>OPS-006</t>
        </is>
      </c>
      <c r="B7" s="38" t="inlineStr">
        <is>
          <t>Operations &amp; Support</t>
        </is>
      </c>
      <c r="C7" s="38" t="inlineStr">
        <is>
          <t>Maintenance Windows</t>
        </is>
      </c>
      <c r="D7" s="38" t="inlineStr">
        <is>
          <t>What maintenance windows are available for applying guardrail updates, Control Tower upgrades, or network changes?</t>
        </is>
      </c>
      <c r="E7" s="38" t="inlineStr">
        <is>
          <t>Provide preferred day/time and any blackout periods (e.g. month-end, product launches)</t>
        </is>
      </c>
      <c r="F7" s="39" t="n"/>
      <c r="G7" s="38" t="inlineStr">
        <is>
          <t>Control Tower updates occasionally require brief management plane interruptions</t>
        </is>
      </c>
    </row>
    <row r="8">
      <c r="A8" s="40" t="inlineStr">
        <is>
          <t>OPS-007</t>
        </is>
      </c>
      <c r="B8" s="40" t="inlineStr">
        <is>
          <t>Operations &amp; Support</t>
        </is>
      </c>
      <c r="C8" s="40" t="inlineStr">
        <is>
          <t>Capacity Planning</t>
        </is>
      </c>
      <c r="D8" s="40" t="inlineStr">
        <is>
          <t>What is the expected rate of new AWS account creation after go-live? (per month or per quarter)</t>
        </is>
      </c>
      <c r="E8" s="40" t="inlineStr">
        <is>
          <t>Estimate based on planned project pipelines or business unit onboarding schedule</t>
        </is>
      </c>
      <c r="F8" s="39" t="n"/>
      <c r="G8" s="40" t="inlineStr">
        <is>
          <t>Determines whether AFT pipeline throughput and Terraform concurrency settings need tuning</t>
        </is>
      </c>
    </row>
    <row r="9">
      <c r="A9" s="38" t="inlineStr">
        <is>
          <t>OPS-008</t>
        </is>
      </c>
      <c r="B9" s="38" t="inlineStr">
        <is>
          <t>Operations &amp; Support</t>
        </is>
      </c>
      <c r="C9" s="38" t="inlineStr">
        <is>
          <t>Training</t>
        </is>
      </c>
      <c r="D9" s="38" t="inlineStr">
        <is>
          <t>What AWS training or certifications does the internal team have today?</t>
        </is>
      </c>
      <c r="E9" s="38" t="inlineStr">
        <is>
          <t>List relevant certifications (e.g. AWS Solutions Architect, DevOps Engineer) and experience areas</t>
        </is>
      </c>
      <c r="F9" s="39" t="n"/>
      <c r="G9" s="38" t="inlineStr">
        <is>
          <t>Identifies knowledge gaps that must be addressed in the knowledge transfer and runbook documentation plan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IMPL-001</t>
        </is>
      </c>
      <c r="B2" s="40" t="inlineStr">
        <is>
          <t>Implementation Planning</t>
        </is>
      </c>
      <c r="C2" s="40" t="inlineStr">
        <is>
          <t>Migration Approach</t>
        </is>
      </c>
      <c r="D2" s="40" t="inlineStr">
        <is>
          <t>Is this a pure greenfield deployment or will any existing AWS accounts be enrolled into the new organisation?</t>
        </is>
      </c>
      <c r="E2" s="40" t="inlineStr">
        <is>
          <t>Confirm whether informal/shadow accounts need to be migrated into AWS Organizations</t>
        </is>
      </c>
      <c r="F2" s="39" t="n"/>
      <c r="G2" s="40" t="inlineStr">
        <is>
          <t>Existing account enrolment adds complexity and risk to Phase 1; requires account preparation steps</t>
        </is>
      </c>
    </row>
    <row r="3">
      <c r="A3" s="38" t="inlineStr">
        <is>
          <t>IMPL-002</t>
        </is>
      </c>
      <c r="B3" s="38" t="inlineStr">
        <is>
          <t>Implementation Planning</t>
        </is>
      </c>
      <c r="C3" s="38" t="inlineStr">
        <is>
          <t>Migration Approach</t>
        </is>
      </c>
      <c r="D3" s="38" t="inlineStr">
        <is>
          <t>What is your preferred approach for the initial workload accounts — pilot with one account first, or provision all environment accounts simultaneously?</t>
        </is>
      </c>
      <c r="E3" s="38" t="inlineStr">
        <is>
          <t>Piloting reduces risk; simultaneous provisioning accelerates timeline</t>
        </is>
      </c>
      <c r="F3" s="39" t="n"/>
      <c r="G3" s="38" t="inlineStr">
        <is>
          <t>Impacts AFT configuration and Phase 3 account vending scope</t>
        </is>
      </c>
    </row>
    <row r="4">
      <c r="A4" s="40" t="inlineStr">
        <is>
          <t>IMPL-003</t>
        </is>
      </c>
      <c r="B4" s="40" t="inlineStr">
        <is>
          <t>Implementation Planning</t>
        </is>
      </c>
      <c r="C4" s="40" t="inlineStr">
        <is>
          <t>Downtime Tolerance</t>
        </is>
      </c>
      <c r="D4" s="40" t="inlineStr">
        <is>
          <t>For the on-premises connectivity cutover (VPN establishment), what is the maximum acceptable disruption to on-premises-to-cloud traffic?</t>
        </is>
      </c>
      <c r="E4" s="40" t="inlineStr">
        <is>
          <t>If zero downtime is required, dual-connection approach must be designed</t>
        </is>
      </c>
      <c r="F4" s="39" t="n"/>
      <c r="G4" s="40" t="inlineStr">
        <is>
          <t>VPN failover configuration and testing plan depends on downtime tolerance</t>
        </is>
      </c>
    </row>
    <row r="5">
      <c r="A5" s="38" t="inlineStr">
        <is>
          <t>IMPL-004</t>
        </is>
      </c>
      <c r="B5" s="38" t="inlineStr">
        <is>
          <t>Implementation Planning</t>
        </is>
      </c>
      <c r="C5" s="38" t="inlineStr">
        <is>
          <t>Resource Availability</t>
        </is>
      </c>
      <c r="D5" s="38" t="inlineStr">
        <is>
          <t>What internal team members are available to support the project and at what capacity? (hours per week per role)</t>
        </is>
      </c>
      <c r="E5" s="38" t="inlineStr">
        <is>
          <t>List roles: Cloud Engineer, Network Engineer, Security Analyst, FinOps, Application Owner</t>
        </is>
      </c>
      <c r="F5" s="39" t="n"/>
      <c r="G5" s="38" t="inlineStr">
        <is>
          <t>Under-resourced customer teams are the #1 cause of landing zone project delays</t>
        </is>
      </c>
    </row>
    <row r="6">
      <c r="A6" s="40" t="inlineStr">
        <is>
          <t>IMPL-005</t>
        </is>
      </c>
      <c r="B6" s="40" t="inlineStr">
        <is>
          <t>Implementation Planning</t>
        </is>
      </c>
      <c r="C6" s="40" t="inlineStr">
        <is>
          <t>Resource Availability</t>
        </is>
      </c>
      <c r="D6" s="40" t="inlineStr">
        <is>
          <t>Who will own the landing zone operationally after handover — an internal team, a managed services provider, or Amatra?</t>
        </is>
      </c>
      <c r="E6" s="40" t="inlineStr">
        <is>
          <t>Confirm ownership model and whether a managed service or ongoing advisory engagement is desired</t>
        </is>
      </c>
      <c r="F6" s="39" t="n"/>
      <c r="G6" s="40" t="inlineStr">
        <is>
          <t>Handover scope and runbook depth depend on the long-term operating model</t>
        </is>
      </c>
    </row>
    <row r="7">
      <c r="A7" s="38" t="inlineStr">
        <is>
          <t>IMPL-006</t>
        </is>
      </c>
      <c r="B7" s="38" t="inlineStr">
        <is>
          <t>Implementation Planning</t>
        </is>
      </c>
      <c r="C7" s="38" t="inlineStr">
        <is>
          <t>Training Needs</t>
        </is>
      </c>
      <c r="D7" s="38" t="inlineStr">
        <is>
          <t>What training is required for the team taking ownership of the landing zone post-handover?</t>
        </is>
      </c>
      <c r="E7" s="38" t="inlineStr">
        <is>
          <t>Options: hands-on workshops, recorded sessions, written runbooks, AWS Training courses</t>
        </is>
      </c>
      <c r="F7" s="39" t="n"/>
      <c r="G7" s="38" t="inlineStr">
        <is>
          <t>Training scope impacts Phase 3 timeline; complex environments may require 3–5 days of dedicated workshops</t>
        </is>
      </c>
    </row>
    <row r="8">
      <c r="A8" s="40" t="inlineStr">
        <is>
          <t>IMPL-007</t>
        </is>
      </c>
      <c r="B8" s="40" t="inlineStr">
        <is>
          <t>Implementation Planning</t>
        </is>
      </c>
      <c r="C8" s="40" t="inlineStr">
        <is>
          <t>UAT &amp; Go-Live</t>
        </is>
      </c>
      <c r="D8" s="40" t="inlineStr">
        <is>
          <t>What are the acceptance criteria your team will use to sign off on the landing zone at end of Phase 3?</t>
        </is>
      </c>
      <c r="E8" s="40" t="inlineStr">
        <is>
          <t>Examples: all Control Tower guardrails green, two workload accounts vended via AFT, Security Hub score above threshold</t>
        </is>
      </c>
      <c r="F8" s="39" t="n"/>
      <c r="G8" s="40" t="inlineStr">
        <is>
          <t>Formal acceptance criteria prevent scope creep and provide a clear project completion gate</t>
        </is>
      </c>
    </row>
    <row r="9">
      <c r="A9" s="38" t="inlineStr">
        <is>
          <t>IMPL-008</t>
        </is>
      </c>
      <c r="B9" s="38" t="inlineStr">
        <is>
          <t>Implementation Planning</t>
        </is>
      </c>
      <c r="C9" s="38" t="inlineStr">
        <is>
          <t>UAT &amp; Go-Live</t>
        </is>
      </c>
      <c r="D9" s="38" t="inlineStr">
        <is>
          <t>Who has authority to sign off on go-live readiness? (Technical lead, CISO, CTO, Steering Committee)</t>
        </is>
      </c>
      <c r="E9" s="38" t="inlineStr">
        <is>
          <t>Identify the approver and any committee review process required</t>
        </is>
      </c>
      <c r="F9" s="39" t="n"/>
      <c r="G9" s="38" t="inlineStr">
        <is>
          <t>Multi-stakeholder sign-off processes can add 1–2 weeks to Phase 3; plan accordingly</t>
        </is>
      </c>
    </row>
    <row r="10">
      <c r="A10" s="40" t="inlineStr">
        <is>
          <t>IMPL-009</t>
        </is>
      </c>
      <c r="B10" s="40" t="inlineStr">
        <is>
          <t>Implementation Planning</t>
        </is>
      </c>
      <c r="C10" s="40" t="inlineStr">
        <is>
          <t>Change Management</t>
        </is>
      </c>
      <c r="D10" s="40" t="inlineStr">
        <is>
          <t>Is there a formal change management or change advisory board (CAB) process that AWS infrastructure changes must pass through?</t>
        </is>
      </c>
      <c r="E10" s="40" t="inlineStr">
        <is>
          <t>Describe the CAB cadence and lead time required for change approvals</t>
        </is>
      </c>
      <c r="F10" s="39" t="n"/>
      <c r="G10" s="40" t="inlineStr">
        <is>
          <t>CAB approval cycles must be factored into phase transition planning and cutover scheduling</t>
        </is>
      </c>
    </row>
    <row r="11">
      <c r="A11" s="38" t="inlineStr">
        <is>
          <t>IMPL-010</t>
        </is>
      </c>
      <c r="B11" s="38" t="inlineStr">
        <is>
          <t>Implementation Planning</t>
        </is>
      </c>
      <c r="C11" s="38" t="inlineStr">
        <is>
          <t>Documentation</t>
        </is>
      </c>
      <c r="D11" s="38" t="inlineStr">
        <is>
          <t>What documentation deliverables are required at project close? (Architecture diagrams, runbooks, decision records, as-built documentation)</t>
        </is>
      </c>
      <c r="E11" s="38" t="inlineStr">
        <is>
          <t>List required documents and any templates that must be used</t>
        </is>
      </c>
      <c r="F11" s="39" t="n"/>
      <c r="G11" s="38" t="inlineStr">
        <is>
          <t>Documentation scope impacts Phase 3 effort estimate; confirm format requirements (Confluence, Word, 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RISK-001</t>
        </is>
      </c>
      <c r="B2" s="40" t="inlineStr">
        <is>
          <t>Risk &amp; Constraints</t>
        </is>
      </c>
      <c r="C2" s="40" t="inlineStr">
        <is>
          <t>Technical Dependencies</t>
        </is>
      </c>
      <c r="D2" s="40" t="inlineStr">
        <is>
          <t>Is AWS Direct Connect being considered? If so, has a provider been selected and has the lead time been confirmed?</t>
        </is>
      </c>
      <c r="E2" s="40" t="inlineStr">
        <is>
          <t>Direct Connect provisioning can take 4–12 weeks depending on location and provider</t>
        </is>
      </c>
      <c r="F2" s="39" t="n"/>
      <c r="G2" s="40" t="inlineStr">
        <is>
          <t>If Direct Connect is required by go-live, it must be ordered in Week 1 of the project to avoid timeline slippage</t>
        </is>
      </c>
    </row>
    <row r="3">
      <c r="A3" s="38" t="inlineStr">
        <is>
          <t>RISK-002</t>
        </is>
      </c>
      <c r="B3" s="38" t="inlineStr">
        <is>
          <t>Risk &amp; Constraints</t>
        </is>
      </c>
      <c r="C3" s="38" t="inlineStr">
        <is>
          <t>Technical Dependencies</t>
        </is>
      </c>
      <c r="D3" s="38" t="inlineStr">
        <is>
          <t>Are there any third-party security or network tools (SIEM, CASB, NGFW) that must be in place before workloads can be onboarded?</t>
        </is>
      </c>
      <c r="E3" s="38" t="inlineStr">
        <is>
          <t>List tools, vendors, and procurement/deployment status</t>
        </is>
      </c>
      <c r="F3" s="39" t="n"/>
      <c r="G3" s="38" t="inlineStr">
        <is>
          <t>Undeployed third-party tooling can block workload onboarding; confirm procurement timelines</t>
        </is>
      </c>
    </row>
    <row r="4">
      <c r="A4" s="40" t="inlineStr">
        <is>
          <t>RISK-003</t>
        </is>
      </c>
      <c r="B4" s="40" t="inlineStr">
        <is>
          <t>Risk &amp; Constraints</t>
        </is>
      </c>
      <c r="C4" s="40" t="inlineStr">
        <is>
          <t>Constraints</t>
        </is>
      </c>
      <c r="D4" s="40" t="inlineStr">
        <is>
          <t>Are there any constraints on the Terraform or IaC tooling version? (e.g. enterprise policy mandating specific Terraform version or HashiCorp licencing restrictions)</t>
        </is>
      </c>
      <c r="E4" s="40" t="inlineStr">
        <is>
          <t>Note the BSL licence change introduced in Terraform 1.6+ and OpenTofu as an alternative</t>
        </is>
      </c>
      <c r="F4" s="39" t="n"/>
      <c r="G4" s="40" t="inlineStr">
        <is>
          <t>Licencing constraints may require a pivot to OpenTofu or AWS CDK; must be resolved before AFT pipeline design</t>
        </is>
      </c>
    </row>
    <row r="5">
      <c r="A5" s="38" t="inlineStr">
        <is>
          <t>RISK-004</t>
        </is>
      </c>
      <c r="B5" s="38" t="inlineStr">
        <is>
          <t>Risk &amp; Constraints</t>
        </is>
      </c>
      <c r="C5" s="38" t="inlineStr">
        <is>
          <t>Assumptions</t>
        </is>
      </c>
      <c r="D5" s="38" t="inlineStr">
        <is>
          <t>Does your organisation have an existing AWS account creation process that Account Factory for Terraform will replace?</t>
        </is>
      </c>
      <c r="E5" s="38" t="inlineStr">
        <is>
          <t>Describe any existing manual or ticket-based provisioning workflows that need to be decommissioned</t>
        </is>
      </c>
      <c r="F5" s="39" t="n"/>
      <c r="G5" s="38" t="inlineStr">
        <is>
          <t>Parallel processes create governance risk; old provisioning methods must be formally retired at Phase 3 go-live</t>
        </is>
      </c>
    </row>
    <row r="6">
      <c r="A6" s="40" t="inlineStr">
        <is>
          <t>RISK-005</t>
        </is>
      </c>
      <c r="B6" s="40" t="inlineStr">
        <is>
          <t>Risk &amp; Constraints</t>
        </is>
      </c>
      <c r="C6" s="40" t="inlineStr">
        <is>
          <t>Project Risks</t>
        </is>
      </c>
      <c r="D6" s="40" t="inlineStr">
        <is>
          <t>What organisational risks could delay stakeholder availability or decision-making during the 3-month engagement?</t>
        </is>
      </c>
      <c r="E6" s="40" t="inlineStr">
        <is>
          <t>Examples: upcoming M&amp;A activity, leadership changes, competing IT projects, regulatory audits</t>
        </is>
      </c>
      <c r="F6" s="39" t="n"/>
      <c r="G6" s="40" t="inlineStr">
        <is>
          <t>Proactive risk identification allows contingency planning and realistic timeline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2026-08-16T23:26:52Z</dcterms:modified>
  <cp:lastModifiedBy>Kishan Siram</cp:lastModifiedBy>
</cp:coreProperties>
</file>