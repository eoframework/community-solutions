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Costs'!$A$2:$K$24</definedName>
    <definedName name="_xlnm._FilterDatabase" localSheetId="3" hidden="1">'Credits'!$A$2:$D$10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  <xf numFmtId="0" fontId="16" fillId="10" borderId="5" applyAlignment="1" pivotButton="0" quotePrefix="0" xfId="0">
      <alignment horizontal="right" vertical="center" wrapText="1"/>
    </xf>
    <xf numFmtId="0" fontId="16" fillId="4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August 16, 2026</t>
        </is>
      </c>
    </row>
    <row r="6" ht="18" customHeight="1">
      <c r="B6" s="2" t="inlineStr">
        <is>
          <t>Solution:</t>
        </is>
      </c>
      <c r="C6" s="3" t="inlineStr">
        <is>
          <t>Tmpjxtoe4F5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AWS Accounts</t>
        </is>
      </c>
      <c r="C3" s="38" t="inlineStr">
        <is>
          <t>5-10 accounts</t>
        </is>
      </c>
      <c r="D3" s="38" t="inlineStr">
        <is>
          <t>11-30 accounts</t>
        </is>
      </c>
      <c r="E3" s="38" t="inlineStr">
        <is>
          <t>31+ accounts</t>
        </is>
      </c>
      <c r="F3" s="37" t="inlineStr">
        <is>
          <t>Total accounts enrolled in Control Tower</t>
        </is>
      </c>
    </row>
    <row r="4" ht="26" customHeight="1">
      <c r="A4" s="39" t="inlineStr">
        <is>
          <t>Cloud Services</t>
        </is>
      </c>
      <c r="B4" s="40" t="inlineStr">
        <is>
          <t>Governed Regions</t>
        </is>
      </c>
      <c r="C4" s="41" t="inlineStr">
        <is>
          <t>1-2 regions</t>
        </is>
      </c>
      <c r="D4" s="41" t="inlineStr">
        <is>
          <t>2-4 regions</t>
        </is>
      </c>
      <c r="E4" s="41" t="inlineStr">
        <is>
          <t>4+ regions</t>
        </is>
      </c>
      <c r="F4" s="40" t="inlineStr">
        <is>
          <t>AWS regions enrolled and governed by Control Tower</t>
        </is>
      </c>
    </row>
    <row r="5" ht="26" customHeight="1">
      <c r="A5" s="36" t="inlineStr">
        <is>
          <t>Cloud Services</t>
        </is>
      </c>
      <c r="B5" s="37" t="inlineStr">
        <is>
          <t>Config Rules</t>
        </is>
      </c>
      <c r="C5" s="38" t="inlineStr">
        <is>
          <t>50-100 rules</t>
        </is>
      </c>
      <c r="D5" s="38" t="inlineStr">
        <is>
          <t>100-300 rules</t>
        </is>
      </c>
      <c r="E5" s="38" t="inlineStr">
        <is>
          <t>300+ rules</t>
        </is>
      </c>
      <c r="F5" s="37" t="inlineStr">
        <is>
          <t>AWS Config managed rules across all accounts</t>
        </is>
      </c>
    </row>
    <row r="6" ht="26" customHeight="1">
      <c r="A6" s="39" t="inlineStr">
        <is>
          <t>Cloud Services</t>
        </is>
      </c>
      <c r="B6" s="40" t="inlineStr">
        <is>
          <t>CloudTrail Events</t>
        </is>
      </c>
      <c r="C6" s="41" t="inlineStr">
        <is>
          <t>&lt;100M events/month</t>
        </is>
      </c>
      <c r="D6" s="41" t="inlineStr">
        <is>
          <t>100M-500M events/month</t>
        </is>
      </c>
      <c r="E6" s="41" t="inlineStr">
        <is>
          <t>&gt;500M events/month</t>
        </is>
      </c>
      <c r="F6" s="40" t="inlineStr">
        <is>
          <t>Organization trail event volume</t>
        </is>
      </c>
    </row>
    <row r="7" ht="26" customHeight="1">
      <c r="A7" s="36" t="inlineStr">
        <is>
          <t>Cloud Services</t>
        </is>
      </c>
      <c r="B7" s="37" t="inlineStr">
        <is>
          <t>GuardDuty Finding Volume</t>
        </is>
      </c>
      <c r="C7" s="38" t="inlineStr">
        <is>
          <t>&lt;10K findings/month</t>
        </is>
      </c>
      <c r="D7" s="38" t="inlineStr">
        <is>
          <t>10K-100K findings/month</t>
        </is>
      </c>
      <c r="E7" s="38" t="inlineStr">
        <is>
          <t>&gt;100K findings/month</t>
        </is>
      </c>
      <c r="F7" s="37" t="inlineStr">
        <is>
          <t>Threat detection events processed</t>
        </is>
      </c>
    </row>
    <row r="8" ht="26" customHeight="1">
      <c r="A8" s="39" t="inlineStr">
        <is>
          <t>Connectivity</t>
        </is>
      </c>
      <c r="B8" s="40" t="inlineStr">
        <is>
          <t>Transit Gateway Attachments</t>
        </is>
      </c>
      <c r="C8" s="41" t="inlineStr">
        <is>
          <t>5-10 attachments</t>
        </is>
      </c>
      <c r="D8" s="41" t="inlineStr">
        <is>
          <t>11-50 attachments</t>
        </is>
      </c>
      <c r="E8" s="41" t="inlineStr">
        <is>
          <t>51+ attachments</t>
        </is>
      </c>
      <c r="F8" s="40" t="inlineStr">
        <is>
          <t>VPC and VPN attachments per TGW</t>
        </is>
      </c>
    </row>
    <row r="9" ht="26" customHeight="1">
      <c r="A9" s="36" t="inlineStr">
        <is>
          <t>Cloud Services</t>
        </is>
      </c>
      <c r="B9" s="37" t="inlineStr">
        <is>
          <t>Log Storage (S3)</t>
        </is>
      </c>
      <c r="C9" s="38" t="inlineStr">
        <is>
          <t>500 GB/month</t>
        </is>
      </c>
      <c r="D9" s="38" t="inlineStr">
        <is>
          <t>1-5 TB/month</t>
        </is>
      </c>
      <c r="E9" s="38" t="inlineStr">
        <is>
          <t>5+ TB/month</t>
        </is>
      </c>
      <c r="F9" s="37" t="inlineStr">
        <is>
          <t>CloudTrail and Config logs in S3 (Log Archive)</t>
        </is>
      </c>
    </row>
    <row r="10" ht="26" customHeight="1">
      <c r="A10" s="39" t="inlineStr">
        <is>
          <t>Support &amp; Maintenance</t>
        </is>
      </c>
      <c r="B10" s="40" t="inlineStr">
        <is>
          <t>AWS Support Tier</t>
        </is>
      </c>
      <c r="C10" s="41" t="inlineStr">
        <is>
          <t>Developer</t>
        </is>
      </c>
      <c r="D10" s="41" t="inlineStr">
        <is>
          <t>Business</t>
        </is>
      </c>
      <c r="E10" s="41" t="inlineStr">
        <is>
          <t>Enterprise</t>
        </is>
      </c>
      <c r="F10" s="40" t="inlineStr">
        <is>
          <t>AWS support plan level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AWS Control Tower</t>
        </is>
      </c>
      <c r="C3" s="43" t="inlineStr">
        <is>
          <t>Multi-region governance (us-east-1 + us-east-2)</t>
        </is>
      </c>
      <c r="D3" s="44" t="n">
        <v>1</v>
      </c>
      <c r="E3" s="43" t="inlineStr">
        <is>
          <t>Service/Month</t>
        </is>
      </c>
      <c r="F3" s="45" t="n">
        <v>0</v>
      </c>
      <c r="G3" s="45" t="n">
        <v>0</v>
      </c>
      <c r="H3" s="44" t="n">
        <v>0</v>
      </c>
      <c r="I3" s="44" t="n">
        <v>0</v>
      </c>
      <c r="J3" s="44" t="n">
        <v>0</v>
      </c>
      <c r="K3" s="43" t="inlineStr">
        <is>
          <t>No direct charge; costs reflected in underlying services</t>
        </is>
      </c>
    </row>
    <row r="4" ht="26" customHeight="1">
      <c r="A4" s="46" t="inlineStr">
        <is>
          <t>Cloud Services</t>
        </is>
      </c>
      <c r="B4" s="47" t="inlineStr">
        <is>
          <t>AWS Organizations</t>
        </is>
      </c>
      <c r="C4" s="47" t="inlineStr">
        <is>
          <t>Multi-account management service</t>
        </is>
      </c>
      <c r="D4" s="48" t="n">
        <v>1</v>
      </c>
      <c r="E4" s="47" t="inlineStr">
        <is>
          <t>Service/Month</t>
        </is>
      </c>
      <c r="F4" s="49" t="n">
        <v>0</v>
      </c>
      <c r="G4" s="49" t="n">
        <v>0</v>
      </c>
      <c r="H4" s="48" t="n">
        <v>0</v>
      </c>
      <c r="I4" s="48" t="n">
        <v>0</v>
      </c>
      <c r="J4" s="48" t="n">
        <v>0</v>
      </c>
      <c r="K4" s="47" t="inlineStr">
        <is>
          <t>No additional charge for AWS Organizations</t>
        </is>
      </c>
    </row>
    <row r="5" ht="26" customHeight="1">
      <c r="A5" s="42" t="inlineStr">
        <is>
          <t>Cloud Services</t>
        </is>
      </c>
      <c r="B5" s="43" t="inlineStr">
        <is>
          <t>AWS IAM Identity Center</t>
        </is>
      </c>
      <c r="C5" s="43" t="inlineStr">
        <is>
          <t>SSO for all accounts (up to 50 users)</t>
        </is>
      </c>
      <c r="D5" s="44" t="n">
        <v>1</v>
      </c>
      <c r="E5" s="43" t="inlineStr">
        <is>
          <t>Service/Month</t>
        </is>
      </c>
      <c r="F5" s="45" t="n">
        <v>0</v>
      </c>
      <c r="G5" s="45" t="n">
        <v>0</v>
      </c>
      <c r="H5" s="44" t="n">
        <v>0</v>
      </c>
      <c r="I5" s="44" t="n">
        <v>0</v>
      </c>
      <c r="J5" s="44" t="n">
        <v>0</v>
      </c>
      <c r="K5" s="43" t="inlineStr">
        <is>
          <t>No charge for IAM Identity Center</t>
        </is>
      </c>
    </row>
    <row r="6" ht="26" customHeight="1">
      <c r="A6" s="46" t="inlineStr">
        <is>
          <t>Cloud Services</t>
        </is>
      </c>
      <c r="B6" s="47" t="inlineStr">
        <is>
          <t>AWS Config</t>
        </is>
      </c>
      <c r="C6" s="47" t="inlineStr">
        <is>
          <t>Config recorder + rules (both regions; ~150 rules x 10 accounts)</t>
        </is>
      </c>
      <c r="D6" s="48" t="n">
        <v>1</v>
      </c>
      <c r="E6" s="47" t="inlineStr">
        <is>
          <t>Service/Month</t>
        </is>
      </c>
      <c r="F6" s="49" t="n">
        <v>270</v>
      </c>
      <c r="G6" s="49" t="n">
        <v>3240</v>
      </c>
      <c r="H6" s="48" t="n">
        <v>3240</v>
      </c>
      <c r="I6" s="48" t="n">
        <v>3240</v>
      </c>
      <c r="J6" s="48" t="n">
        <v>9720</v>
      </c>
      <c r="K6" s="47" t="inlineStr">
        <is>
          <t>Config rules at $0.003/rule/eval; ~150 rules across 10 accounts per region</t>
        </is>
      </c>
    </row>
    <row r="7" ht="26" customHeight="1">
      <c r="A7" s="42" t="inlineStr">
        <is>
          <t>Cloud Services</t>
        </is>
      </c>
      <c r="B7" s="43" t="inlineStr">
        <is>
          <t>AWS CloudTrail</t>
        </is>
      </c>
      <c r="C7" s="43" t="inlineStr">
        <is>
          <t>Organization trail (both regions; ~100M events/month)</t>
        </is>
      </c>
      <c r="D7" s="44" t="n">
        <v>1</v>
      </c>
      <c r="E7" s="43" t="inlineStr">
        <is>
          <t>Service/Month</t>
        </is>
      </c>
      <c r="F7" s="45" t="n">
        <v>200</v>
      </c>
      <c r="G7" s="45" t="n">
        <v>2400</v>
      </c>
      <c r="H7" s="44" t="n">
        <v>2400</v>
      </c>
      <c r="I7" s="44" t="n">
        <v>2400</v>
      </c>
      <c r="J7" s="44" t="n">
        <v>7200</v>
      </c>
      <c r="K7" s="43" t="inlineStr">
        <is>
          <t>CloudTrail Lake + management events; ~$0.002/10K management events</t>
        </is>
      </c>
    </row>
    <row r="8" ht="26" customHeight="1">
      <c r="A8" s="46" t="inlineStr">
        <is>
          <t>Cloud Services</t>
        </is>
      </c>
      <c r="B8" s="47" t="inlineStr">
        <is>
          <t>Amazon GuardDuty</t>
        </is>
      </c>
      <c r="C8" s="47" t="inlineStr">
        <is>
          <t>Threat detection (both regions; ~500GB analyzed/month)</t>
        </is>
      </c>
      <c r="D8" s="48" t="n">
        <v>1</v>
      </c>
      <c r="E8" s="47" t="inlineStr">
        <is>
          <t>Service/Month</t>
        </is>
      </c>
      <c r="F8" s="49" t="n">
        <v>150</v>
      </c>
      <c r="G8" s="49" t="n">
        <v>1800</v>
      </c>
      <c r="H8" s="48" t="n">
        <v>1800</v>
      </c>
      <c r="I8" s="48" t="n">
        <v>1800</v>
      </c>
      <c r="J8" s="48" t="n">
        <v>5400</v>
      </c>
      <c r="K8" s="47" t="inlineStr">
        <is>
          <t>GuardDuty at ~$0.80/GB for VPC Flow Logs + CloudTrail</t>
        </is>
      </c>
    </row>
    <row r="9" ht="26" customHeight="1">
      <c r="A9" s="42" t="inlineStr">
        <is>
          <t>Cloud Services</t>
        </is>
      </c>
      <c r="B9" s="43" t="inlineStr">
        <is>
          <t>AWS Security Hub</t>
        </is>
      </c>
      <c r="C9" s="43" t="inlineStr">
        <is>
          <t>CSPM aggregated findings (both regions; 10 accounts x ~1000 findings)</t>
        </is>
      </c>
      <c r="D9" s="44" t="n">
        <v>1</v>
      </c>
      <c r="E9" s="43" t="inlineStr">
        <is>
          <t>Service/Month</t>
        </is>
      </c>
      <c r="F9" s="45" t="n">
        <v>100</v>
      </c>
      <c r="G9" s="45" t="n">
        <v>1200</v>
      </c>
      <c r="H9" s="44" t="n">
        <v>1200</v>
      </c>
      <c r="I9" s="44" t="n">
        <v>1200</v>
      </c>
      <c r="J9" s="44" t="n">
        <v>3600</v>
      </c>
      <c r="K9" s="43" t="inlineStr">
        <is>
          <t>Security Hub $0.001/finding check; aggregated to Audit account</t>
        </is>
      </c>
    </row>
    <row r="10" ht="26" customHeight="1">
      <c r="A10" s="46" t="inlineStr">
        <is>
          <t>Cloud Services</t>
        </is>
      </c>
      <c r="B10" s="47" t="inlineStr">
        <is>
          <t>Amazon CloudWatch</t>
        </is>
      </c>
      <c r="C10" s="47" t="inlineStr">
        <is>
          <t>Centralized monitoring; logs ingestion ~50GB/month</t>
        </is>
      </c>
      <c r="D10" s="48" t="n">
        <v>1</v>
      </c>
      <c r="E10" s="47" t="inlineStr">
        <is>
          <t>Service/Month</t>
        </is>
      </c>
      <c r="F10" s="49" t="n">
        <v>180</v>
      </c>
      <c r="G10" s="49" t="n">
        <v>2160</v>
      </c>
      <c r="H10" s="48" t="n">
        <v>2160</v>
      </c>
      <c r="I10" s="48" t="n">
        <v>2160</v>
      </c>
      <c r="J10" s="48" t="n">
        <v>6480</v>
      </c>
      <c r="K10" s="47" t="inlineStr">
        <is>
          <t>Metrics + logs ingestion + dashboards in Shared Services account</t>
        </is>
      </c>
    </row>
    <row r="11" ht="26" customHeight="1">
      <c r="A11" s="42" t="inlineStr">
        <is>
          <t>Cloud Services</t>
        </is>
      </c>
      <c r="B11" s="43" t="inlineStr">
        <is>
          <t>AWS Transit Gateway</t>
        </is>
      </c>
      <c r="C11" s="43" t="inlineStr">
        <is>
          <t>TGW in us-east-1 + us-east-2 (~10 attachments x 2 regions)</t>
        </is>
      </c>
      <c r="D11" s="44" t="n">
        <v>2</v>
      </c>
      <c r="E11" s="43" t="inlineStr">
        <is>
          <t>Gateway/Month</t>
        </is>
      </c>
      <c r="F11" s="45" t="n">
        <v>219</v>
      </c>
      <c r="G11" s="45" t="n">
        <v>5256</v>
      </c>
      <c r="H11" s="44" t="n">
        <v>5256</v>
      </c>
      <c r="I11" s="44" t="n">
        <v>5256</v>
      </c>
      <c r="J11" s="44" t="n">
        <v>15768</v>
      </c>
      <c r="K11" s="43" t="inlineStr">
        <is>
          <t>TGW $0.05/attachment/hr + $0.02/GB data processed (~100GB/month)</t>
        </is>
      </c>
    </row>
    <row r="12" ht="26" customHeight="1">
      <c r="A12" s="46" t="inlineStr">
        <is>
          <t>Cloud Services</t>
        </is>
      </c>
      <c r="B12" s="47" t="inlineStr">
        <is>
          <t>NAT Gateway</t>
        </is>
      </c>
      <c r="C12" s="47" t="inlineStr">
        <is>
          <t>Centralized egress in Network Hub (both regions)</t>
        </is>
      </c>
      <c r="D12" s="48" t="n">
        <v>2</v>
      </c>
      <c r="E12" s="47" t="inlineStr">
        <is>
          <t>Gateway/Month</t>
        </is>
      </c>
      <c r="F12" s="49" t="n">
        <v>35</v>
      </c>
      <c r="G12" s="49" t="n">
        <v>840</v>
      </c>
      <c r="H12" s="48" t="n">
        <v>840</v>
      </c>
      <c r="I12" s="48" t="n">
        <v>840</v>
      </c>
      <c r="J12" s="48" t="n">
        <v>2520</v>
      </c>
      <c r="K12" s="47" t="inlineStr">
        <is>
          <t>NAT Gateway $0.045/hr + $0.045/GB; low initial traffic</t>
        </is>
      </c>
    </row>
    <row r="13" ht="26" customHeight="1">
      <c r="A13" s="42" t="inlineStr">
        <is>
          <t>Cloud Services</t>
        </is>
      </c>
      <c r="B13" s="43" t="inlineStr">
        <is>
          <t>VPC IPAM</t>
        </is>
      </c>
      <c r="C13" s="43" t="inlineStr">
        <is>
          <t>IP address management across all VPCs and accounts</t>
        </is>
      </c>
      <c r="D13" s="44" t="n">
        <v>1</v>
      </c>
      <c r="E13" s="43" t="inlineStr">
        <is>
          <t>Service/Month</t>
        </is>
      </c>
      <c r="F13" s="45" t="n">
        <v>20</v>
      </c>
      <c r="G13" s="45" t="n">
        <v>240</v>
      </c>
      <c r="H13" s="44" t="n">
        <v>240</v>
      </c>
      <c r="I13" s="44" t="n">
        <v>240</v>
      </c>
      <c r="J13" s="44" t="n">
        <v>720</v>
      </c>
      <c r="K13" s="43" t="inlineStr">
        <is>
          <t>IPAM $0.00027/IP/hr for advanced tier; ~2000 IPs managed</t>
        </is>
      </c>
    </row>
    <row r="14" ht="26" customHeight="1">
      <c r="A14" s="46" t="inlineStr">
        <is>
          <t>Cloud Services</t>
        </is>
      </c>
      <c r="B14" s="47" t="inlineStr">
        <is>
          <t>AWS Network Firewall</t>
        </is>
      </c>
      <c r="C14" s="47" t="inlineStr">
        <is>
          <t>North-south + east-west inspection (both regions)</t>
        </is>
      </c>
      <c r="D14" s="48" t="n">
        <v>2</v>
      </c>
      <c r="E14" s="47" t="inlineStr">
        <is>
          <t>Firewall/Month</t>
        </is>
      </c>
      <c r="F14" s="49" t="n">
        <v>395</v>
      </c>
      <c r="G14" s="49" t="n">
        <v>9480</v>
      </c>
      <c r="H14" s="48" t="n">
        <v>9480</v>
      </c>
      <c r="I14" s="48" t="n">
        <v>9480</v>
      </c>
      <c r="J14" s="48" t="n">
        <v>28440</v>
      </c>
      <c r="K14" s="47" t="inlineStr">
        <is>
          <t>Network Firewall $0.395/hr per endpoint + $0.065/GB processed</t>
        </is>
      </c>
    </row>
    <row r="15" ht="26" customHeight="1">
      <c r="A15" s="42" t="inlineStr">
        <is>
          <t>Cloud Services</t>
        </is>
      </c>
      <c r="B15" s="43" t="inlineStr">
        <is>
          <t>Amazon S3</t>
        </is>
      </c>
      <c r="C15" s="43" t="inlineStr">
        <is>
          <t>Log Archive bucket (CloudTrail + Config logs ~500GB/month)</t>
        </is>
      </c>
      <c r="D15" s="44" t="n">
        <v>500</v>
      </c>
      <c r="E15" s="43" t="inlineStr">
        <is>
          <t>GB/Month</t>
        </is>
      </c>
      <c r="F15" s="45" t="n">
        <v>0.023</v>
      </c>
      <c r="G15" s="45" t="n">
        <v>138</v>
      </c>
      <c r="H15" s="44" t="n">
        <v>138</v>
      </c>
      <c r="I15" s="44" t="n">
        <v>138</v>
      </c>
      <c r="J15" s="44" t="n">
        <v>414</v>
      </c>
      <c r="K15" s="43" t="inlineStr">
        <is>
          <t>S3 Standard $0.023/GB; centralized logging account</t>
        </is>
      </c>
    </row>
    <row r="16" ht="26" customHeight="1">
      <c r="A16" s="46" t="inlineStr">
        <is>
          <t>Cloud Services</t>
        </is>
      </c>
      <c r="B16" s="47" t="inlineStr">
        <is>
          <t>S3 Glacier Instant</t>
        </is>
      </c>
      <c r="C16" s="47" t="inlineStr">
        <is>
          <t>Long-term log retention (compliance archive ~500GB/month)</t>
        </is>
      </c>
      <c r="D16" s="48" t="n">
        <v>500</v>
      </c>
      <c r="E16" s="47" t="inlineStr">
        <is>
          <t>GB/Month</t>
        </is>
      </c>
      <c r="F16" s="49" t="n">
        <v>0.004</v>
      </c>
      <c r="G16" s="49" t="n">
        <v>24</v>
      </c>
      <c r="H16" s="48" t="n">
        <v>24</v>
      </c>
      <c r="I16" s="48" t="n">
        <v>24</v>
      </c>
      <c r="J16" s="48" t="n">
        <v>72</v>
      </c>
      <c r="K16" s="47" t="inlineStr">
        <is>
          <t>Glacier Instant Retrieval for older audit logs</t>
        </is>
      </c>
    </row>
    <row r="17" ht="26" customHeight="1">
      <c r="A17" s="42" t="inlineStr">
        <is>
          <t>Cloud Services</t>
        </is>
      </c>
      <c r="B17" s="43" t="inlineStr">
        <is>
          <t>AWS Budgets</t>
        </is>
      </c>
      <c r="C17" s="43" t="inlineStr">
        <is>
          <t>Budget alerts (10 accounts x 2 budget rules each)</t>
        </is>
      </c>
      <c r="D17" s="44" t="n">
        <v>20</v>
      </c>
      <c r="E17" s="43" t="inlineStr">
        <is>
          <t>Budget/Month</t>
        </is>
      </c>
      <c r="F17" s="45" t="n">
        <v>0.1</v>
      </c>
      <c r="G17" s="45" t="n">
        <v>24</v>
      </c>
      <c r="H17" s="44" t="n">
        <v>24</v>
      </c>
      <c r="I17" s="44" t="n">
        <v>24</v>
      </c>
      <c r="J17" s="44" t="n">
        <v>72</v>
      </c>
      <c r="K17" s="43" t="inlineStr">
        <is>
          <t>First 2 budgets/account free; additional at $0.10/budget/day</t>
        </is>
      </c>
    </row>
    <row r="18" ht="26" customHeight="1">
      <c r="A18" s="46" t="inlineStr">
        <is>
          <t>Cloud Services</t>
        </is>
      </c>
      <c r="B18" s="47" t="inlineStr">
        <is>
          <t>AWS Cost Explorer</t>
        </is>
      </c>
      <c r="C18" s="47" t="inlineStr">
        <is>
          <t>FinOps cost visibility and anomaly detection</t>
        </is>
      </c>
      <c r="D18" s="48" t="n">
        <v>1</v>
      </c>
      <c r="E18" s="47" t="inlineStr">
        <is>
          <t>Service/Month</t>
        </is>
      </c>
      <c r="F18" s="49" t="n">
        <v>10</v>
      </c>
      <c r="G18" s="49" t="n">
        <v>120</v>
      </c>
      <c r="H18" s="48" t="n">
        <v>120</v>
      </c>
      <c r="I18" s="48" t="n">
        <v>120</v>
      </c>
      <c r="J18" s="48" t="n">
        <v>360</v>
      </c>
      <c r="K18" s="47" t="inlineStr">
        <is>
          <t>Cost Explorer activated; anomaly detection included</t>
        </is>
      </c>
    </row>
    <row r="19" ht="26" customHeight="1">
      <c r="A19" s="42" t="inlineStr">
        <is>
          <t>Cloud Services</t>
        </is>
      </c>
      <c r="B19" s="43" t="inlineStr">
        <is>
          <t>Amazon VPC</t>
        </is>
      </c>
      <c r="C19" s="43" t="inlineStr">
        <is>
          <t>VPC + subnets for hub + spoke topology (~8 VPCs)</t>
        </is>
      </c>
      <c r="D19" s="44" t="n">
        <v>1</v>
      </c>
      <c r="E19" s="43" t="inlineStr">
        <is>
          <t>Service/Month</t>
        </is>
      </c>
      <c r="F19" s="45" t="n">
        <v>50</v>
      </c>
      <c r="G19" s="45" t="n">
        <v>600</v>
      </c>
      <c r="H19" s="44" t="n">
        <v>600</v>
      </c>
      <c r="I19" s="44" t="n">
        <v>600</v>
      </c>
      <c r="J19" s="44" t="n">
        <v>1800</v>
      </c>
      <c r="K19" s="43" t="inlineStr">
        <is>
          <t>VPC data processing fees; minimal baseline cost</t>
        </is>
      </c>
    </row>
    <row r="20" ht="26" customHeight="1">
      <c r="A20" s="46" t="inlineStr">
        <is>
          <t>Cloud Services</t>
        </is>
      </c>
      <c r="B20" s="47" t="inlineStr">
        <is>
          <t>Account Factory for Terraform</t>
        </is>
      </c>
      <c r="C20" s="47" t="inlineStr">
        <is>
          <t>AFT CodePipeline + CodeBuild execution (CI/CD for account vending)</t>
        </is>
      </c>
      <c r="D20" s="48" t="n">
        <v>1</v>
      </c>
      <c r="E20" s="47" t="inlineStr">
        <is>
          <t>Service/Month</t>
        </is>
      </c>
      <c r="F20" s="49" t="n">
        <v>75</v>
      </c>
      <c r="G20" s="49" t="n">
        <v>900</v>
      </c>
      <c r="H20" s="48" t="n">
        <v>900</v>
      </c>
      <c r="I20" s="48" t="n">
        <v>900</v>
      </c>
      <c r="J20" s="48" t="n">
        <v>2700</v>
      </c>
      <c r="K20" s="47" t="inlineStr">
        <is>
          <t>CodePipeline $1/pipeline + CodeBuild minutes for AFT automation</t>
        </is>
      </c>
    </row>
    <row r="21" ht="26" customHeight="1">
      <c r="A21" s="42" t="inlineStr">
        <is>
          <t>Software Licenses</t>
        </is>
      </c>
      <c r="B21" s="43" t="inlineStr">
        <is>
          <t>Terraform Cloud</t>
        </is>
      </c>
      <c r="C21" s="43" t="inlineStr">
        <is>
          <t>IaC platform for AFT and workload infrastructure (Team tier)</t>
        </is>
      </c>
      <c r="D21" s="44" t="n">
        <v>1</v>
      </c>
      <c r="E21" s="43" t="inlineStr">
        <is>
          <t>Service/Month</t>
        </is>
      </c>
      <c r="F21" s="45" t="n">
        <v>40</v>
      </c>
      <c r="G21" s="45" t="n">
        <v>480</v>
      </c>
      <c r="H21" s="44" t="n">
        <v>480</v>
      </c>
      <c r="I21" s="44" t="n">
        <v>480</v>
      </c>
      <c r="J21" s="44" t="n">
        <v>1440</v>
      </c>
      <c r="K21" s="43" t="inlineStr">
        <is>
          <t>HashiCorp Terraform Cloud Team tier; ~5 users</t>
        </is>
      </c>
    </row>
    <row r="22" ht="26" customHeight="1">
      <c r="A22" s="46" t="inlineStr">
        <is>
          <t>Support &amp; Maintenance</t>
        </is>
      </c>
      <c r="B22" s="47" t="inlineStr">
        <is>
          <t>AWS Business Support</t>
        </is>
      </c>
      <c r="C22" s="47" t="inlineStr">
        <is>
          <t>Business support plan (min 10% of monthly AWS charges)</t>
        </is>
      </c>
      <c r="D22" s="48" t="n">
        <v>1</v>
      </c>
      <c r="E22" s="47" t="inlineStr">
        <is>
          <t>Service/Month</t>
        </is>
      </c>
      <c r="F22" s="49" t="n">
        <v>350</v>
      </c>
      <c r="G22" s="49" t="n">
        <v>4200</v>
      </c>
      <c r="H22" s="48" t="n">
        <v>4200</v>
      </c>
      <c r="I22" s="48" t="n">
        <v>4200</v>
      </c>
      <c r="J22" s="48" t="n">
        <v>12600</v>
      </c>
      <c r="K22" s="47" t="inlineStr">
        <is>
          <t>AWS Business Support; scales with usage; estimated minimum baseline</t>
        </is>
      </c>
    </row>
    <row r="23" ht="26" customHeight="1">
      <c r="A23" s="42" t="inlineStr">
        <is>
          <t>Facilities</t>
        </is>
      </c>
      <c r="B23" s="43" t="inlineStr">
        <is>
          <t>Facilities</t>
        </is>
      </c>
      <c r="C23" s="43" t="inlineStr">
        <is>
          <t>Cloud-only solution — no data center facilities required</t>
        </is>
      </c>
      <c r="D23" s="44" t="n">
        <v>1</v>
      </c>
      <c r="E23" s="43" t="inlineStr">
        <is>
          <t>Service/Month</t>
        </is>
      </c>
      <c r="F23" s="45" t="n">
        <v>0</v>
      </c>
      <c r="G23" s="45" t="n">
        <v>0</v>
      </c>
      <c r="H23" s="44" t="n">
        <v>0</v>
      </c>
      <c r="I23" s="44" t="n">
        <v>0</v>
      </c>
      <c r="J23" s="44" t="n">
        <v>0</v>
      </c>
      <c r="K23" s="43" t="inlineStr">
        <is>
          <t>Greenfield AWS deployment; no co-location or on-premises costs</t>
        </is>
      </c>
    </row>
    <row r="24" ht="26" customHeight="1">
      <c r="A24" s="50" t="inlineStr">
        <is>
          <t>TOTAL</t>
        </is>
      </c>
      <c r="B24" s="51" t="n"/>
      <c r="C24" s="51" t="n"/>
      <c r="D24" s="51" t="n"/>
      <c r="E24" s="51" t="n"/>
      <c r="F24" s="51" t="n"/>
      <c r="G24" s="52">
        <f>SUM(G3:G23)</f>
        <v/>
      </c>
      <c r="H24" s="52">
        <f>SUM(H3:H23)</f>
        <v/>
      </c>
      <c r="I24" s="52">
        <f>SUM(I3:I23)</f>
        <v/>
      </c>
      <c r="J24" s="52">
        <f>SUM(J3:J23)</f>
        <v/>
      </c>
      <c r="K24" s="51" t="n"/>
    </row>
  </sheetData>
  <autoFilter ref="A2:K2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credits — greenfield cloud-only solution</t>
        </is>
      </c>
    </row>
    <row r="4" ht="26" customHeight="1">
      <c r="A4" s="46" t="inlineStr">
        <is>
          <t>Cloud Services</t>
        </is>
      </c>
      <c r="B4" s="47" t="inlineStr">
        <is>
          <t>AWS Activate Credit</t>
        </is>
      </c>
      <c r="C4" s="53" t="inlineStr">
        <is>
          <t>(-5000)</t>
        </is>
      </c>
      <c r="D4" s="47" t="inlineStr">
        <is>
          <t>AWS Activate Founders credit for net-new AWS customers (up to $5000 in service credits)</t>
        </is>
      </c>
    </row>
    <row r="5" ht="26" customHeight="1">
      <c r="A5" s="42" t="inlineStr">
        <is>
          <t>Cloud Services</t>
        </is>
      </c>
      <c r="B5" s="43" t="inlineStr">
        <is>
          <t>AWS MAP Credit</t>
        </is>
      </c>
      <c r="C5" s="54" t="inlineStr">
        <is>
          <t>(-10000)</t>
        </is>
      </c>
      <c r="D5" s="43" t="inlineStr">
        <is>
          <t>AWS Migration Acceleration Program credit — applicable for greenfield landing zone engagements</t>
        </is>
      </c>
    </row>
    <row r="6" ht="26" customHeight="1">
      <c r="A6" s="46" t="inlineStr">
        <is>
          <t>Cloud Services</t>
        </is>
      </c>
      <c r="B6" s="47" t="inlineStr">
        <is>
          <t>AWS Control Tower Promo</t>
        </is>
      </c>
      <c r="C6" s="49" t="n">
        <v>0</v>
      </c>
      <c r="D6" s="47" t="inlineStr">
        <is>
          <t>No additional promotional credit available beyond MAP</t>
        </is>
      </c>
    </row>
    <row r="7" ht="26" customHeight="1">
      <c r="A7" s="42" t="inlineStr">
        <is>
          <t>Software Licenses</t>
        </is>
      </c>
      <c r="B7" s="43" t="inlineStr">
        <is>
          <t>Terraform Credit</t>
        </is>
      </c>
      <c r="C7" s="45" t="n">
        <v>0</v>
      </c>
      <c r="D7" s="43" t="inlineStr">
        <is>
          <t>No partner credit available for Terraform Cloud at Team tier</t>
        </is>
      </c>
    </row>
    <row r="8" ht="26" customHeight="1">
      <c r="A8" s="46" t="inlineStr">
        <is>
          <t>Connectivity</t>
        </is>
      </c>
      <c r="B8" s="47" t="inlineStr">
        <is>
          <t>Connectivity Credit</t>
        </is>
      </c>
      <c r="C8" s="49" t="n">
        <v>0</v>
      </c>
      <c r="D8" s="47" t="inlineStr">
        <is>
          <t>No connectivity credits — VPN connectivity pending discovery</t>
        </is>
      </c>
    </row>
    <row r="9" ht="26" customHeight="1">
      <c r="A9" s="42" t="inlineStr">
        <is>
          <t>Support &amp; Maintenance</t>
        </is>
      </c>
      <c r="B9" s="43" t="inlineStr">
        <is>
          <t>Support Credit</t>
        </is>
      </c>
      <c r="C9" s="45" t="n">
        <v>0</v>
      </c>
      <c r="D9" s="43" t="inlineStr">
        <is>
          <t>No support plan credits available</t>
        </is>
      </c>
    </row>
    <row r="10" ht="26" customHeight="1">
      <c r="A10" s="46" t="inlineStr">
        <is>
          <t>Facilities</t>
        </is>
      </c>
      <c r="B10" s="47" t="inlineStr">
        <is>
          <t>Facilities Credit</t>
        </is>
      </c>
      <c r="C10" s="49" t="n">
        <v>0</v>
      </c>
      <c r="D10" s="47" t="inlineStr">
        <is>
          <t>No facilities — cloud-only solution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2026-08-16T23:26:52Z</dcterms:modified>
  <cp:lastModifiedBy>Kishan Siram</cp:lastModifiedBy>
</cp:coreProperties>
</file>