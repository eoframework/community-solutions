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Assumptions'!$A$2:$G$10</definedName>
    <definedName name="_xlnm._FilterDatabase" localSheetId="2" hidden="1">'Estimate Settings'!$A$2:$D$8</definedName>
    <definedName name="_xlnm._FilterDatabase" localSheetId="3" hidden="1">'LOE'!$A$2:$K$61</definedName>
    <definedName name="_xlnm._FilterDatabase" localSheetId="4" hidden="1">'Credits'!$A$2:$C$6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4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center" vertical="center" wrapText="1"/>
    </xf>
    <xf numFmtId="166" fontId="17" fillId="4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left" vertical="center" wrapText="1" indent="1"/>
    </xf>
    <xf numFmtId="0" fontId="17" fillId="11" borderId="5" applyAlignment="1" pivotButton="0" quotePrefix="0" xfId="0">
      <alignment horizontal="left" vertical="center" wrapText="1" indent="1"/>
    </xf>
    <xf numFmtId="3" fontId="17" fillId="11" borderId="5" applyAlignment="1" pivotButton="0" quotePrefix="0" xfId="0">
      <alignment horizontal="right" vertical="center" wrapText="1"/>
    </xf>
    <xf numFmtId="165" fontId="17" fillId="11" borderId="5" applyAlignment="1" pivotButton="0" quotePrefix="0" xfId="0">
      <alignment horizontal="center" vertical="center" wrapText="1"/>
    </xf>
    <xf numFmtId="166" fontId="17" fillId="11" borderId="5" applyAlignment="1" pivotButton="0" quotePrefix="0" xfId="0">
      <alignment horizontal="right" vertical="center" wrapText="1"/>
    </xf>
    <xf numFmtId="0" fontId="17" fillId="4" borderId="5" applyAlignment="1" pivotButton="0" quotePrefix="0" xfId="0">
      <alignment horizontal="right" vertical="center" wrapText="1"/>
    </xf>
    <xf numFmtId="0" fontId="17" fillId="11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 wrapText="1"/>
    </xf>
    <xf numFmtId="0" fontId="19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left" vertical="center" wrapText="1"/>
    </xf>
    <xf numFmtId="166" fontId="4" fillId="5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Level of Effort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August 16, 2026</t>
        </is>
      </c>
    </row>
    <row r="6" ht="18" customHeight="1">
      <c r="B6" s="2" t="inlineStr">
        <is>
          <t>Solution:</t>
        </is>
      </c>
      <c r="C6" s="3" t="inlineStr">
        <is>
          <t>Tmpjxtoe4F5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25" customWidth="1" min="4" max="4"/>
    <col width="25" customWidth="1" min="5" max="5"/>
    <col width="30" customWidth="1" min="6" max="6"/>
    <col width="40" customWidth="1" min="7" max="7"/>
  </cols>
  <sheetData>
    <row r="1" ht="32" customHeight="1">
      <c r="A1" s="34" t="inlineStr">
        <is>
          <t>SCOPE ASSUMPTIONS</t>
        </is>
      </c>
    </row>
    <row r="2" ht="32" customHeight="1">
      <c r="A2" s="35" t="inlineStr">
        <is>
          <t>Category</t>
        </is>
      </c>
      <c r="B2" s="35" t="inlineStr">
        <is>
          <t>Baseline Assumption</t>
        </is>
      </c>
      <c r="C2" s="35" t="inlineStr">
        <is>
          <t>Current Scope</t>
        </is>
      </c>
      <c r="D2" s="35" t="inlineStr">
        <is>
          <t>Small (1x)</t>
        </is>
      </c>
      <c r="E2" s="35" t="inlineStr">
        <is>
          <t>Medium (2x)</t>
        </is>
      </c>
      <c r="F2" s="35" t="inlineStr">
        <is>
          <t>Large (3x)</t>
        </is>
      </c>
      <c r="G2" s="35" t="inlineStr">
        <is>
          <t>Notes</t>
        </is>
      </c>
    </row>
    <row r="3" ht="26" customHeight="1">
      <c r="A3" s="36" t="inlineStr">
        <is>
          <t>AWS Accounts</t>
        </is>
      </c>
      <c r="B3" s="37" t="inlineStr">
        <is>
          <t>Single AWS account (dev only)</t>
        </is>
      </c>
      <c r="C3" s="38" t="inlineStr">
        <is>
          <t>Multi-account OU hierarchy (Security / Infra / Workloads / Sandbox / Suspended)</t>
        </is>
      </c>
      <c r="D3" s="37" t="inlineStr">
        <is>
          <t>1-3 accounts</t>
        </is>
      </c>
      <c r="E3" s="37" t="inlineStr">
        <is>
          <t>4-10 accounts</t>
        </is>
      </c>
      <c r="F3" s="37" t="inlineStr">
        <is>
          <t>10+ accounts</t>
        </is>
      </c>
      <c r="G3" s="37" t="inlineStr">
        <is>
          <t>Greenfield; Account Factory for Terraform (AFT) used for automated account vending</t>
        </is>
      </c>
    </row>
    <row r="4" ht="26" customHeight="1">
      <c r="A4" s="39" t="inlineStr">
        <is>
          <t>Regions / Geographies</t>
        </is>
      </c>
      <c r="B4" s="40" t="inlineStr">
        <is>
          <t>Single AWS region</t>
        </is>
      </c>
      <c r="C4" s="38" t="inlineStr">
        <is>
          <t>us-east-1 (primary) + us-east-2 (DR/secondary)</t>
        </is>
      </c>
      <c r="D4" s="40" t="inlineStr">
        <is>
          <t>1 region</t>
        </is>
      </c>
      <c r="E4" s="40" t="inlineStr">
        <is>
          <t>2 regions</t>
        </is>
      </c>
      <c r="F4" s="40" t="inlineStr">
        <is>
          <t>3+ regions</t>
        </is>
      </c>
      <c r="G4" s="40" t="inlineStr">
        <is>
          <t>All services and guardrails deployed and governed in both regions</t>
        </is>
      </c>
    </row>
    <row r="5" ht="26" customHeight="1">
      <c r="A5" s="36" t="inlineStr">
        <is>
          <t>Environments</t>
        </is>
      </c>
      <c r="B5" s="37" t="inlineStr">
        <is>
          <t>Single environment (prod)</t>
        </is>
      </c>
      <c r="C5" s="38" t="inlineStr">
        <is>
          <t>Development / Non-Production / Production (3 environments)</t>
        </is>
      </c>
      <c r="D5" s="37" t="inlineStr">
        <is>
          <t>1 environment</t>
        </is>
      </c>
      <c r="E5" s="37" t="inlineStr">
        <is>
          <t>2 environments</t>
        </is>
      </c>
      <c r="F5" s="37" t="inlineStr">
        <is>
          <t>3+ environments</t>
        </is>
      </c>
      <c r="G5" s="37" t="inlineStr">
        <is>
          <t>Separate OU paths for prod and non-prod workloads</t>
        </is>
      </c>
    </row>
    <row r="6" ht="26" customHeight="1">
      <c r="A6" s="39" t="inlineStr">
        <is>
          <t>OU Complexity</t>
        </is>
      </c>
      <c r="B6" s="40" t="inlineStr">
        <is>
          <t>Flat OU structure</t>
        </is>
      </c>
      <c r="C6" s="38" t="inlineStr">
        <is>
          <t>7-OU hierarchy (Root / Security / Infrastructure / Workloads-Prod / Workloads-NonProd / Sandbox / Suspended)</t>
        </is>
      </c>
      <c r="D6" s="40" t="inlineStr">
        <is>
          <t>2-3 OUs</t>
        </is>
      </c>
      <c r="E6" s="40" t="inlineStr">
        <is>
          <t>4-6 OUs</t>
        </is>
      </c>
      <c r="F6" s="40" t="inlineStr">
        <is>
          <t>7+ OUs</t>
        </is>
      </c>
      <c r="G6" s="40" t="inlineStr">
        <is>
          <t>Designed for future BU / acquisition expansion without redesign</t>
        </is>
      </c>
    </row>
    <row r="7" ht="26" customHeight="1">
      <c r="A7" s="36" t="inlineStr">
        <is>
          <t>Networking Complexity</t>
        </is>
      </c>
      <c r="B7" s="37" t="inlineStr">
        <is>
          <t>Basic VPC per account</t>
        </is>
      </c>
      <c r="C7" s="38" t="inlineStr">
        <is>
          <t>Hub-and-spoke via Transit Gateway; VPC IPAM; Network Firewall; centralised egress; VPN on-premises link</t>
        </is>
      </c>
      <c r="D7" s="37" t="inlineStr">
        <is>
          <t>VPC only</t>
        </is>
      </c>
      <c r="E7" s="37" t="inlineStr">
        <is>
          <t>TGW single-region</t>
        </is>
      </c>
      <c r="F7" s="37" t="inlineStr">
        <is>
          <t>TGW multi-region + Firewall + IPAM</t>
        </is>
      </c>
      <c r="G7" s="37" t="inlineStr">
        <is>
          <t>On-premises connectivity method (VPN vs Direct Connect) to be confirmed in discovery</t>
        </is>
      </c>
    </row>
    <row r="8" ht="26" customHeight="1">
      <c r="A8" s="39" t="inlineStr">
        <is>
          <t>Security &amp; Compliance Frameworks</t>
        </is>
      </c>
      <c r="B8" s="40" t="inlineStr">
        <is>
          <t>No formal compliance framework</t>
        </is>
      </c>
      <c r="C8" s="38" t="inlineStr">
        <is>
          <t>AWS FSBP mandatory; NIST 800-53 / SOC 2 / HIPAA to be confirmed with client security team</t>
        </is>
      </c>
      <c r="D8" s="40" t="inlineStr">
        <is>
          <t>1 framework</t>
        </is>
      </c>
      <c r="E8" s="40" t="inlineStr">
        <is>
          <t>2 frameworks</t>
        </is>
      </c>
      <c r="F8" s="40" t="inlineStr">
        <is>
          <t>3+ frameworks</t>
        </is>
      </c>
      <c r="G8" s="40" t="inlineStr">
        <is>
          <t>Additional frameworks confirmed during Phase 1 discovery</t>
        </is>
      </c>
    </row>
    <row r="9" ht="26" customHeight="1">
      <c r="A9" s="36" t="inlineStr">
        <is>
          <t>IaC Coverage</t>
        </is>
      </c>
      <c r="B9" s="37" t="inlineStr">
        <is>
          <t>Manual console configuration</t>
        </is>
      </c>
      <c r="C9" s="38" t="inlineStr">
        <is>
          <t>&gt;=95% IaC coverage (Terraform + AFT); CI/CD pipeline tooling TBD</t>
        </is>
      </c>
      <c r="D9" s="37" t="inlineStr">
        <is>
          <t>Partial IaC</t>
        </is>
      </c>
      <c r="E9" s="37" t="inlineStr">
        <is>
          <t>Terraform modules</t>
        </is>
      </c>
      <c r="F9" s="37" t="inlineStr">
        <is>
          <t>Full IaC + AFT pipeline + CI/CD</t>
        </is>
      </c>
      <c r="G9" s="37" t="inlineStr">
        <is>
          <t>Zero manual console changes in production at go-live</t>
        </is>
      </c>
    </row>
    <row r="10" ht="26" customHeight="1">
      <c r="A10" s="39" t="inlineStr">
        <is>
          <t>Integrations / Source Systems</t>
        </is>
      </c>
      <c r="B10" s="40" t="inlineStr">
        <is>
          <t>No external integrations</t>
        </is>
      </c>
      <c r="C10" s="38" t="inlineStr">
        <is>
          <t>Centralised monitoring (CloudWatch / Security Hub / GuardDuty); SNS alerting; third-party SIEM TBD</t>
        </is>
      </c>
      <c r="D10" s="40" t="inlineStr">
        <is>
          <t>1-2 integrations</t>
        </is>
      </c>
      <c r="E10" s="40" t="inlineStr">
        <is>
          <t>3-5 integrations</t>
        </is>
      </c>
      <c r="F10" s="40" t="inlineStr">
        <is>
          <t>5+ integrations</t>
        </is>
      </c>
      <c r="G10" s="40" t="inlineStr">
        <is>
          <t>Third-party SIEM / ticketing integration to be scoped post-discovery</t>
        </is>
      </c>
    </row>
  </sheetData>
  <autoFilter ref="A2:G10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80" customWidth="1" min="4" max="4"/>
  </cols>
  <sheetData>
    <row r="1" ht="32" customHeight="1">
      <c r="A1" s="34" t="inlineStr">
        <is>
          <t>ESTIMATE SETTINGS</t>
        </is>
      </c>
    </row>
    <row r="2" ht="32" customHeight="1">
      <c r="A2" s="35" t="inlineStr">
        <is>
          <t>Phase</t>
        </is>
      </c>
      <c r="B2" s="35" t="inlineStr">
        <is>
          <t>Variable Name</t>
        </is>
      </c>
      <c r="C2" s="35" t="inlineStr">
        <is>
          <t>Multiplier</t>
        </is>
      </c>
      <c r="D2" s="35" t="inlineStr">
        <is>
          <t>Description / Applies To Tasks</t>
        </is>
      </c>
    </row>
    <row r="3" ht="26" customHeight="1">
      <c r="A3" s="36" t="inlineStr">
        <is>
          <t>Discovery</t>
        </is>
      </c>
      <c r="B3" s="37" t="inlineStr">
        <is>
          <t>discovery_factor</t>
        </is>
      </c>
      <c r="C3" s="41" t="n">
        <v>1</v>
      </c>
      <c r="D3" s="37" t="inlineStr">
        <is>
          <t>Stakeholder interviews; current-state review; requirements documentation; compliance framework confirmation</t>
        </is>
      </c>
    </row>
    <row r="4" ht="26" customHeight="1">
      <c r="A4" s="39" t="inlineStr">
        <is>
          <t>Planning</t>
        </is>
      </c>
      <c r="B4" s="40" t="inlineStr">
        <is>
          <t>planning_factor</t>
        </is>
      </c>
      <c r="C4" s="42" t="n">
        <v>1.2</v>
      </c>
      <c r="D4" s="40" t="inlineStr">
        <is>
          <t>Detailed OU / network / security architecture; Terraform module design; IaC standards definition; architecture documentation</t>
        </is>
      </c>
    </row>
    <row r="5" ht="26" customHeight="1">
      <c r="A5" s="36" t="inlineStr">
        <is>
          <t>Development</t>
        </is>
      </c>
      <c r="B5" s="37" t="inlineStr">
        <is>
          <t>development_factor</t>
        </is>
      </c>
      <c r="C5" s="41" t="n">
        <v>1.3</v>
      </c>
      <c r="D5" s="37" t="inlineStr">
        <is>
          <t>Control Tower deployment; OU structure; SCPs / RCPs; IAM Identity Center; networking build (TGW / IPAM / Firewall); AFT pipeline; security automation (Weeks 1-12)</t>
        </is>
      </c>
    </row>
    <row r="6" ht="26" customHeight="1">
      <c r="A6" s="39" t="inlineStr">
        <is>
          <t>Testing</t>
        </is>
      </c>
      <c r="B6" s="40" t="inlineStr">
        <is>
          <t>testing_factor</t>
        </is>
      </c>
      <c r="C6" s="42" t="n">
        <v>1</v>
      </c>
      <c r="D6" s="40" t="inlineStr">
        <is>
          <t>End-to-end landing zone validation; SCP enforcement tests; account vending tests; network flow tests; security posture validation</t>
        </is>
      </c>
    </row>
    <row r="7" ht="26" customHeight="1">
      <c r="A7" s="36" t="inlineStr">
        <is>
          <t>Deployment</t>
        </is>
      </c>
      <c r="B7" s="37" t="inlineStr">
        <is>
          <t>deployment_factor</t>
        </is>
      </c>
      <c r="C7" s="41" t="n">
        <v>1</v>
      </c>
      <c r="D7" s="37" t="inlineStr">
        <is>
          <t>Production go-live; runbook delivery; administrator and security team training; hypercare support (4 weeks post go-live)</t>
        </is>
      </c>
    </row>
    <row r="8" ht="26" customHeight="1">
      <c r="A8" s="39" t="inlineStr">
        <is>
          <t>Management</t>
        </is>
      </c>
      <c r="B8" s="40" t="inlineStr">
        <is>
          <t>management_factor</t>
        </is>
      </c>
      <c r="C8" s="42" t="n">
        <v>1</v>
      </c>
      <c r="D8" s="40" t="inlineStr">
        <is>
          <t>Project management and technical leadership overhead — calculated as 10% of total engineering task hours</t>
        </is>
      </c>
    </row>
    <row r="10" ht="20" customHeight="1">
      <c r="A10" s="43" t="inlineStr">
        <is>
          <t>EO Sales Engineer Updates Multipliers Based on Customer Scope</t>
        </is>
      </c>
    </row>
  </sheetData>
  <autoFilter ref="A2:D8"/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4" t="inlineStr">
        <is>
          <t>LEVEL OF EFFORT</t>
        </is>
      </c>
    </row>
    <row r="2" ht="32" customHeight="1">
      <c r="A2" s="35" t="inlineStr">
        <is>
          <t>Phase</t>
        </is>
      </c>
      <c r="B2" s="35" t="inlineStr">
        <is>
          <t>Work Package</t>
        </is>
      </c>
      <c r="C2" s="35" t="inlineStr">
        <is>
          <t>Task Description</t>
        </is>
      </c>
      <c r="D2" s="35" t="inlineStr">
        <is>
          <t>Resource Type</t>
        </is>
      </c>
      <c r="E2" s="35" t="inlineStr">
        <is>
          <t>Base Hours</t>
        </is>
      </c>
      <c r="F2" s="35" t="inlineStr">
        <is>
          <t>Effort Multiplier</t>
        </is>
      </c>
      <c r="G2" s="35" t="inlineStr">
        <is>
          <t>Actual Hours</t>
        </is>
      </c>
      <c r="H2" s="35" t="inlineStr">
        <is>
          <t>Rate</t>
        </is>
      </c>
      <c r="I2" s="35" t="inlineStr">
        <is>
          <t>Cost Estimate</t>
        </is>
      </c>
      <c r="J2" s="35" t="inlineStr">
        <is>
          <t>Dependencies</t>
        </is>
      </c>
      <c r="K2" s="35" t="inlineStr">
        <is>
          <t>Notes</t>
        </is>
      </c>
    </row>
    <row r="3" ht="26" customHeight="1">
      <c r="A3" s="44" t="inlineStr">
        <is>
          <t>Discovery</t>
        </is>
      </c>
      <c r="B3" s="45" t="inlineStr">
        <is>
          <t>Project Kickoff</t>
        </is>
      </c>
      <c r="C3" s="45" t="inlineStr">
        <is>
          <t>Project kickoff meeting and stakeholder alignment; confirm RACI and engagement leads</t>
        </is>
      </c>
      <c r="D3" s="45" t="inlineStr">
        <is>
          <t>Project Manager</t>
        </is>
      </c>
      <c r="E3" s="46" t="n">
        <v>8</v>
      </c>
      <c r="F3" s="47" t="n">
        <v>1</v>
      </c>
      <c r="G3" s="46" t="n">
        <v>8</v>
      </c>
      <c r="H3" s="48" t="n">
        <v>175</v>
      </c>
      <c r="I3" s="48" t="n">
        <v>1400</v>
      </c>
      <c r="J3" s="45" t="inlineStr"/>
      <c r="K3" s="45" t="inlineStr">
        <is>
          <t>Stakeholder identification required at kick-off</t>
        </is>
      </c>
    </row>
    <row r="4" ht="26" customHeight="1">
      <c r="A4" s="49" t="inlineStr">
        <is>
          <t>Discovery</t>
        </is>
      </c>
      <c r="B4" s="50" t="inlineStr">
        <is>
          <t>Current State Assessment</t>
        </is>
      </c>
      <c r="C4" s="50" t="inlineStr">
        <is>
          <t>Confirm greenfield status; document existing on-premises context and connectivity requirements</t>
        </is>
      </c>
      <c r="D4" s="50" t="inlineStr">
        <is>
          <t>Solution Architect</t>
        </is>
      </c>
      <c r="E4" s="51" t="n">
        <v>16</v>
      </c>
      <c r="F4" s="52" t="n">
        <v>1</v>
      </c>
      <c r="G4" s="51" t="n">
        <v>16</v>
      </c>
      <c r="H4" s="53" t="n">
        <v>250</v>
      </c>
      <c r="I4" s="53" t="n">
        <v>4000</v>
      </c>
      <c r="J4" s="50" t="inlineStr"/>
      <c r="K4" s="50" t="inlineStr">
        <is>
          <t>AWS-certified architect rate applied</t>
        </is>
      </c>
    </row>
    <row r="5" ht="26" customHeight="1">
      <c r="A5" s="44" t="inlineStr">
        <is>
          <t>Discovery</t>
        </is>
      </c>
      <c r="B5" s="45" t="inlineStr">
        <is>
          <t>Requirements Gathering</t>
        </is>
      </c>
      <c r="C5" s="45" t="inlineStr">
        <is>
          <t>Conduct stakeholder interviews; document OU design requirements; confirm compliance frameworks (NIST / SOC 2 / HIPAA)</t>
        </is>
      </c>
      <c r="D5" s="45" t="inlineStr">
        <is>
          <t>Solution Architect</t>
        </is>
      </c>
      <c r="E5" s="46" t="n">
        <v>24</v>
      </c>
      <c r="F5" s="47" t="n">
        <v>1</v>
      </c>
      <c r="G5" s="46" t="n">
        <v>24</v>
      </c>
      <c r="H5" s="48" t="n">
        <v>250</v>
      </c>
      <c r="I5" s="48" t="n">
        <v>6000</v>
      </c>
      <c r="J5" s="45" t="inlineStr"/>
      <c r="K5" s="45" t="inlineStr">
        <is>
          <t>Compliance framework confirmation gates SCP design</t>
        </is>
      </c>
    </row>
    <row r="6" ht="26" customHeight="1">
      <c r="A6" s="49" t="inlineStr">
        <is>
          <t>Discovery</t>
        </is>
      </c>
      <c r="B6" s="50" t="inlineStr">
        <is>
          <t>Cloud Readiness Assessment</t>
        </is>
      </c>
      <c r="C6" s="50" t="inlineStr">
        <is>
          <t>Assess team cloud maturity; identify skills gaps; confirm IaC tooling preferences (Terraform / CDK)</t>
        </is>
      </c>
      <c r="D6" s="50" t="inlineStr">
        <is>
          <t>Solutions Engineer</t>
        </is>
      </c>
      <c r="E6" s="51" t="n">
        <v>16</v>
      </c>
      <c r="F6" s="52" t="n">
        <v>1</v>
      </c>
      <c r="G6" s="51" t="n">
        <v>16</v>
      </c>
      <c r="H6" s="53" t="n">
        <v>200</v>
      </c>
      <c r="I6" s="53" t="n">
        <v>3200</v>
      </c>
      <c r="J6" s="50" t="inlineStr"/>
      <c r="K6" s="50" t="inlineStr">
        <is>
          <t>Drives training scope in Deployment phase</t>
        </is>
      </c>
    </row>
    <row r="7" ht="26" customHeight="1">
      <c r="A7" s="44" t="inlineStr">
        <is>
          <t>Discovery</t>
        </is>
      </c>
      <c r="B7" s="45" t="inlineStr">
        <is>
          <t>Network Discovery</t>
        </is>
      </c>
      <c r="C7" s="45" t="inlineStr">
        <is>
          <t>Confirm on-premises connectivity topology; validate IP address space and IPAM supernet (10.0.0.0/8)</t>
        </is>
      </c>
      <c r="D7" s="45" t="inlineStr">
        <is>
          <t>Network Engineer</t>
        </is>
      </c>
      <c r="E7" s="46" t="n">
        <v>16</v>
      </c>
      <c r="F7" s="47" t="n">
        <v>1</v>
      </c>
      <c r="G7" s="46" t="n">
        <v>16</v>
      </c>
      <c r="H7" s="48" t="n">
        <v>200</v>
      </c>
      <c r="I7" s="48" t="n">
        <v>3200</v>
      </c>
      <c r="J7" s="45" t="inlineStr"/>
      <c r="K7" s="45" t="inlineStr">
        <is>
          <t>VPN vs Direct Connect decision required</t>
        </is>
      </c>
    </row>
    <row r="8" ht="26" customHeight="1">
      <c r="A8" s="49" t="inlineStr">
        <is>
          <t>Discovery</t>
        </is>
      </c>
      <c r="B8" s="50" t="inlineStr">
        <is>
          <t>Security &amp; Compliance Scoping</t>
        </is>
      </c>
      <c r="C8" s="50" t="inlineStr">
        <is>
          <t>Document security requirements; confirm compliance frameworks; map mandatory tags; define data classification policy</t>
        </is>
      </c>
      <c r="D8" s="50" t="inlineStr">
        <is>
          <t>Security Engineer</t>
        </is>
      </c>
      <c r="E8" s="51" t="n">
        <v>16</v>
      </c>
      <c r="F8" s="52" t="n">
        <v>1</v>
      </c>
      <c r="G8" s="51" t="n">
        <v>16</v>
      </c>
      <c r="H8" s="53" t="n">
        <v>225</v>
      </c>
      <c r="I8" s="53" t="n">
        <v>3600</v>
      </c>
      <c r="J8" s="50" t="inlineStr"/>
      <c r="K8" s="50" t="inlineStr">
        <is>
          <t>Security-certified specialist rate applied</t>
        </is>
      </c>
    </row>
    <row r="9" ht="26" customHeight="1">
      <c r="A9" s="44" t="inlineStr">
        <is>
          <t>Discovery</t>
        </is>
      </c>
      <c r="B9" s="45" t="inlineStr">
        <is>
          <t>Risk Assessment</t>
        </is>
      </c>
      <c r="C9" s="45" t="inlineStr">
        <is>
          <t>Identify project risks (scope / compliance / connectivity) and define mitigation strategies</t>
        </is>
      </c>
      <c r="D9" s="45" t="inlineStr">
        <is>
          <t>Project Manager</t>
        </is>
      </c>
      <c r="E9" s="46" t="n">
        <v>8</v>
      </c>
      <c r="F9" s="47" t="n">
        <v>1</v>
      </c>
      <c r="G9" s="46" t="n">
        <v>8</v>
      </c>
      <c r="H9" s="48" t="n">
        <v>175</v>
      </c>
      <c r="I9" s="48" t="n">
        <v>1400</v>
      </c>
      <c r="J9" s="45" t="inlineStr"/>
      <c r="K9" s="45" t="inlineStr"/>
    </row>
    <row r="10" ht="26" customHeight="1">
      <c r="A10" s="49" t="inlineStr">
        <is>
          <t>Discovery</t>
        </is>
      </c>
      <c r="B10" s="50" t="inlineStr">
        <is>
          <t>Discovery Report</t>
        </is>
      </c>
      <c r="C10" s="50" t="inlineStr">
        <is>
          <t>Document findings; produce architecture recommendation memo and phased project plan</t>
        </is>
      </c>
      <c r="D10" s="50" t="inlineStr">
        <is>
          <t>Solution Architect</t>
        </is>
      </c>
      <c r="E10" s="51" t="n">
        <v>16</v>
      </c>
      <c r="F10" s="52" t="n">
        <v>1</v>
      </c>
      <c r="G10" s="51" t="n">
        <v>16</v>
      </c>
      <c r="H10" s="53" t="n">
        <v>250</v>
      </c>
      <c r="I10" s="53" t="n">
        <v>4000</v>
      </c>
      <c r="J10" s="50" t="inlineStr"/>
      <c r="K10" s="50" t="inlineStr">
        <is>
          <t>Gates Planning phase</t>
        </is>
      </c>
    </row>
    <row r="11" ht="26" customHeight="1">
      <c r="A11" s="44" t="inlineStr">
        <is>
          <t>Planning</t>
        </is>
      </c>
      <c r="B11" s="45" t="inlineStr">
        <is>
          <t>Detailed OU &amp; Account Architecture</t>
        </is>
      </c>
      <c r="C11" s="45" t="inlineStr">
        <is>
          <t>Design 7-OU hierarchy; map Security / Infra / Workloads / Sandbox / Suspended OUs; define account naming convention</t>
        </is>
      </c>
      <c r="D11" s="45" t="inlineStr">
        <is>
          <t>Solution Architect</t>
        </is>
      </c>
      <c r="E11" s="46" t="n">
        <v>24</v>
      </c>
      <c r="F11" s="47" t="n">
        <v>1.2</v>
      </c>
      <c r="G11" s="46" t="n">
        <v>28.8</v>
      </c>
      <c r="H11" s="48" t="n">
        <v>250</v>
      </c>
      <c r="I11" s="48" t="n">
        <v>7200</v>
      </c>
      <c r="J11" s="45" t="inlineStr">
        <is>
          <t>Discovery Report</t>
        </is>
      </c>
      <c r="K11" s="45" t="inlineStr">
        <is>
          <t>Drives AFT customisations</t>
        </is>
      </c>
    </row>
    <row r="12" ht="26" customHeight="1">
      <c r="A12" s="49" t="inlineStr">
        <is>
          <t>Planning</t>
        </is>
      </c>
      <c r="B12" s="50" t="inlineStr">
        <is>
          <t>Control Tower Design</t>
        </is>
      </c>
      <c r="C12" s="50" t="inlineStr">
        <is>
          <t>Design Control Tower configuration; select managed guardrails; define landing zone manifest for both regions</t>
        </is>
      </c>
      <c r="D12" s="50" t="inlineStr">
        <is>
          <t>Solution Architect</t>
        </is>
      </c>
      <c r="E12" s="51" t="n">
        <v>24</v>
      </c>
      <c r="F12" s="52" t="n">
        <v>1.2</v>
      </c>
      <c r="G12" s="51" t="n">
        <v>28.8</v>
      </c>
      <c r="H12" s="53" t="n">
        <v>250</v>
      </c>
      <c r="I12" s="53" t="n">
        <v>7200</v>
      </c>
      <c r="J12" s="50" t="inlineStr">
        <is>
          <t>Detailed OU &amp; Account Architecture</t>
        </is>
      </c>
      <c r="K12" s="50" t="inlineStr"/>
    </row>
    <row r="13" ht="26" customHeight="1">
      <c r="A13" s="44" t="inlineStr">
        <is>
          <t>Planning</t>
        </is>
      </c>
      <c r="B13" s="45" t="inlineStr">
        <is>
          <t>Network Architecture Design</t>
        </is>
      </c>
      <c r="C13" s="45" t="inlineStr">
        <is>
          <t>Design hub-and-spoke Transit Gateway topology; define VPC IPAM plan; design Network Firewall policy; plan centralised egress</t>
        </is>
      </c>
      <c r="D13" s="45" t="inlineStr">
        <is>
          <t>Network Engineer</t>
        </is>
      </c>
      <c r="E13" s="46" t="n">
        <v>32</v>
      </c>
      <c r="F13" s="47" t="n">
        <v>1.2</v>
      </c>
      <c r="G13" s="46" t="n">
        <v>38.4</v>
      </c>
      <c r="H13" s="48" t="n">
        <v>200</v>
      </c>
      <c r="I13" s="48" t="n">
        <v>7680</v>
      </c>
      <c r="J13" s="45" t="inlineStr">
        <is>
          <t>Network Discovery</t>
        </is>
      </c>
      <c r="K13" s="45" t="inlineStr">
        <is>
          <t>RFC 1918 /20 per spoke VPC</t>
        </is>
      </c>
    </row>
    <row r="14" ht="26" customHeight="1">
      <c r="A14" s="49" t="inlineStr">
        <is>
          <t>Planning</t>
        </is>
      </c>
      <c r="B14" s="50" t="inlineStr">
        <is>
          <t>Security Architecture Design</t>
        </is>
      </c>
      <c r="C14" s="50" t="inlineStr">
        <is>
          <t>Design SCP / RCP policy set; data perimeter controls; Security Hub standard selection; GuardDuty configuration</t>
        </is>
      </c>
      <c r="D14" s="50" t="inlineStr">
        <is>
          <t>Security Engineer</t>
        </is>
      </c>
      <c r="E14" s="51" t="n">
        <v>32</v>
      </c>
      <c r="F14" s="52" t="n">
        <v>1.2</v>
      </c>
      <c r="G14" s="51" t="n">
        <v>38.4</v>
      </c>
      <c r="H14" s="53" t="n">
        <v>225</v>
      </c>
      <c r="I14" s="53" t="n">
        <v>8640</v>
      </c>
      <c r="J14" s="50" t="inlineStr">
        <is>
          <t>Security &amp; Compliance Scoping</t>
        </is>
      </c>
      <c r="K14" s="50" t="inlineStr"/>
    </row>
    <row r="15" ht="26" customHeight="1">
      <c r="A15" s="44" t="inlineStr">
        <is>
          <t>Planning</t>
        </is>
      </c>
      <c r="B15" s="45" t="inlineStr">
        <is>
          <t>IaC Module Design</t>
        </is>
      </c>
      <c r="C15" s="45" t="inlineStr">
        <is>
          <t>Design Terraform module structure for AFT; define repo layout; design CI/CD pipeline approach</t>
        </is>
      </c>
      <c r="D15" s="45" t="inlineStr">
        <is>
          <t>Solutions Engineer</t>
        </is>
      </c>
      <c r="E15" s="46" t="n">
        <v>32</v>
      </c>
      <c r="F15" s="47" t="n">
        <v>1.2</v>
      </c>
      <c r="G15" s="46" t="n">
        <v>38.4</v>
      </c>
      <c r="H15" s="48" t="n">
        <v>200</v>
      </c>
      <c r="I15" s="48" t="n">
        <v>7680</v>
      </c>
      <c r="J15" s="45" t="inlineStr">
        <is>
          <t>Control Tower Design</t>
        </is>
      </c>
      <c r="K15" s="45" t="inlineStr">
        <is>
          <t>IaC coverage target &gt;=95%</t>
        </is>
      </c>
    </row>
    <row r="16" ht="26" customHeight="1">
      <c r="A16" s="49" t="inlineStr">
        <is>
          <t>Planning</t>
        </is>
      </c>
      <c r="B16" s="50" t="inlineStr">
        <is>
          <t>IAM Identity Center Design</t>
        </is>
      </c>
      <c r="C16" s="50" t="inlineStr">
        <is>
          <t>Design SSO permission sets; define identity source (existing IdP or native); map group-to-account assignments</t>
        </is>
      </c>
      <c r="D16" s="50" t="inlineStr">
        <is>
          <t>Security Engineer</t>
        </is>
      </c>
      <c r="E16" s="51" t="n">
        <v>16</v>
      </c>
      <c r="F16" s="52" t="n">
        <v>1.2</v>
      </c>
      <c r="G16" s="51" t="n">
        <v>19.2</v>
      </c>
      <c r="H16" s="53" t="n">
        <v>225</v>
      </c>
      <c r="I16" s="53" t="n">
        <v>4320</v>
      </c>
      <c r="J16" s="50" t="inlineStr">
        <is>
          <t>Detailed OU &amp; Account Architecture</t>
        </is>
      </c>
      <c r="K16" s="50" t="inlineStr">
        <is>
          <t>IdP source to be confirmed with client</t>
        </is>
      </c>
    </row>
    <row r="17" ht="26" customHeight="1">
      <c r="A17" s="44" t="inlineStr">
        <is>
          <t>Planning</t>
        </is>
      </c>
      <c r="B17" s="45" t="inlineStr">
        <is>
          <t>Monitoring &amp; Alerting Architecture</t>
        </is>
      </c>
      <c r="C17" s="45" t="inlineStr">
        <is>
          <t>Design centralised CloudWatch structure; define Security Hub aggregation; design SNS alert routing</t>
        </is>
      </c>
      <c r="D17" s="45" t="inlineStr">
        <is>
          <t>Solutions Engineer</t>
        </is>
      </c>
      <c r="E17" s="46" t="n">
        <v>16</v>
      </c>
      <c r="F17" s="47" t="n">
        <v>1.2</v>
      </c>
      <c r="G17" s="46" t="n">
        <v>19.2</v>
      </c>
      <c r="H17" s="48" t="n">
        <v>200</v>
      </c>
      <c r="I17" s="48" t="n">
        <v>3840</v>
      </c>
      <c r="J17" s="45" t="inlineStr">
        <is>
          <t>Security Architecture Design</t>
        </is>
      </c>
      <c r="K17" s="45" t="inlineStr">
        <is>
          <t>Third-party SIEM integration TBD</t>
        </is>
      </c>
    </row>
    <row r="18" ht="26" customHeight="1">
      <c r="A18" s="49" t="inlineStr">
        <is>
          <t>Planning</t>
        </is>
      </c>
      <c r="B18" s="50" t="inlineStr">
        <is>
          <t>Architecture Documentation</t>
        </is>
      </c>
      <c r="C18" s="50" t="inlineStr">
        <is>
          <t>Produce as-designed architecture diagrams and detailed design document</t>
        </is>
      </c>
      <c r="D18" s="50" t="inlineStr">
        <is>
          <t>Technical Writer</t>
        </is>
      </c>
      <c r="E18" s="51" t="n">
        <v>24</v>
      </c>
      <c r="F18" s="52" t="n">
        <v>1.2</v>
      </c>
      <c r="G18" s="51" t="n">
        <v>28.8</v>
      </c>
      <c r="H18" s="53" t="n">
        <v>125</v>
      </c>
      <c r="I18" s="53" t="n">
        <v>3600</v>
      </c>
      <c r="J18" s="50" t="inlineStr">
        <is>
          <t>All planning tasks</t>
        </is>
      </c>
      <c r="K18" s="50" t="inlineStr">
        <is>
          <t>Delivered as pre-build baseline</t>
        </is>
      </c>
    </row>
    <row r="19" ht="26" customHeight="1">
      <c r="A19" s="44" t="inlineStr">
        <is>
          <t>Development</t>
        </is>
      </c>
      <c r="B19" s="45" t="inlineStr">
        <is>
          <t>Control Tower Deployment</t>
        </is>
      </c>
      <c r="C19" s="45" t="inlineStr">
        <is>
          <t>Deploy AWS Control Tower in us-east-1; enrol us-east-2 as governed region; configure landing zone manifest</t>
        </is>
      </c>
      <c r="D19" s="45" t="inlineStr">
        <is>
          <t>Cloud Engineer</t>
        </is>
      </c>
      <c r="E19" s="46" t="n">
        <v>32</v>
      </c>
      <c r="F19" s="47" t="n">
        <v>1.3</v>
      </c>
      <c r="G19" s="46" t="n">
        <v>41.6</v>
      </c>
      <c r="H19" s="48" t="n">
        <v>200</v>
      </c>
      <c r="I19" s="48" t="n">
        <v>8320</v>
      </c>
      <c r="J19" s="45" t="inlineStr">
        <is>
          <t>Control Tower Design</t>
        </is>
      </c>
      <c r="K19" s="45" t="inlineStr">
        <is>
          <t>Weeks 1-4</t>
        </is>
      </c>
    </row>
    <row r="20" ht="26" customHeight="1">
      <c r="A20" s="49" t="inlineStr">
        <is>
          <t>Development</t>
        </is>
      </c>
      <c r="B20" s="50" t="inlineStr">
        <is>
          <t>OU Structure Implementation</t>
        </is>
      </c>
      <c r="C20" s="50" t="inlineStr">
        <is>
          <t>Implement 7-OU hierarchy in AWS Organizations; configure OU policies and tagging baseline</t>
        </is>
      </c>
      <c r="D20" s="50" t="inlineStr">
        <is>
          <t>Cloud Engineer</t>
        </is>
      </c>
      <c r="E20" s="51" t="n">
        <v>16</v>
      </c>
      <c r="F20" s="52" t="n">
        <v>1.3</v>
      </c>
      <c r="G20" s="51" t="n">
        <v>20.8</v>
      </c>
      <c r="H20" s="53" t="n">
        <v>200</v>
      </c>
      <c r="I20" s="53" t="n">
        <v>4160</v>
      </c>
      <c r="J20" s="50" t="inlineStr">
        <is>
          <t>Control Tower Deployment</t>
        </is>
      </c>
      <c r="K20" s="50" t="inlineStr"/>
    </row>
    <row r="21" ht="26" customHeight="1">
      <c r="A21" s="44" t="inlineStr">
        <is>
          <t>Development</t>
        </is>
      </c>
      <c r="B21" s="45" t="inlineStr">
        <is>
          <t>SCP &amp; RCP Implementation</t>
        </is>
      </c>
      <c r="C21" s="45" t="inlineStr">
        <is>
          <t>Deploy all SCPs (root deny; region restriction; CloudTrail/Config lock; MFA); deploy RCP data perimeter controls</t>
        </is>
      </c>
      <c r="D21" s="45" t="inlineStr">
        <is>
          <t>Security Engineer</t>
        </is>
      </c>
      <c r="E21" s="46" t="n">
        <v>24</v>
      </c>
      <c r="F21" s="47" t="n">
        <v>1.3</v>
      </c>
      <c r="G21" s="46" t="n">
        <v>31.2</v>
      </c>
      <c r="H21" s="48" t="n">
        <v>225</v>
      </c>
      <c r="I21" s="48" t="n">
        <v>7020</v>
      </c>
      <c r="J21" s="45" t="inlineStr">
        <is>
          <t>Security Architecture Design</t>
        </is>
      </c>
      <c r="K21" s="45" t="inlineStr">
        <is>
          <t>Critical path — gates workload account creation</t>
        </is>
      </c>
    </row>
    <row r="22" ht="26" customHeight="1">
      <c r="A22" s="49" t="inlineStr">
        <is>
          <t>Development</t>
        </is>
      </c>
      <c r="B22" s="50" t="inlineStr">
        <is>
          <t>IAM Identity Center Setup</t>
        </is>
      </c>
      <c r="C22" s="50" t="inlineStr">
        <is>
          <t>Configure IAM Identity Center; set up permission sets; integrate identity source; validate SSO login flow</t>
        </is>
      </c>
      <c r="D22" s="50" t="inlineStr">
        <is>
          <t>Security Engineer</t>
        </is>
      </c>
      <c r="E22" s="51" t="n">
        <v>24</v>
      </c>
      <c r="F22" s="52" t="n">
        <v>1.3</v>
      </c>
      <c r="G22" s="51" t="n">
        <v>31.2</v>
      </c>
      <c r="H22" s="53" t="n">
        <v>225</v>
      </c>
      <c r="I22" s="53" t="n">
        <v>7020</v>
      </c>
      <c r="J22" s="50" t="inlineStr">
        <is>
          <t>IAM Identity Center Design</t>
        </is>
      </c>
      <c r="K22" s="50" t="inlineStr"/>
    </row>
    <row r="23" ht="26" customHeight="1">
      <c r="A23" s="44" t="inlineStr">
        <is>
          <t>Development</t>
        </is>
      </c>
      <c r="B23" s="45" t="inlineStr">
        <is>
          <t>Log Archive &amp; Audit Accounts</t>
        </is>
      </c>
      <c r="C23" s="45" t="inlineStr">
        <is>
          <t>Provision Log Archive and Audit/Security Tooling accounts; configure centralised CloudTrail org trail (both regions)</t>
        </is>
      </c>
      <c r="D23" s="45" t="inlineStr">
        <is>
          <t>Cloud Engineer</t>
        </is>
      </c>
      <c r="E23" s="46" t="n">
        <v>24</v>
      </c>
      <c r="F23" s="47" t="n">
        <v>1.3</v>
      </c>
      <c r="G23" s="46" t="n">
        <v>31.2</v>
      </c>
      <c r="H23" s="48" t="n">
        <v>200</v>
      </c>
      <c r="I23" s="48" t="n">
        <v>6240</v>
      </c>
      <c r="J23" s="45" t="inlineStr">
        <is>
          <t>OU Structure Implementation</t>
        </is>
      </c>
      <c r="K23" s="45" t="inlineStr"/>
    </row>
    <row r="24" ht="26" customHeight="1">
      <c r="A24" s="49" t="inlineStr">
        <is>
          <t>Development</t>
        </is>
      </c>
      <c r="B24" s="50" t="inlineStr">
        <is>
          <t>AWS Config Deployment</t>
        </is>
      </c>
      <c r="C24" s="50" t="inlineStr">
        <is>
          <t>Enable AWS Config in both regions across all accounts; configure recording and delivery to Log Archive</t>
        </is>
      </c>
      <c r="D24" s="50" t="inlineStr">
        <is>
          <t>Cloud Engineer</t>
        </is>
      </c>
      <c r="E24" s="51" t="n">
        <v>16</v>
      </c>
      <c r="F24" s="52" t="n">
        <v>1.3</v>
      </c>
      <c r="G24" s="51" t="n">
        <v>20.8</v>
      </c>
      <c r="H24" s="53" t="n">
        <v>200</v>
      </c>
      <c r="I24" s="53" t="n">
        <v>4160</v>
      </c>
      <c r="J24" s="50" t="inlineStr">
        <is>
          <t>Log Archive &amp; Audit Accounts</t>
        </is>
      </c>
      <c r="K24" s="50" t="inlineStr"/>
    </row>
    <row r="25" ht="26" customHeight="1">
      <c r="A25" s="44" t="inlineStr">
        <is>
          <t>Development</t>
        </is>
      </c>
      <c r="B25" s="45" t="inlineStr">
        <is>
          <t>AFT Pipeline Setup</t>
        </is>
      </c>
      <c r="C25" s="45" t="inlineStr">
        <is>
          <t>Deploy Account Factory for Terraform (AFT); configure AFT pipeline; create initial account request templates</t>
        </is>
      </c>
      <c r="D25" s="45" t="inlineStr">
        <is>
          <t>Solutions Engineer</t>
        </is>
      </c>
      <c r="E25" s="46" t="n">
        <v>32</v>
      </c>
      <c r="F25" s="47" t="n">
        <v>1.3</v>
      </c>
      <c r="G25" s="46" t="n">
        <v>41.6</v>
      </c>
      <c r="H25" s="48" t="n">
        <v>200</v>
      </c>
      <c r="I25" s="48" t="n">
        <v>8320</v>
      </c>
      <c r="J25" s="45" t="inlineStr">
        <is>
          <t>IaC Module Design</t>
        </is>
      </c>
      <c r="K25" s="45" t="inlineStr">
        <is>
          <t>Enables &lt;30 min account vending SLA</t>
        </is>
      </c>
    </row>
    <row r="26" ht="26" customHeight="1">
      <c r="A26" s="49" t="inlineStr">
        <is>
          <t>Development</t>
        </is>
      </c>
      <c r="B26" s="50" t="inlineStr">
        <is>
          <t>Sandbox Account Vending Test</t>
        </is>
      </c>
      <c r="C26" s="50" t="inlineStr">
        <is>
          <t>Vend first sandbox account via AFT; validate guardrail enrolment; confirm SCP inheritance</t>
        </is>
      </c>
      <c r="D26" s="50" t="inlineStr">
        <is>
          <t>Solutions Engineer</t>
        </is>
      </c>
      <c r="E26" s="51" t="n">
        <v>16</v>
      </c>
      <c r="F26" s="52" t="n">
        <v>1.3</v>
      </c>
      <c r="G26" s="51" t="n">
        <v>20.8</v>
      </c>
      <c r="H26" s="53" t="n">
        <v>200</v>
      </c>
      <c r="I26" s="53" t="n">
        <v>4160</v>
      </c>
      <c r="J26" s="50" t="inlineStr">
        <is>
          <t>AFT Pipeline Setup</t>
        </is>
      </c>
      <c r="K26" s="50" t="inlineStr">
        <is>
          <t>Validates end-to-end vending pipeline</t>
        </is>
      </c>
    </row>
    <row r="27" ht="26" customHeight="1">
      <c r="A27" s="44" t="inlineStr">
        <is>
          <t>Development</t>
        </is>
      </c>
      <c r="B27" s="45" t="inlineStr">
        <is>
          <t>Transit Gateway Deployment</t>
        </is>
      </c>
      <c r="C27" s="45" t="inlineStr">
        <is>
          <t>Deploy Transit Gateway in us-east-1 and us-east-2; configure inter-region peering; define route tables</t>
        </is>
      </c>
      <c r="D27" s="45" t="inlineStr">
        <is>
          <t>Network Engineer</t>
        </is>
      </c>
      <c r="E27" s="46" t="n">
        <v>32</v>
      </c>
      <c r="F27" s="47" t="n">
        <v>1.3</v>
      </c>
      <c r="G27" s="46" t="n">
        <v>41.6</v>
      </c>
      <c r="H27" s="48" t="n">
        <v>200</v>
      </c>
      <c r="I27" s="48" t="n">
        <v>8320</v>
      </c>
      <c r="J27" s="45" t="inlineStr">
        <is>
          <t>Network Architecture Design</t>
        </is>
      </c>
      <c r="K27" s="45" t="inlineStr">
        <is>
          <t>Weeks 5-8</t>
        </is>
      </c>
    </row>
    <row r="28" ht="26" customHeight="1">
      <c r="A28" s="49" t="inlineStr">
        <is>
          <t>Development</t>
        </is>
      </c>
      <c r="B28" s="50" t="inlineStr">
        <is>
          <t>VPC IPAM Configuration</t>
        </is>
      </c>
      <c r="C28" s="50" t="inlineStr">
        <is>
          <t>Configure VPC IPAM; allocate 10.0.0.0/8 supernet; define regional pools and /20 delegation per spoke</t>
        </is>
      </c>
      <c r="D28" s="50" t="inlineStr">
        <is>
          <t>Network Engineer</t>
        </is>
      </c>
      <c r="E28" s="51" t="n">
        <v>16</v>
      </c>
      <c r="F28" s="52" t="n">
        <v>1.3</v>
      </c>
      <c r="G28" s="51" t="n">
        <v>20.8</v>
      </c>
      <c r="H28" s="53" t="n">
        <v>200</v>
      </c>
      <c r="I28" s="53" t="n">
        <v>4160</v>
      </c>
      <c r="J28" s="50" t="inlineStr">
        <is>
          <t>Transit Gateway Deployment</t>
        </is>
      </c>
      <c r="K28" s="50" t="inlineStr"/>
    </row>
    <row r="29" ht="26" customHeight="1">
      <c r="A29" s="44" t="inlineStr">
        <is>
          <t>Development</t>
        </is>
      </c>
      <c r="B29" s="45" t="inlineStr">
        <is>
          <t>Network Firewall Deployment</t>
        </is>
      </c>
      <c r="C29" s="45" t="inlineStr">
        <is>
          <t>Deploy AWS Network Firewall in Network Hub account (us-east-1 + us-east-2); configure north-south and east-west inspection policies</t>
        </is>
      </c>
      <c r="D29" s="45" t="inlineStr">
        <is>
          <t>Network Engineer</t>
        </is>
      </c>
      <c r="E29" s="46" t="n">
        <v>32</v>
      </c>
      <c r="F29" s="47" t="n">
        <v>1.3</v>
      </c>
      <c r="G29" s="46" t="n">
        <v>41.6</v>
      </c>
      <c r="H29" s="48" t="n">
        <v>200</v>
      </c>
      <c r="I29" s="48" t="n">
        <v>8320</v>
      </c>
      <c r="J29" s="45" t="inlineStr">
        <is>
          <t>Transit Gateway Deployment</t>
        </is>
      </c>
      <c r="K29" s="45" t="inlineStr"/>
    </row>
    <row r="30" ht="26" customHeight="1">
      <c r="A30" s="49" t="inlineStr">
        <is>
          <t>Development</t>
        </is>
      </c>
      <c r="B30" s="50" t="inlineStr">
        <is>
          <t>Hub VPC Build</t>
        </is>
      </c>
      <c r="C30" s="50" t="inlineStr">
        <is>
          <t>Build Network Hub VPCs in both regions; configure centralised NAT Gateway egress; attach to Transit Gateway</t>
        </is>
      </c>
      <c r="D30" s="50" t="inlineStr">
        <is>
          <t>Cloud Engineer</t>
        </is>
      </c>
      <c r="E30" s="51" t="n">
        <v>24</v>
      </c>
      <c r="F30" s="52" t="n">
        <v>1.3</v>
      </c>
      <c r="G30" s="51" t="n">
        <v>31.2</v>
      </c>
      <c r="H30" s="53" t="n">
        <v>200</v>
      </c>
      <c r="I30" s="53" t="n">
        <v>6240</v>
      </c>
      <c r="J30" s="50" t="inlineStr">
        <is>
          <t>Transit Gateway Deployment</t>
        </is>
      </c>
      <c r="K30" s="50" t="inlineStr"/>
    </row>
    <row r="31" ht="26" customHeight="1">
      <c r="A31" s="44" t="inlineStr">
        <is>
          <t>Development</t>
        </is>
      </c>
      <c r="B31" s="45" t="inlineStr">
        <is>
          <t>Spoke VPC Templates</t>
        </is>
      </c>
      <c r="C31" s="45" t="inlineStr">
        <is>
          <t>Create Terraform modules for spoke VPCs (/20); deploy sample Dev and Prod spoke VPCs; validate TGW routing</t>
        </is>
      </c>
      <c r="D31" s="45" t="inlineStr">
        <is>
          <t>Solutions Engineer</t>
        </is>
      </c>
      <c r="E31" s="46" t="n">
        <v>24</v>
      </c>
      <c r="F31" s="47" t="n">
        <v>1.3</v>
      </c>
      <c r="G31" s="46" t="n">
        <v>31.2</v>
      </c>
      <c r="H31" s="48" t="n">
        <v>200</v>
      </c>
      <c r="I31" s="48" t="n">
        <v>6240</v>
      </c>
      <c r="J31" s="45" t="inlineStr">
        <is>
          <t>Hub VPC Build</t>
        </is>
      </c>
      <c r="K31" s="45" t="inlineStr"/>
    </row>
    <row r="32" ht="26" customHeight="1">
      <c r="A32" s="49" t="inlineStr">
        <is>
          <t>Development</t>
        </is>
      </c>
      <c r="B32" s="50" t="inlineStr">
        <is>
          <t>On-Premises VPN Connectivity</t>
        </is>
      </c>
      <c r="C32" s="50" t="inlineStr">
        <is>
          <t>Configure Site-to-Site VPN between Network Hub account and on-premises gateway (both regions); validate routing</t>
        </is>
      </c>
      <c r="D32" s="50" t="inlineStr">
        <is>
          <t>Network Engineer</t>
        </is>
      </c>
      <c r="E32" s="51" t="n">
        <v>24</v>
      </c>
      <c r="F32" s="52" t="n">
        <v>1.3</v>
      </c>
      <c r="G32" s="51" t="n">
        <v>31.2</v>
      </c>
      <c r="H32" s="53" t="n">
        <v>200</v>
      </c>
      <c r="I32" s="53" t="n">
        <v>6240</v>
      </c>
      <c r="J32" s="50" t="inlineStr">
        <is>
          <t>Hub VPC Build</t>
        </is>
      </c>
      <c r="K32" s="50" t="inlineStr">
        <is>
          <t>Direct Connect upgrade path documented for future</t>
        </is>
      </c>
    </row>
    <row r="33" ht="26" customHeight="1">
      <c r="A33" s="44" t="inlineStr">
        <is>
          <t>Development</t>
        </is>
      </c>
      <c r="B33" s="45" t="inlineStr">
        <is>
          <t>Security Hub Deployment</t>
        </is>
      </c>
      <c r="C33" s="45" t="inlineStr">
        <is>
          <t>Enable Security Hub in all accounts and both regions; configure FSBP standard; aggregate findings to Audit account</t>
        </is>
      </c>
      <c r="D33" s="45" t="inlineStr">
        <is>
          <t>Security Engineer</t>
        </is>
      </c>
      <c r="E33" s="46" t="n">
        <v>16</v>
      </c>
      <c r="F33" s="47" t="n">
        <v>1.3</v>
      </c>
      <c r="G33" s="46" t="n">
        <v>20.8</v>
      </c>
      <c r="H33" s="48" t="n">
        <v>225</v>
      </c>
      <c r="I33" s="48" t="n">
        <v>4680</v>
      </c>
      <c r="J33" s="45" t="inlineStr">
        <is>
          <t>Log Archive &amp; Audit Accounts</t>
        </is>
      </c>
      <c r="K33" s="45" t="inlineStr">
        <is>
          <t>Weeks 9-12</t>
        </is>
      </c>
    </row>
    <row r="34" ht="26" customHeight="1">
      <c r="A34" s="49" t="inlineStr">
        <is>
          <t>Development</t>
        </is>
      </c>
      <c r="B34" s="50" t="inlineStr">
        <is>
          <t>GuardDuty Deployment</t>
        </is>
      </c>
      <c r="C34" s="50" t="inlineStr">
        <is>
          <t>Enable GuardDuty org-wide in both regions; configure delegated administrator in Audit account</t>
        </is>
      </c>
      <c r="D34" s="50" t="inlineStr">
        <is>
          <t>Security Engineer</t>
        </is>
      </c>
      <c r="E34" s="51" t="n">
        <v>16</v>
      </c>
      <c r="F34" s="52" t="n">
        <v>1.3</v>
      </c>
      <c r="G34" s="51" t="n">
        <v>20.8</v>
      </c>
      <c r="H34" s="53" t="n">
        <v>225</v>
      </c>
      <c r="I34" s="53" t="n">
        <v>4680</v>
      </c>
      <c r="J34" s="50" t="inlineStr">
        <is>
          <t>Security Hub Deployment</t>
        </is>
      </c>
      <c r="K34" s="50" t="inlineStr"/>
    </row>
    <row r="35" ht="26" customHeight="1">
      <c r="A35" s="44" t="inlineStr">
        <is>
          <t>Development</t>
        </is>
      </c>
      <c r="B35" s="45" t="inlineStr">
        <is>
          <t>AWS Config Rules &amp; Conformance Packs</t>
        </is>
      </c>
      <c r="C35" s="45" t="inlineStr">
        <is>
          <t>Deploy Config rules aligned to FSBP; configure conformance pack for chosen compliance framework</t>
        </is>
      </c>
      <c r="D35" s="45" t="inlineStr">
        <is>
          <t>Cloud Engineer</t>
        </is>
      </c>
      <c r="E35" s="46" t="n">
        <v>24</v>
      </c>
      <c r="F35" s="47" t="n">
        <v>1.3</v>
      </c>
      <c r="G35" s="46" t="n">
        <v>31.2</v>
      </c>
      <c r="H35" s="48" t="n">
        <v>200</v>
      </c>
      <c r="I35" s="48" t="n">
        <v>6240</v>
      </c>
      <c r="J35" s="45" t="inlineStr">
        <is>
          <t>AWS Config Deployment</t>
        </is>
      </c>
      <c r="K35" s="45" t="inlineStr">
        <is>
          <t>Additional frameworks (NIST/SOC2/HIPAA) added post-confirmation</t>
        </is>
      </c>
    </row>
    <row r="36" ht="26" customHeight="1">
      <c r="A36" s="49" t="inlineStr">
        <is>
          <t>Development</t>
        </is>
      </c>
      <c r="B36" s="50" t="inlineStr">
        <is>
          <t>CloudTrail Lake Configuration</t>
        </is>
      </c>
      <c r="C36" s="50" t="inlineStr">
        <is>
          <t>Configure CloudTrail Lake in Audit account; enable event data stores; create sample queries for security investigations</t>
        </is>
      </c>
      <c r="D36" s="50" t="inlineStr">
        <is>
          <t>Cloud Engineer</t>
        </is>
      </c>
      <c r="E36" s="51" t="n">
        <v>16</v>
      </c>
      <c r="F36" s="52" t="n">
        <v>1.3</v>
      </c>
      <c r="G36" s="51" t="n">
        <v>20.8</v>
      </c>
      <c r="H36" s="53" t="n">
        <v>200</v>
      </c>
      <c r="I36" s="53" t="n">
        <v>4160</v>
      </c>
      <c r="J36" s="50" t="inlineStr">
        <is>
          <t>Log Archive &amp; Audit Accounts</t>
        </is>
      </c>
      <c r="K36" s="50" t="inlineStr"/>
    </row>
    <row r="37" ht="26" customHeight="1">
      <c r="A37" s="44" t="inlineStr">
        <is>
          <t>Development</t>
        </is>
      </c>
      <c r="B37" s="45" t="inlineStr">
        <is>
          <t>Tagging Enforcement &amp; Budgets</t>
        </is>
      </c>
      <c r="C37" s="45" t="inlineStr">
        <is>
          <t>Implement tag policies via Organizations; configure AWS Cost Explorer; set per-account Budgets alerts at 80% and 100%</t>
        </is>
      </c>
      <c r="D37" s="45" t="inlineStr">
        <is>
          <t>Solutions Engineer</t>
        </is>
      </c>
      <c r="E37" s="46" t="n">
        <v>16</v>
      </c>
      <c r="F37" s="47" t="n">
        <v>1.3</v>
      </c>
      <c r="G37" s="46" t="n">
        <v>20.8</v>
      </c>
      <c r="H37" s="48" t="n">
        <v>200</v>
      </c>
      <c r="I37" s="48" t="n">
        <v>4160</v>
      </c>
      <c r="J37" s="45" t="inlineStr">
        <is>
          <t>OU Structure Implementation</t>
        </is>
      </c>
      <c r="K37" s="45" t="inlineStr">
        <is>
          <t>Tags: Environment / Owner / CostCenter / Project / DataClassification</t>
        </is>
      </c>
    </row>
    <row r="38" ht="26" customHeight="1">
      <c r="A38" s="49" t="inlineStr">
        <is>
          <t>Development</t>
        </is>
      </c>
      <c r="B38" s="50" t="inlineStr">
        <is>
          <t>Centralised Monitoring Setup</t>
        </is>
      </c>
      <c r="C38" s="50" t="inlineStr">
        <is>
          <t>Configure centralised CloudWatch dashboards in Shared Services account; configure SNS alert routing; document alerting runbook</t>
        </is>
      </c>
      <c r="D38" s="50" t="inlineStr">
        <is>
          <t>Solutions Engineer</t>
        </is>
      </c>
      <c r="E38" s="51" t="n">
        <v>16</v>
      </c>
      <c r="F38" s="52" t="n">
        <v>1.3</v>
      </c>
      <c r="G38" s="51" t="n">
        <v>20.8</v>
      </c>
      <c r="H38" s="53" t="n">
        <v>200</v>
      </c>
      <c r="I38" s="53" t="n">
        <v>4160</v>
      </c>
      <c r="J38" s="50" t="inlineStr">
        <is>
          <t>Monitoring &amp; Alerting Architecture</t>
        </is>
      </c>
      <c r="K38" s="50" t="inlineStr">
        <is>
          <t>Third-party SIEM integration out of scope (TBD post go-live)</t>
        </is>
      </c>
    </row>
    <row r="39" ht="26" customHeight="1">
      <c r="A39" s="44" t="inlineStr">
        <is>
          <t>Development</t>
        </is>
      </c>
      <c r="B39" s="45" t="inlineStr">
        <is>
          <t>AFT Customisation &amp; Account Templates</t>
        </is>
      </c>
      <c r="C39" s="45" t="inlineStr">
        <is>
          <t>Build AFT account customisations for Prod / NonProd / Sandbox OUs; test full account vending pipeline end-to-end</t>
        </is>
      </c>
      <c r="D39" s="45" t="inlineStr">
        <is>
          <t>Solutions Engineer</t>
        </is>
      </c>
      <c r="E39" s="46" t="n">
        <v>24</v>
      </c>
      <c r="F39" s="47" t="n">
        <v>1.3</v>
      </c>
      <c r="G39" s="46" t="n">
        <v>31.2</v>
      </c>
      <c r="H39" s="48" t="n">
        <v>200</v>
      </c>
      <c r="I39" s="48" t="n">
        <v>6240</v>
      </c>
      <c r="J39" s="45" t="inlineStr">
        <is>
          <t>AFT Pipeline Setup</t>
        </is>
      </c>
      <c r="K39" s="45" t="inlineStr">
        <is>
          <t>Validates &lt;30 min vending SLA</t>
        </is>
      </c>
    </row>
    <row r="40" ht="26" customHeight="1">
      <c r="A40" s="49" t="inlineStr">
        <is>
          <t>Development</t>
        </is>
      </c>
      <c r="B40" s="50" t="inlineStr">
        <is>
          <t>CI/CD Pipeline Finalization</t>
        </is>
      </c>
      <c r="C40" s="50" t="inlineStr">
        <is>
          <t>Finalise IaC CI/CD pipeline (tooling TBD with client); configure branch protection and deployment gates</t>
        </is>
      </c>
      <c r="D40" s="50" t="inlineStr">
        <is>
          <t>Solutions Engineer</t>
        </is>
      </c>
      <c r="E40" s="51" t="n">
        <v>24</v>
      </c>
      <c r="F40" s="52" t="n">
        <v>1.3</v>
      </c>
      <c r="G40" s="51" t="n">
        <v>31.2</v>
      </c>
      <c r="H40" s="53" t="n">
        <v>200</v>
      </c>
      <c r="I40" s="53" t="n">
        <v>6240</v>
      </c>
      <c r="J40" s="50" t="inlineStr">
        <is>
          <t>IaC Module Design</t>
        </is>
      </c>
      <c r="K40" s="50" t="inlineStr">
        <is>
          <t>Tooling confirmation required from client</t>
        </is>
      </c>
    </row>
    <row r="41" ht="26" customHeight="1">
      <c r="A41" s="44" t="inlineStr">
        <is>
          <t>Testing</t>
        </is>
      </c>
      <c r="B41" s="45" t="inlineStr">
        <is>
          <t>Test Plan Development</t>
        </is>
      </c>
      <c r="C41" s="45" t="inlineStr">
        <is>
          <t>Create comprehensive landing zone test plan covering SCP enforcement; account vending; network flows; security findings</t>
        </is>
      </c>
      <c r="D41" s="45" t="inlineStr">
        <is>
          <t>QA Engineer</t>
        </is>
      </c>
      <c r="E41" s="46" t="n">
        <v>16</v>
      </c>
      <c r="F41" s="47" t="n">
        <v>1</v>
      </c>
      <c r="G41" s="46" t="n">
        <v>16</v>
      </c>
      <c r="H41" s="48" t="n">
        <v>150</v>
      </c>
      <c r="I41" s="48" t="n">
        <v>2400</v>
      </c>
      <c r="J41" s="45" t="inlineStr">
        <is>
          <t>All development tasks</t>
        </is>
      </c>
      <c r="K41" s="45" t="inlineStr"/>
    </row>
    <row r="42" ht="26" customHeight="1">
      <c r="A42" s="49" t="inlineStr">
        <is>
          <t>Testing</t>
        </is>
      </c>
      <c r="B42" s="50" t="inlineStr">
        <is>
          <t>SCP &amp; Guardrail Testing</t>
        </is>
      </c>
      <c r="C42" s="50" t="inlineStr">
        <is>
          <t>Attempt policy-violating actions to validate SCP deny statements (root usage; region restriction; CloudTrail disable)</t>
        </is>
      </c>
      <c r="D42" s="50" t="inlineStr">
        <is>
          <t>Security Engineer</t>
        </is>
      </c>
      <c r="E42" s="51" t="n">
        <v>24</v>
      </c>
      <c r="F42" s="52" t="n">
        <v>1</v>
      </c>
      <c r="G42" s="51" t="n">
        <v>24</v>
      </c>
      <c r="H42" s="53" t="n">
        <v>225</v>
      </c>
      <c r="I42" s="53" t="n">
        <v>5400</v>
      </c>
      <c r="J42" s="50" t="inlineStr">
        <is>
          <t>SCP &amp; RCP Implementation</t>
        </is>
      </c>
      <c r="K42" s="50" t="inlineStr"/>
    </row>
    <row r="43" ht="26" customHeight="1">
      <c r="A43" s="44" t="inlineStr">
        <is>
          <t>Testing</t>
        </is>
      </c>
      <c r="B43" s="45" t="inlineStr">
        <is>
          <t>Account Vending Validation</t>
        </is>
      </c>
      <c r="C43" s="45" t="inlineStr">
        <is>
          <t>Vend 2 workload accounts (1 prod / 1 non-prod) via AFT; validate guardrail enrolment; confirm &lt; 30 min SLA</t>
        </is>
      </c>
      <c r="D43" s="45" t="inlineStr">
        <is>
          <t>Solutions Engineer</t>
        </is>
      </c>
      <c r="E43" s="46" t="n">
        <v>16</v>
      </c>
      <c r="F43" s="47" t="n">
        <v>1</v>
      </c>
      <c r="G43" s="46" t="n">
        <v>16</v>
      </c>
      <c r="H43" s="48" t="n">
        <v>200</v>
      </c>
      <c r="I43" s="48" t="n">
        <v>3200</v>
      </c>
      <c r="J43" s="45" t="inlineStr">
        <is>
          <t>AFT Customisation &amp; Account Templates</t>
        </is>
      </c>
      <c r="K43" s="45" t="inlineStr">
        <is>
          <t>Satisfies hard deadline: 2 workload accounts by Month 3</t>
        </is>
      </c>
    </row>
    <row r="44" ht="26" customHeight="1">
      <c r="A44" s="49" t="inlineStr">
        <is>
          <t>Testing</t>
        </is>
      </c>
      <c r="B44" s="50" t="inlineStr">
        <is>
          <t>Network Flow Testing</t>
        </is>
      </c>
      <c r="C44" s="50" t="inlineStr">
        <is>
          <t>Validate spoke-to-spoke traffic through firewall; validate centralised egress; test VPN connectivity and routing</t>
        </is>
      </c>
      <c r="D44" s="50" t="inlineStr">
        <is>
          <t>Network Engineer</t>
        </is>
      </c>
      <c r="E44" s="51" t="n">
        <v>16</v>
      </c>
      <c r="F44" s="52" t="n">
        <v>1</v>
      </c>
      <c r="G44" s="51" t="n">
        <v>16</v>
      </c>
      <c r="H44" s="53" t="n">
        <v>200</v>
      </c>
      <c r="I44" s="53" t="n">
        <v>3200</v>
      </c>
      <c r="J44" s="50" t="inlineStr">
        <is>
          <t>All networking development tasks</t>
        </is>
      </c>
      <c r="K44" s="50" t="inlineStr"/>
    </row>
    <row r="45" ht="26" customHeight="1">
      <c r="A45" s="44" t="inlineStr">
        <is>
          <t>Testing</t>
        </is>
      </c>
      <c r="B45" s="45" t="inlineStr">
        <is>
          <t>Security Posture Validation</t>
        </is>
      </c>
      <c r="C45" s="45" t="inlineStr">
        <is>
          <t>Review Security Hub findings; confirm zero critical FSBP findings in production; validate GuardDuty threat detection</t>
        </is>
      </c>
      <c r="D45" s="45" t="inlineStr">
        <is>
          <t>Security Engineer</t>
        </is>
      </c>
      <c r="E45" s="46" t="n">
        <v>16</v>
      </c>
      <c r="F45" s="47" t="n">
        <v>1</v>
      </c>
      <c r="G45" s="46" t="n">
        <v>16</v>
      </c>
      <c r="H45" s="48" t="n">
        <v>225</v>
      </c>
      <c r="I45" s="48" t="n">
        <v>3600</v>
      </c>
      <c r="J45" s="45" t="inlineStr">
        <is>
          <t>Security Hub Deployment</t>
        </is>
      </c>
      <c r="K45" s="45" t="inlineStr"/>
    </row>
    <row r="46" ht="26" customHeight="1">
      <c r="A46" s="49" t="inlineStr">
        <is>
          <t>Testing</t>
        </is>
      </c>
      <c r="B46" s="50" t="inlineStr">
        <is>
          <t>Disaster Recovery Smoke Test</t>
        </is>
      </c>
      <c r="C46" s="50" t="inlineStr">
        <is>
          <t>Validate Control Tower governance in us-east-2; test failover routing via TGW inter-region peering</t>
        </is>
      </c>
      <c r="D46" s="50" t="inlineStr">
        <is>
          <t>Cloud Engineer</t>
        </is>
      </c>
      <c r="E46" s="51" t="n">
        <v>8</v>
      </c>
      <c r="F46" s="52" t="n">
        <v>1</v>
      </c>
      <c r="G46" s="51" t="n">
        <v>8</v>
      </c>
      <c r="H46" s="53" t="n">
        <v>200</v>
      </c>
      <c r="I46" s="53" t="n">
        <v>1600</v>
      </c>
      <c r="J46" s="50" t="inlineStr">
        <is>
          <t>All development tasks</t>
        </is>
      </c>
      <c r="K46" s="50" t="inlineStr"/>
    </row>
    <row r="47" ht="26" customHeight="1">
      <c r="A47" s="44" t="inlineStr">
        <is>
          <t>Testing</t>
        </is>
      </c>
      <c r="B47" s="45" t="inlineStr">
        <is>
          <t>UAT Coordination</t>
        </is>
      </c>
      <c r="C47" s="45" t="inlineStr">
        <is>
          <t>Coordinate client UAT sessions; facilitate sign-off against agreed success metrics</t>
        </is>
      </c>
      <c r="D47" s="45" t="inlineStr">
        <is>
          <t>Project Manager</t>
        </is>
      </c>
      <c r="E47" s="46" t="n">
        <v>16</v>
      </c>
      <c r="F47" s="47" t="n">
        <v>1</v>
      </c>
      <c r="G47" s="46" t="n">
        <v>16</v>
      </c>
      <c r="H47" s="48" t="n">
        <v>175</v>
      </c>
      <c r="I47" s="48" t="n">
        <v>2800</v>
      </c>
      <c r="J47" s="45" t="inlineStr">
        <is>
          <t>Test Plan Development</t>
        </is>
      </c>
      <c r="K47" s="45" t="inlineStr">
        <is>
          <t>Client stakeholder availability required</t>
        </is>
      </c>
    </row>
    <row r="48" ht="26" customHeight="1">
      <c r="A48" s="49" t="inlineStr">
        <is>
          <t>Testing</t>
        </is>
      </c>
      <c r="B48" s="50" t="inlineStr">
        <is>
          <t>Defect Resolution</t>
        </is>
      </c>
      <c r="C48" s="50" t="inlineStr">
        <is>
          <t>Triage and resolve issues identified during testing and UAT</t>
        </is>
      </c>
      <c r="D48" s="50" t="inlineStr">
        <is>
          <t>Solutions Engineer</t>
        </is>
      </c>
      <c r="E48" s="51" t="n">
        <v>24</v>
      </c>
      <c r="F48" s="52" t="n">
        <v>1</v>
      </c>
      <c r="G48" s="51" t="n">
        <v>24</v>
      </c>
      <c r="H48" s="53" t="n">
        <v>200</v>
      </c>
      <c r="I48" s="53" t="n">
        <v>4800</v>
      </c>
      <c r="J48" s="50" t="inlineStr">
        <is>
          <t>All testing tasks</t>
        </is>
      </c>
      <c r="K48" s="50" t="inlineStr">
        <is>
          <t>10-20% contingency buffer included</t>
        </is>
      </c>
    </row>
    <row r="49" ht="26" customHeight="1">
      <c r="A49" s="44" t="inlineStr">
        <is>
          <t>Testing</t>
        </is>
      </c>
      <c r="B49" s="45" t="inlineStr">
        <is>
          <t>Test Results Report</t>
        </is>
      </c>
      <c r="C49" s="45" t="inlineStr">
        <is>
          <t>Document test results; record success metrics achieved; obtain formal client sign-off</t>
        </is>
      </c>
      <c r="D49" s="45" t="inlineStr">
        <is>
          <t>QA Engineer</t>
        </is>
      </c>
      <c r="E49" s="46" t="n">
        <v>8</v>
      </c>
      <c r="F49" s="47" t="n">
        <v>1</v>
      </c>
      <c r="G49" s="46" t="n">
        <v>8</v>
      </c>
      <c r="H49" s="48" t="n">
        <v>150</v>
      </c>
      <c r="I49" s="48" t="n">
        <v>1200</v>
      </c>
      <c r="J49" s="45" t="inlineStr">
        <is>
          <t>All testing tasks</t>
        </is>
      </c>
      <c r="K49" s="45" t="inlineStr"/>
    </row>
    <row r="50" ht="26" customHeight="1">
      <c r="A50" s="49" t="inlineStr">
        <is>
          <t>Deployment</t>
        </is>
      </c>
      <c r="B50" s="50" t="inlineStr">
        <is>
          <t>Go-Live Planning</t>
        </is>
      </c>
      <c r="C50" s="50" t="inlineStr">
        <is>
          <t>Finalise go-live checklist; confirm rollback procedures; schedule production cutover call</t>
        </is>
      </c>
      <c r="D50" s="50" t="inlineStr">
        <is>
          <t>Project Manager</t>
        </is>
      </c>
      <c r="E50" s="51" t="n">
        <v>8</v>
      </c>
      <c r="F50" s="52" t="n">
        <v>1</v>
      </c>
      <c r="G50" s="51" t="n">
        <v>8</v>
      </c>
      <c r="H50" s="53" t="n">
        <v>175</v>
      </c>
      <c r="I50" s="53" t="n">
        <v>1400</v>
      </c>
      <c r="J50" s="50" t="inlineStr">
        <is>
          <t>UAT sign-off</t>
        </is>
      </c>
      <c r="K50" s="50" t="inlineStr"/>
    </row>
    <row r="51" ht="26" customHeight="1">
      <c r="A51" s="44" t="inlineStr">
        <is>
          <t>Deployment</t>
        </is>
      </c>
      <c r="B51" s="45" t="inlineStr">
        <is>
          <t>Production Go-Live</t>
        </is>
      </c>
      <c r="C51" s="45" t="inlineStr">
        <is>
          <t>Execute final production validation; confirm all accounts enrolled in Control Tower at go-live</t>
        </is>
      </c>
      <c r="D51" s="45" t="inlineStr">
        <is>
          <t>Solutions Engineer</t>
        </is>
      </c>
      <c r="E51" s="46" t="n">
        <v>16</v>
      </c>
      <c r="F51" s="47" t="n">
        <v>1</v>
      </c>
      <c r="G51" s="46" t="n">
        <v>16</v>
      </c>
      <c r="H51" s="48" t="n">
        <v>200</v>
      </c>
      <c r="I51" s="48" t="n">
        <v>3200</v>
      </c>
      <c r="J51" s="45" t="inlineStr">
        <is>
          <t>Go-Live Planning</t>
        </is>
      </c>
      <c r="K51" s="45" t="inlineStr">
        <is>
          <t>Success metric: 100% accounts enrolled</t>
        </is>
      </c>
    </row>
    <row r="52" ht="26" customHeight="1">
      <c r="A52" s="49" t="inlineStr">
        <is>
          <t>Deployment</t>
        </is>
      </c>
      <c r="B52" s="50" t="inlineStr">
        <is>
          <t>Runbook Development</t>
        </is>
      </c>
      <c r="C52" s="50" t="inlineStr">
        <is>
          <t>Create operational runbooks for: account vending; SCP updates; Security Hub triage; network changes; incident response</t>
        </is>
      </c>
      <c r="D52" s="50" t="inlineStr">
        <is>
          <t>Technical Writer</t>
        </is>
      </c>
      <c r="E52" s="51" t="n">
        <v>32</v>
      </c>
      <c r="F52" s="52" t="n">
        <v>1</v>
      </c>
      <c r="G52" s="51" t="n">
        <v>32</v>
      </c>
      <c r="H52" s="53" t="n">
        <v>125</v>
      </c>
      <c r="I52" s="53" t="n">
        <v>4000</v>
      </c>
      <c r="J52" s="50" t="inlineStr">
        <is>
          <t>All development tasks</t>
        </is>
      </c>
      <c r="K52" s="50" t="inlineStr"/>
    </row>
    <row r="53" ht="26" customHeight="1">
      <c r="A53" s="44" t="inlineStr">
        <is>
          <t>Deployment</t>
        </is>
      </c>
      <c r="B53" s="45" t="inlineStr">
        <is>
          <t>As-Built Documentation</t>
        </is>
      </c>
      <c r="C53" s="45" t="inlineStr">
        <is>
          <t>Produce final as-built architecture document; update design docs to reflect production configuration</t>
        </is>
      </c>
      <c r="D53" s="45" t="inlineStr">
        <is>
          <t>Technical Writer</t>
        </is>
      </c>
      <c r="E53" s="46" t="n">
        <v>24</v>
      </c>
      <c r="F53" s="47" t="n">
        <v>1</v>
      </c>
      <c r="G53" s="46" t="n">
        <v>24</v>
      </c>
      <c r="H53" s="48" t="n">
        <v>125</v>
      </c>
      <c r="I53" s="48" t="n">
        <v>3000</v>
      </c>
      <c r="J53" s="45" t="inlineStr">
        <is>
          <t>Production Go-Live</t>
        </is>
      </c>
      <c r="K53" s="45" t="inlineStr"/>
    </row>
    <row r="54" ht="26" customHeight="1">
      <c r="A54" s="49" t="inlineStr">
        <is>
          <t>Deployment</t>
        </is>
      </c>
      <c r="B54" s="50" t="inlineStr">
        <is>
          <t>Administrator Training</t>
        </is>
      </c>
      <c r="C54" s="50" t="inlineStr">
        <is>
          <t>Train cloud/infrastructure team on Control Tower; IAM Identity Center; AFT account vending; Config and Security Hub operations</t>
        </is>
      </c>
      <c r="D54" s="50" t="inlineStr">
        <is>
          <t>Trainer</t>
        </is>
      </c>
      <c r="E54" s="51" t="n">
        <v>24</v>
      </c>
      <c r="F54" s="52" t="n">
        <v>1</v>
      </c>
      <c r="G54" s="51" t="n">
        <v>24</v>
      </c>
      <c r="H54" s="53" t="n">
        <v>150</v>
      </c>
      <c r="I54" s="53" t="n">
        <v>3600</v>
      </c>
      <c r="J54" s="50" t="inlineStr">
        <is>
          <t>Runbook Development</t>
        </is>
      </c>
      <c r="K54" s="50" t="inlineStr"/>
    </row>
    <row r="55" ht="26" customHeight="1">
      <c r="A55" s="44" t="inlineStr">
        <is>
          <t>Deployment</t>
        </is>
      </c>
      <c r="B55" s="45" t="inlineStr">
        <is>
          <t>Knowledge Transfer Sessions</t>
        </is>
      </c>
      <c r="C55" s="45" t="inlineStr">
        <is>
          <t>Conduct knowledge transfer for security team on SCP management; Security Hub; GuardDuty; CloudTrail Lake queries</t>
        </is>
      </c>
      <c r="D55" s="45" t="inlineStr">
        <is>
          <t>Trainer</t>
        </is>
      </c>
      <c r="E55" s="46" t="n">
        <v>16</v>
      </c>
      <c r="F55" s="47" t="n">
        <v>1</v>
      </c>
      <c r="G55" s="46" t="n">
        <v>16</v>
      </c>
      <c r="H55" s="48" t="n">
        <v>150</v>
      </c>
      <c r="I55" s="48" t="n">
        <v>2400</v>
      </c>
      <c r="J55" s="45" t="inlineStr">
        <is>
          <t>Administrator Training</t>
        </is>
      </c>
      <c r="K55" s="45" t="inlineStr"/>
    </row>
    <row r="56" ht="26" customHeight="1">
      <c r="A56" s="49" t="inlineStr">
        <is>
          <t>Deployment</t>
        </is>
      </c>
      <c r="B56" s="50" t="inlineStr">
        <is>
          <t>Hypercare Support</t>
        </is>
      </c>
      <c r="C56" s="50" t="inlineStr">
        <is>
          <t>Provide 4-week post go-live hypercare support; triage issues; assist with first workload onboarding</t>
        </is>
      </c>
      <c r="D56" s="50" t="inlineStr">
        <is>
          <t>Support Engineer</t>
        </is>
      </c>
      <c r="E56" s="51" t="n">
        <v>40</v>
      </c>
      <c r="F56" s="52" t="n">
        <v>1</v>
      </c>
      <c r="G56" s="51" t="n">
        <v>40</v>
      </c>
      <c r="H56" s="53" t="n">
        <v>150</v>
      </c>
      <c r="I56" s="53" t="n">
        <v>6000</v>
      </c>
      <c r="J56" s="50" t="inlineStr">
        <is>
          <t>Production Go-Live</t>
        </is>
      </c>
      <c r="K56" s="50" t="inlineStr">
        <is>
          <t>4-week hypercare = Medium/Large baseline</t>
        </is>
      </c>
    </row>
    <row r="57" ht="26" customHeight="1">
      <c r="A57" s="44" t="inlineStr">
        <is>
          <t>Deployment</t>
        </is>
      </c>
      <c r="B57" s="45" t="inlineStr">
        <is>
          <t>Optimization Recommendations</t>
        </is>
      </c>
      <c r="C57" s="45" t="inlineStr">
        <is>
          <t>Document cost optimization and architecture improvement opportunities (Savings Plans; TGW routing; Direct Connect evaluation)</t>
        </is>
      </c>
      <c r="D57" s="45" t="inlineStr">
        <is>
          <t>Solution Architect</t>
        </is>
      </c>
      <c r="E57" s="46" t="n">
        <v>16</v>
      </c>
      <c r="F57" s="47" t="n">
        <v>1</v>
      </c>
      <c r="G57" s="46" t="n">
        <v>16</v>
      </c>
      <c r="H57" s="48" t="n">
        <v>250</v>
      </c>
      <c r="I57" s="48" t="n">
        <v>4000</v>
      </c>
      <c r="J57" s="45" t="inlineStr">
        <is>
          <t>Hypercare Support</t>
        </is>
      </c>
      <c r="K57" s="45" t="inlineStr">
        <is>
          <t>AWS-certified architect rate applied</t>
        </is>
      </c>
    </row>
    <row r="58" ht="26" customHeight="1">
      <c r="A58" s="49" t="inlineStr">
        <is>
          <t>Deployment</t>
        </is>
      </c>
      <c r="B58" s="50" t="inlineStr">
        <is>
          <t>Project Closeout</t>
        </is>
      </c>
      <c r="C58" s="50" t="inlineStr">
        <is>
          <t>Project retrospective; lessons learned; deliver final project report</t>
        </is>
      </c>
      <c r="D58" s="50" t="inlineStr">
        <is>
          <t>Project Manager</t>
        </is>
      </c>
      <c r="E58" s="51" t="n">
        <v>8</v>
      </c>
      <c r="F58" s="52" t="n">
        <v>1</v>
      </c>
      <c r="G58" s="51" t="n">
        <v>8</v>
      </c>
      <c r="H58" s="53" t="n">
        <v>175</v>
      </c>
      <c r="I58" s="53" t="n">
        <v>1400</v>
      </c>
      <c r="J58" s="50" t="inlineStr">
        <is>
          <t>All deployment tasks</t>
        </is>
      </c>
      <c r="K58" s="50" t="inlineStr"/>
    </row>
    <row r="59" ht="26" customHeight="1">
      <c r="A59" s="44" t="inlineStr">
        <is>
          <t>Management</t>
        </is>
      </c>
      <c r="B59" s="45" t="inlineStr">
        <is>
          <t>Technical Leadership</t>
        </is>
      </c>
      <c r="C59" s="45" t="inlineStr">
        <is>
          <t>Quarterback technical oversight across all phases (Discovery through Project Closeout)</t>
        </is>
      </c>
      <c r="D59" s="45" t="inlineStr">
        <is>
          <t>EO Quarterback</t>
        </is>
      </c>
      <c r="E59" s="54">
        <f>ROUND(SUM($G$3:$G$62)*0.10,0)</f>
        <v/>
      </c>
      <c r="F59" s="47" t="n">
        <v>1</v>
      </c>
      <c r="G59" s="54">
        <f>ROUND(SUM($G$3:$G$62)*0.10,0)</f>
        <v/>
      </c>
      <c r="H59" s="48" t="n">
        <v>225</v>
      </c>
      <c r="I59" s="54">
        <f>TEXT(ROUND(SUM($G$3:$G$62)*0.10,0)*225,"$#,##0")</f>
        <v/>
      </c>
      <c r="J59" s="45" t="inlineStr"/>
      <c r="K59" s="45" t="inlineStr">
        <is>
          <t>10% of all engineering task hours</t>
        </is>
      </c>
    </row>
    <row r="60" ht="26" customHeight="1">
      <c r="A60" s="49" t="inlineStr">
        <is>
          <t>Management</t>
        </is>
      </c>
      <c r="B60" s="50" t="inlineStr">
        <is>
          <t>Project Management</t>
        </is>
      </c>
      <c r="C60" s="50" t="inlineStr">
        <is>
          <t>Project coordination, status reporting, stakeholder communication, and risk management</t>
        </is>
      </c>
      <c r="D60" s="50" t="inlineStr">
        <is>
          <t>EO Project Manager</t>
        </is>
      </c>
      <c r="E60" s="55">
        <f>ROUND(SUM($G$3:$G$62)*0.10,0)</f>
        <v/>
      </c>
      <c r="F60" s="52" t="n">
        <v>1</v>
      </c>
      <c r="G60" s="55">
        <f>ROUND(SUM($G$3:$G$62)*0.10,0)</f>
        <v/>
      </c>
      <c r="H60" s="53" t="n">
        <v>175</v>
      </c>
      <c r="I60" s="55">
        <f>TEXT(ROUND(SUM($G$3:$G$62)*0.10,0)*175,"$#,##0")</f>
        <v/>
      </c>
      <c r="J60" s="50" t="inlineStr"/>
      <c r="K60" s="50" t="inlineStr">
        <is>
          <t>10% of all engineering task hours</t>
        </is>
      </c>
    </row>
    <row r="61" ht="26" customHeight="1">
      <c r="A61" s="56" t="inlineStr"/>
      <c r="B61" s="56" t="inlineStr"/>
      <c r="C61" s="56" t="inlineStr"/>
      <c r="D61" s="56" t="inlineStr"/>
      <c r="E61" s="56" t="inlineStr"/>
      <c r="F61" s="57" t="inlineStr">
        <is>
          <t>TOTAL HOURS</t>
        </is>
      </c>
      <c r="G61" s="57">
        <f>SUM($G$3:$G$64)</f>
        <v/>
      </c>
      <c r="H61" s="57" t="inlineStr">
        <is>
          <t>TOTAL COST</t>
        </is>
      </c>
      <c r="I61" s="57">
        <f>TEXT(SUMPRODUCT($G$3:$G$64,$H$3:$H$64),"$#,##0")</f>
        <v/>
      </c>
      <c r="J61" s="56" t="inlineStr"/>
      <c r="K61" s="56" t="inlineStr"/>
    </row>
  </sheetData>
  <autoFilter ref="A2:K61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0" customWidth="1" min="3" max="3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Credit Type</t>
        </is>
      </c>
      <c r="B2" s="35" t="inlineStr">
        <is>
          <t>Credit Amount</t>
        </is>
      </c>
      <c r="C2" s="35" t="inlineStr">
        <is>
          <t>Credit Comments</t>
        </is>
      </c>
    </row>
    <row r="3" ht="26" customHeight="1">
      <c r="A3" s="36" t="inlineStr">
        <is>
          <t>AWS Partner Services Credit</t>
        </is>
      </c>
      <c r="B3" s="58" t="n">
        <v>-10000</v>
      </c>
      <c r="C3" s="37" t="inlineStr">
        <is>
          <t>AWS Partner Network (APN) Advanced Tier credit applied to professional services for solution architecture, Control Tower design, and implementation on this greenfield engagement</t>
        </is>
      </c>
    </row>
    <row r="4" ht="26" customHeight="1">
      <c r="A4" s="39" t="inlineStr">
        <is>
          <t>APN Migration Acceleration Credit</t>
        </is>
      </c>
      <c r="B4" s="59" t="n">
        <v>-5000</v>
      </c>
      <c r="C4" s="40" t="inlineStr">
        <is>
          <t>AWS Migration Acceleration Program (MAP) Assess/Mobilize credit applicable to greenfield landing zone deployments; subject to APN MAP eligibility confirmation with AWS account team</t>
        </is>
      </c>
    </row>
    <row r="5" ht="26" customHeight="1">
      <c r="A5" s="36" t="inlineStr">
        <is>
          <t>Implementation Volume Discount</t>
        </is>
      </c>
      <c r="B5" s="58" t="n">
        <v>-3000</v>
      </c>
      <c r="C5" s="37" t="inlineStr">
        <is>
          <t>Volume discount on professional services for strategic greenfield engagement; applicable when total billable hours exceed 600</t>
        </is>
      </c>
    </row>
    <row r="6" ht="26" customHeight="1">
      <c r="A6" s="60" t="inlineStr">
        <is>
          <t>TOTAL</t>
        </is>
      </c>
      <c r="B6" s="61">
        <f>SUMPRODUCT($G$3:$G$64,$H$3:$H$64)-18000</f>
        <v/>
      </c>
      <c r="C6" s="62" t="inlineStr">
        <is>
          <t>Total professional services cost minus AWS Partner and MAP credits (Year 1 only); infrastructure run-rate costs are itemised separately in infrastructure-costs.csv</t>
        </is>
      </c>
    </row>
  </sheetData>
  <autoFilter ref="A2:C6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2026-08-16T23:26:52Z</dcterms:modified>
  <cp:lastModifiedBy>Kishan Siram</cp:lastModifiedBy>
</cp:coreProperties>
</file>