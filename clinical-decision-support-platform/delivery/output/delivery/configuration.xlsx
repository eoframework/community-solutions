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Parameters (Read Only)" sheetId="2" state="visible" r:id="rId2"/>
    <sheet xmlns:r="http://schemas.openxmlformats.org/officeDocument/2006/relationships" name="Project" sheetId="3" state="visible" r:id="rId3"/>
    <sheet xmlns:r="http://schemas.openxmlformats.org/officeDocument/2006/relationships" name="Networking" sheetId="4" state="visible" r:id="rId4"/>
    <sheet xmlns:r="http://schemas.openxmlformats.org/officeDocument/2006/relationships" name="Security" sheetId="5" state="visible" r:id="rId5"/>
    <sheet xmlns:r="http://schemas.openxmlformats.org/officeDocument/2006/relationships" name="Compute" sheetId="6" state="visible" r:id="rId6"/>
    <sheet xmlns:r="http://schemas.openxmlformats.org/officeDocument/2006/relationships" name="Storage" sheetId="7" state="visible" r:id="rId7"/>
    <sheet xmlns:r="http://schemas.openxmlformats.org/officeDocument/2006/relationships" name="Database" sheetId="8" state="visible" r:id="rId8"/>
    <sheet xmlns:r="http://schemas.openxmlformats.org/officeDocument/2006/relationships" name="Cache" sheetId="9" state="visible" r:id="rId9"/>
    <sheet xmlns:r="http://schemas.openxmlformats.org/officeDocument/2006/relationships" name="Application" sheetId="10" state="visible" r:id="rId10"/>
    <sheet xmlns:r="http://schemas.openxmlformats.org/officeDocument/2006/relationships" name="Monitoring" sheetId="11" state="visible" r:id="rId11"/>
    <sheet xmlns:r="http://schemas.openxmlformats.org/officeDocument/2006/relationships" name="Integration" sheetId="12" state="visible" r:id="rId12"/>
    <sheet xmlns:r="http://schemas.openxmlformats.org/officeDocument/2006/relationships" name="ML Platform" sheetId="13" state="visible" r:id="rId13"/>
    <sheet xmlns:r="http://schemas.openxmlformats.org/officeDocument/2006/relationships" name="Operations" sheetId="14" state="visible" r:id="rId14"/>
  </sheets>
  <definedNames>
    <definedName name="_xlnm._FilterDatabase" localSheetId="1" hidden="1">'All Parameters (Read Only)'!$A$4:$N$165</definedName>
    <definedName name="_xlnm._FilterDatabase" localSheetId="2" hidden="1">'Project'!$A$2:$M$10</definedName>
    <definedName name="_xlnm._FilterDatabase" localSheetId="3" hidden="1">'Networking'!$A$2:$M$16</definedName>
    <definedName name="_xlnm._FilterDatabase" localSheetId="4" hidden="1">'Security'!$A$2:$M$27</definedName>
    <definedName name="_xlnm._FilterDatabase" localSheetId="5" hidden="1">'Compute'!$A$2:$M$21</definedName>
    <definedName name="_xlnm._FilterDatabase" localSheetId="6" hidden="1">'Storage'!$A$2:$M$14</definedName>
    <definedName name="_xlnm._FilterDatabase" localSheetId="7" hidden="1">'Database'!$A$2:$M$11</definedName>
    <definedName name="_xlnm._FilterDatabase" localSheetId="8" hidden="1">'Cache'!$A$2:$M$8</definedName>
    <definedName name="_xlnm._FilterDatabase" localSheetId="9" hidden="1">'Application'!$A$2:$M$9</definedName>
    <definedName name="_xlnm._FilterDatabase" localSheetId="10" hidden="1">'Monitoring'!$A$2:$M$13</definedName>
    <definedName name="_xlnm._FilterDatabase" localSheetId="11" hidden="1">'Integration'!$A$2:$M$11</definedName>
    <definedName name="_xlnm._FilterDatabase" localSheetId="12" hidden="1">'ML Platform'!$A$2:$M$26</definedName>
    <definedName name="_xlnm._FilterDatabase" localSheetId="13" hidden="1">'Operations'!$A$2:$M$19</definedName>
  </definedNames>
  <calcPr calcId="124519" calcMode="auto" fullCalcOnLoad="1" calcOnSave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7" borderId="5" applyAlignment="1" pivotButton="0" quotePrefix="0" xfId="0">
      <alignment horizontal="center" vertical="center"/>
    </xf>
    <xf numFmtId="0" fontId="14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center" vertical="center"/>
    </xf>
    <xf numFmtId="0" fontId="14" fillId="4" borderId="5" applyAlignment="1" pivotButton="0" quotePrefix="0" xfId="0">
      <alignment horizontal="left" vertical="center" wrapText="1" indent="1"/>
    </xf>
    <xf numFmtId="0" fontId="14" fillId="10" borderId="5" applyAlignment="1" pivotButton="0" quotePrefix="0" xfId="0">
      <alignment horizontal="left" vertical="center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Configuration Parameters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June 30, 2026</t>
        </is>
      </c>
    </row>
    <row r="6" ht="18" customHeight="1">
      <c r="B6" s="2" t="inlineStr">
        <is>
          <t>Solution:</t>
        </is>
      </c>
      <c r="C6" s="3" t="inlineStr">
        <is>
          <t>Tmp69J9L8V7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25" customWidth="1" min="3" max="3"/>
    <col width="25" customWidth="1" min="4" max="4"/>
    <col width="25" customWidth="1" min="5" max="5"/>
    <col width="50" customWidth="1" min="6" max="6"/>
    <col width="8" customWidth="1" min="7" max="7"/>
    <col width="15" customWidth="1" min="8" max="8"/>
    <col width="28" customWidth="1" min="9" max="9"/>
    <col width="12" customWidth="1" min="10" max="10"/>
    <col width="18" customWidth="1" min="11" max="11"/>
    <col width="22" customWidth="1" min="12" max="12"/>
    <col width="30" customWidth="1" min="13" max="13"/>
    <col width="12" customWidth="1" min="14" max="14"/>
  </cols>
  <sheetData>
    <row r="1" ht="26" customHeight="1">
      <c r="A1" s="34" t="inlineStr">
        <is>
          <t>Total Parameters</t>
        </is>
      </c>
      <c r="B1" s="34" t="inlineStr">
        <is>
          <t>Categories</t>
        </is>
      </c>
      <c r="C1" s="34" t="inlineStr">
        <is>
          <t>Required</t>
        </is>
      </c>
      <c r="D1" s="34" t="inlineStr">
        <is>
          <t>Confidential/Secret</t>
        </is>
      </c>
    </row>
    <row r="2" ht="26" customHeight="1">
      <c r="A2" s="35" t="n">
        <v>161</v>
      </c>
      <c r="B2" s="35" t="n">
        <v>12</v>
      </c>
      <c r="C2" s="35" t="n">
        <v>161</v>
      </c>
      <c r="D2" s="35" t="n">
        <v>48</v>
      </c>
    </row>
    <row r="4" ht="32" customHeight="1">
      <c r="A4" s="36" t="inlineStr">
        <is>
          <t>Parameter Name</t>
        </is>
      </c>
      <c r="B4" s="36" t="inlineStr">
        <is>
          <t>Category</t>
        </is>
      </c>
      <c r="C4" s="36" t="inlineStr">
        <is>
          <t>Production</t>
        </is>
      </c>
      <c r="D4" s="36" t="inlineStr">
        <is>
          <t>Test</t>
        </is>
      </c>
      <c r="E4" s="36" t="inlineStr">
        <is>
          <t>DR</t>
        </is>
      </c>
      <c r="F4" s="36" t="inlineStr">
        <is>
          <t>Description</t>
        </is>
      </c>
      <c r="G4" s="36" t="inlineStr">
        <is>
          <t>Required</t>
        </is>
      </c>
      <c r="H4" s="36" t="inlineStr">
        <is>
          <t>Data Type</t>
        </is>
      </c>
      <c r="I4" s="36" t="inlineStr">
        <is>
          <t>Validation Rules</t>
        </is>
      </c>
      <c r="J4" s="36" t="inlineStr">
        <is>
          <t>Security Level</t>
        </is>
      </c>
      <c r="K4" s="36" t="inlineStr">
        <is>
          <t>Owner Team</t>
        </is>
      </c>
      <c r="L4" s="36" t="inlineStr">
        <is>
          <t>Dependencies</t>
        </is>
      </c>
      <c r="M4" s="36" t="inlineStr">
        <is>
          <t>Notes</t>
        </is>
      </c>
      <c r="N4" s="36" t="inlineStr">
        <is>
          <t>Last Updated</t>
        </is>
      </c>
    </row>
    <row r="5">
      <c r="A5" s="37">
        <f>IF('Project'!A3="","",'Project'!A3)</f>
        <v/>
      </c>
      <c r="B5" s="37" t="inlineStr">
        <is>
          <t>Project</t>
        </is>
      </c>
      <c r="C5" s="37">
        <f>IF('Project'!B3="","",'Project'!B3)</f>
        <v/>
      </c>
      <c r="D5" s="37">
        <f>IF('Project'!C3="","",'Project'!C3)</f>
        <v/>
      </c>
      <c r="E5" s="37">
        <f>IF('Project'!D3="","",'Project'!D3)</f>
        <v/>
      </c>
      <c r="F5" s="37">
        <f>IF('Project'!E3="","",'Project'!E3)</f>
        <v/>
      </c>
      <c r="G5" s="38">
        <f>IF('Project'!F3="","",'Project'!F3)</f>
        <v/>
      </c>
      <c r="H5" s="38">
        <f>IF('Project'!G3="","",'Project'!G3)</f>
        <v/>
      </c>
      <c r="I5" s="37">
        <f>IF('Project'!H3="","",'Project'!H3)</f>
        <v/>
      </c>
      <c r="J5" s="38">
        <f>IF('Project'!I3="","",'Project'!I3)</f>
        <v/>
      </c>
      <c r="K5" s="37">
        <f>IF('Project'!J3="","",'Project'!J3)</f>
        <v/>
      </c>
      <c r="L5" s="37">
        <f>IF('Project'!K3="","",'Project'!K3)</f>
        <v/>
      </c>
      <c r="M5" s="37">
        <f>IF('Project'!L3="","",'Project'!L3)</f>
        <v/>
      </c>
      <c r="N5" s="38">
        <f>IF('Project'!M3="","",'Project'!M3)</f>
        <v/>
      </c>
    </row>
    <row r="6">
      <c r="A6" s="39">
        <f>IF('Project'!A4="","",'Project'!A4)</f>
        <v/>
      </c>
      <c r="B6" s="39" t="inlineStr">
        <is>
          <t>Project</t>
        </is>
      </c>
      <c r="C6" s="39">
        <f>IF('Project'!B4="","",'Project'!B4)</f>
        <v/>
      </c>
      <c r="D6" s="39">
        <f>IF('Project'!C4="","",'Project'!C4)</f>
        <v/>
      </c>
      <c r="E6" s="39">
        <f>IF('Project'!D4="","",'Project'!D4)</f>
        <v/>
      </c>
      <c r="F6" s="39">
        <f>IF('Project'!E4="","",'Project'!E4)</f>
        <v/>
      </c>
      <c r="G6" s="40">
        <f>IF('Project'!F4="","",'Project'!F4)</f>
        <v/>
      </c>
      <c r="H6" s="40">
        <f>IF('Project'!G4="","",'Project'!G4)</f>
        <v/>
      </c>
      <c r="I6" s="39">
        <f>IF('Project'!H4="","",'Project'!H4)</f>
        <v/>
      </c>
      <c r="J6" s="40">
        <f>IF('Project'!I4="","",'Project'!I4)</f>
        <v/>
      </c>
      <c r="K6" s="39">
        <f>IF('Project'!J4="","",'Project'!J4)</f>
        <v/>
      </c>
      <c r="L6" s="39">
        <f>IF('Project'!K4="","",'Project'!K4)</f>
        <v/>
      </c>
      <c r="M6" s="39">
        <f>IF('Project'!L4="","",'Project'!L4)</f>
        <v/>
      </c>
      <c r="N6" s="40">
        <f>IF('Project'!M4="","",'Project'!M4)</f>
        <v/>
      </c>
    </row>
    <row r="7">
      <c r="A7" s="37">
        <f>IF('Project'!A5="","",'Project'!A5)</f>
        <v/>
      </c>
      <c r="B7" s="37" t="inlineStr">
        <is>
          <t>Project</t>
        </is>
      </c>
      <c r="C7" s="37">
        <f>IF('Project'!B5="","",'Project'!B5)</f>
        <v/>
      </c>
      <c r="D7" s="37">
        <f>IF('Project'!C5="","",'Project'!C5)</f>
        <v/>
      </c>
      <c r="E7" s="37">
        <f>IF('Project'!D5="","",'Project'!D5)</f>
        <v/>
      </c>
      <c r="F7" s="37">
        <f>IF('Project'!E5="","",'Project'!E5)</f>
        <v/>
      </c>
      <c r="G7" s="38">
        <f>IF('Project'!F5="","",'Project'!F5)</f>
        <v/>
      </c>
      <c r="H7" s="38">
        <f>IF('Project'!G5="","",'Project'!G5)</f>
        <v/>
      </c>
      <c r="I7" s="37">
        <f>IF('Project'!H5="","",'Project'!H5)</f>
        <v/>
      </c>
      <c r="J7" s="38">
        <f>IF('Project'!I5="","",'Project'!I5)</f>
        <v/>
      </c>
      <c r="K7" s="37">
        <f>IF('Project'!J5="","",'Project'!J5)</f>
        <v/>
      </c>
      <c r="L7" s="37">
        <f>IF('Project'!K5="","",'Project'!K5)</f>
        <v/>
      </c>
      <c r="M7" s="37">
        <f>IF('Project'!L5="","",'Project'!L5)</f>
        <v/>
      </c>
      <c r="N7" s="38">
        <f>IF('Project'!M5="","",'Project'!M5)</f>
        <v/>
      </c>
    </row>
    <row r="8">
      <c r="A8" s="39">
        <f>IF('Project'!A6="","",'Project'!A6)</f>
        <v/>
      </c>
      <c r="B8" s="39" t="inlineStr">
        <is>
          <t>Project</t>
        </is>
      </c>
      <c r="C8" s="39">
        <f>IF('Project'!B6="","",'Project'!B6)</f>
        <v/>
      </c>
      <c r="D8" s="39">
        <f>IF('Project'!C6="","",'Project'!C6)</f>
        <v/>
      </c>
      <c r="E8" s="39">
        <f>IF('Project'!D6="","",'Project'!D6)</f>
        <v/>
      </c>
      <c r="F8" s="39">
        <f>IF('Project'!E6="","",'Project'!E6)</f>
        <v/>
      </c>
      <c r="G8" s="40">
        <f>IF('Project'!F6="","",'Project'!F6)</f>
        <v/>
      </c>
      <c r="H8" s="40">
        <f>IF('Project'!G6="","",'Project'!G6)</f>
        <v/>
      </c>
      <c r="I8" s="39">
        <f>IF('Project'!H6="","",'Project'!H6)</f>
        <v/>
      </c>
      <c r="J8" s="40">
        <f>IF('Project'!I6="","",'Project'!I6)</f>
        <v/>
      </c>
      <c r="K8" s="39">
        <f>IF('Project'!J6="","",'Project'!J6)</f>
        <v/>
      </c>
      <c r="L8" s="39">
        <f>IF('Project'!K6="","",'Project'!K6)</f>
        <v/>
      </c>
      <c r="M8" s="39">
        <f>IF('Project'!L6="","",'Project'!L6)</f>
        <v/>
      </c>
      <c r="N8" s="40">
        <f>IF('Project'!M6="","",'Project'!M6)</f>
        <v/>
      </c>
    </row>
    <row r="9">
      <c r="A9" s="37">
        <f>IF('Project'!A7="","",'Project'!A7)</f>
        <v/>
      </c>
      <c r="B9" s="37" t="inlineStr">
        <is>
          <t>Project</t>
        </is>
      </c>
      <c r="C9" s="37">
        <f>IF('Project'!B7="","",'Project'!B7)</f>
        <v/>
      </c>
      <c r="D9" s="37">
        <f>IF('Project'!C7="","",'Project'!C7)</f>
        <v/>
      </c>
      <c r="E9" s="37">
        <f>IF('Project'!D7="","",'Project'!D7)</f>
        <v/>
      </c>
      <c r="F9" s="37">
        <f>IF('Project'!E7="","",'Project'!E7)</f>
        <v/>
      </c>
      <c r="G9" s="38">
        <f>IF('Project'!F7="","",'Project'!F7)</f>
        <v/>
      </c>
      <c r="H9" s="38">
        <f>IF('Project'!G7="","",'Project'!G7)</f>
        <v/>
      </c>
      <c r="I9" s="37">
        <f>IF('Project'!H7="","",'Project'!H7)</f>
        <v/>
      </c>
      <c r="J9" s="38">
        <f>IF('Project'!I7="","",'Project'!I7)</f>
        <v/>
      </c>
      <c r="K9" s="37">
        <f>IF('Project'!J7="","",'Project'!J7)</f>
        <v/>
      </c>
      <c r="L9" s="37">
        <f>IF('Project'!K7="","",'Project'!K7)</f>
        <v/>
      </c>
      <c r="M9" s="37">
        <f>IF('Project'!L7="","",'Project'!L7)</f>
        <v/>
      </c>
      <c r="N9" s="38">
        <f>IF('Project'!M7="","",'Project'!M7)</f>
        <v/>
      </c>
    </row>
    <row r="10">
      <c r="A10" s="39">
        <f>IF('Project'!A8="","",'Project'!A8)</f>
        <v/>
      </c>
      <c r="B10" s="39" t="inlineStr">
        <is>
          <t>Project</t>
        </is>
      </c>
      <c r="C10" s="39">
        <f>IF('Project'!B8="","",'Project'!B8)</f>
        <v/>
      </c>
      <c r="D10" s="39">
        <f>IF('Project'!C8="","",'Project'!C8)</f>
        <v/>
      </c>
      <c r="E10" s="39">
        <f>IF('Project'!D8="","",'Project'!D8)</f>
        <v/>
      </c>
      <c r="F10" s="39">
        <f>IF('Project'!E8="","",'Project'!E8)</f>
        <v/>
      </c>
      <c r="G10" s="40">
        <f>IF('Project'!F8="","",'Project'!F8)</f>
        <v/>
      </c>
      <c r="H10" s="40">
        <f>IF('Project'!G8="","",'Project'!G8)</f>
        <v/>
      </c>
      <c r="I10" s="39">
        <f>IF('Project'!H8="","",'Project'!H8)</f>
        <v/>
      </c>
      <c r="J10" s="40">
        <f>IF('Project'!I8="","",'Project'!I8)</f>
        <v/>
      </c>
      <c r="K10" s="39">
        <f>IF('Project'!J8="","",'Project'!J8)</f>
        <v/>
      </c>
      <c r="L10" s="39">
        <f>IF('Project'!K8="","",'Project'!K8)</f>
        <v/>
      </c>
      <c r="M10" s="39">
        <f>IF('Project'!L8="","",'Project'!L8)</f>
        <v/>
      </c>
      <c r="N10" s="40">
        <f>IF('Project'!M8="","",'Project'!M8)</f>
        <v/>
      </c>
    </row>
    <row r="11">
      <c r="A11" s="37">
        <f>IF('Project'!A9="","",'Project'!A9)</f>
        <v/>
      </c>
      <c r="B11" s="37" t="inlineStr">
        <is>
          <t>Project</t>
        </is>
      </c>
      <c r="C11" s="37">
        <f>IF('Project'!B9="","",'Project'!B9)</f>
        <v/>
      </c>
      <c r="D11" s="37">
        <f>IF('Project'!C9="","",'Project'!C9)</f>
        <v/>
      </c>
      <c r="E11" s="37">
        <f>IF('Project'!D9="","",'Project'!D9)</f>
        <v/>
      </c>
      <c r="F11" s="37">
        <f>IF('Project'!E9="","",'Project'!E9)</f>
        <v/>
      </c>
      <c r="G11" s="38">
        <f>IF('Project'!F9="","",'Project'!F9)</f>
        <v/>
      </c>
      <c r="H11" s="38">
        <f>IF('Project'!G9="","",'Project'!G9)</f>
        <v/>
      </c>
      <c r="I11" s="37">
        <f>IF('Project'!H9="","",'Project'!H9)</f>
        <v/>
      </c>
      <c r="J11" s="38">
        <f>IF('Project'!I9="","",'Project'!I9)</f>
        <v/>
      </c>
      <c r="K11" s="37">
        <f>IF('Project'!J9="","",'Project'!J9)</f>
        <v/>
      </c>
      <c r="L11" s="37">
        <f>IF('Project'!K9="","",'Project'!K9)</f>
        <v/>
      </c>
      <c r="M11" s="37">
        <f>IF('Project'!L9="","",'Project'!L9)</f>
        <v/>
      </c>
      <c r="N11" s="38">
        <f>IF('Project'!M9="","",'Project'!M9)</f>
        <v/>
      </c>
    </row>
    <row r="12">
      <c r="A12" s="39">
        <f>IF('Project'!A10="","",'Project'!A10)</f>
        <v/>
      </c>
      <c r="B12" s="39" t="inlineStr">
        <is>
          <t>Project</t>
        </is>
      </c>
      <c r="C12" s="39">
        <f>IF('Project'!B10="","",'Project'!B10)</f>
        <v/>
      </c>
      <c r="D12" s="39">
        <f>IF('Project'!C10="","",'Project'!C10)</f>
        <v/>
      </c>
      <c r="E12" s="39">
        <f>IF('Project'!D10="","",'Project'!D10)</f>
        <v/>
      </c>
      <c r="F12" s="39">
        <f>IF('Project'!E10="","",'Project'!E10)</f>
        <v/>
      </c>
      <c r="G12" s="40">
        <f>IF('Project'!F10="","",'Project'!F10)</f>
        <v/>
      </c>
      <c r="H12" s="40">
        <f>IF('Project'!G10="","",'Project'!G10)</f>
        <v/>
      </c>
      <c r="I12" s="39">
        <f>IF('Project'!H10="","",'Project'!H10)</f>
        <v/>
      </c>
      <c r="J12" s="40">
        <f>IF('Project'!I10="","",'Project'!I10)</f>
        <v/>
      </c>
      <c r="K12" s="39">
        <f>IF('Project'!J10="","",'Project'!J10)</f>
        <v/>
      </c>
      <c r="L12" s="39">
        <f>IF('Project'!K10="","",'Project'!K10)</f>
        <v/>
      </c>
      <c r="M12" s="39">
        <f>IF('Project'!L10="","",'Project'!L10)</f>
        <v/>
      </c>
      <c r="N12" s="40">
        <f>IF('Project'!M10="","",'Project'!M10)</f>
        <v/>
      </c>
    </row>
    <row r="13">
      <c r="A13" s="37">
        <f>IF('Networking'!A3="","",'Networking'!A3)</f>
        <v/>
      </c>
      <c r="B13" s="37" t="inlineStr">
        <is>
          <t>Networking</t>
        </is>
      </c>
      <c r="C13" s="37">
        <f>IF('Networking'!B3="","",'Networking'!B3)</f>
        <v/>
      </c>
      <c r="D13" s="37">
        <f>IF('Networking'!C3="","",'Networking'!C3)</f>
        <v/>
      </c>
      <c r="E13" s="37">
        <f>IF('Networking'!D3="","",'Networking'!D3)</f>
        <v/>
      </c>
      <c r="F13" s="37">
        <f>IF('Networking'!E3="","",'Networking'!E3)</f>
        <v/>
      </c>
      <c r="G13" s="38">
        <f>IF('Networking'!F3="","",'Networking'!F3)</f>
        <v/>
      </c>
      <c r="H13" s="38">
        <f>IF('Networking'!G3="","",'Networking'!G3)</f>
        <v/>
      </c>
      <c r="I13" s="37">
        <f>IF('Networking'!H3="","",'Networking'!H3)</f>
        <v/>
      </c>
      <c r="J13" s="38">
        <f>IF('Networking'!I3="","",'Networking'!I3)</f>
        <v/>
      </c>
      <c r="K13" s="37">
        <f>IF('Networking'!J3="","",'Networking'!J3)</f>
        <v/>
      </c>
      <c r="L13" s="37">
        <f>IF('Networking'!K3="","",'Networking'!K3)</f>
        <v/>
      </c>
      <c r="M13" s="37">
        <f>IF('Networking'!L3="","",'Networking'!L3)</f>
        <v/>
      </c>
      <c r="N13" s="38">
        <f>IF('Networking'!M3="","",'Networking'!M3)</f>
        <v/>
      </c>
    </row>
    <row r="14">
      <c r="A14" s="39">
        <f>IF('Networking'!A4="","",'Networking'!A4)</f>
        <v/>
      </c>
      <c r="B14" s="39" t="inlineStr">
        <is>
          <t>Networking</t>
        </is>
      </c>
      <c r="C14" s="39">
        <f>IF('Networking'!B4="","",'Networking'!B4)</f>
        <v/>
      </c>
      <c r="D14" s="39">
        <f>IF('Networking'!C4="","",'Networking'!C4)</f>
        <v/>
      </c>
      <c r="E14" s="39">
        <f>IF('Networking'!D4="","",'Networking'!D4)</f>
        <v/>
      </c>
      <c r="F14" s="39">
        <f>IF('Networking'!E4="","",'Networking'!E4)</f>
        <v/>
      </c>
      <c r="G14" s="40">
        <f>IF('Networking'!F4="","",'Networking'!F4)</f>
        <v/>
      </c>
      <c r="H14" s="40">
        <f>IF('Networking'!G4="","",'Networking'!G4)</f>
        <v/>
      </c>
      <c r="I14" s="39">
        <f>IF('Networking'!H4="","",'Networking'!H4)</f>
        <v/>
      </c>
      <c r="J14" s="40">
        <f>IF('Networking'!I4="","",'Networking'!I4)</f>
        <v/>
      </c>
      <c r="K14" s="39">
        <f>IF('Networking'!J4="","",'Networking'!J4)</f>
        <v/>
      </c>
      <c r="L14" s="39">
        <f>IF('Networking'!K4="","",'Networking'!K4)</f>
        <v/>
      </c>
      <c r="M14" s="39">
        <f>IF('Networking'!L4="","",'Networking'!L4)</f>
        <v/>
      </c>
      <c r="N14" s="40">
        <f>IF('Networking'!M4="","",'Networking'!M4)</f>
        <v/>
      </c>
    </row>
    <row r="15">
      <c r="A15" s="37">
        <f>IF('Networking'!A5="","",'Networking'!A5)</f>
        <v/>
      </c>
      <c r="B15" s="37" t="inlineStr">
        <is>
          <t>Networking</t>
        </is>
      </c>
      <c r="C15" s="37">
        <f>IF('Networking'!B5="","",'Networking'!B5)</f>
        <v/>
      </c>
      <c r="D15" s="37">
        <f>IF('Networking'!C5="","",'Networking'!C5)</f>
        <v/>
      </c>
      <c r="E15" s="37">
        <f>IF('Networking'!D5="","",'Networking'!D5)</f>
        <v/>
      </c>
      <c r="F15" s="37">
        <f>IF('Networking'!E5="","",'Networking'!E5)</f>
        <v/>
      </c>
      <c r="G15" s="38">
        <f>IF('Networking'!F5="","",'Networking'!F5)</f>
        <v/>
      </c>
      <c r="H15" s="38">
        <f>IF('Networking'!G5="","",'Networking'!G5)</f>
        <v/>
      </c>
      <c r="I15" s="37">
        <f>IF('Networking'!H5="","",'Networking'!H5)</f>
        <v/>
      </c>
      <c r="J15" s="38">
        <f>IF('Networking'!I5="","",'Networking'!I5)</f>
        <v/>
      </c>
      <c r="K15" s="37">
        <f>IF('Networking'!J5="","",'Networking'!J5)</f>
        <v/>
      </c>
      <c r="L15" s="37">
        <f>IF('Networking'!K5="","",'Networking'!K5)</f>
        <v/>
      </c>
      <c r="M15" s="37">
        <f>IF('Networking'!L5="","",'Networking'!L5)</f>
        <v/>
      </c>
      <c r="N15" s="38">
        <f>IF('Networking'!M5="","",'Networking'!M5)</f>
        <v/>
      </c>
    </row>
    <row r="16">
      <c r="A16" s="39">
        <f>IF('Networking'!A6="","",'Networking'!A6)</f>
        <v/>
      </c>
      <c r="B16" s="39" t="inlineStr">
        <is>
          <t>Networking</t>
        </is>
      </c>
      <c r="C16" s="39">
        <f>IF('Networking'!B6="","",'Networking'!B6)</f>
        <v/>
      </c>
      <c r="D16" s="39">
        <f>IF('Networking'!C6="","",'Networking'!C6)</f>
        <v/>
      </c>
      <c r="E16" s="39">
        <f>IF('Networking'!D6="","",'Networking'!D6)</f>
        <v/>
      </c>
      <c r="F16" s="39">
        <f>IF('Networking'!E6="","",'Networking'!E6)</f>
        <v/>
      </c>
      <c r="G16" s="40">
        <f>IF('Networking'!F6="","",'Networking'!F6)</f>
        <v/>
      </c>
      <c r="H16" s="40">
        <f>IF('Networking'!G6="","",'Networking'!G6)</f>
        <v/>
      </c>
      <c r="I16" s="39">
        <f>IF('Networking'!H6="","",'Networking'!H6)</f>
        <v/>
      </c>
      <c r="J16" s="40">
        <f>IF('Networking'!I6="","",'Networking'!I6)</f>
        <v/>
      </c>
      <c r="K16" s="39">
        <f>IF('Networking'!J6="","",'Networking'!J6)</f>
        <v/>
      </c>
      <c r="L16" s="39">
        <f>IF('Networking'!K6="","",'Networking'!K6)</f>
        <v/>
      </c>
      <c r="M16" s="39">
        <f>IF('Networking'!L6="","",'Networking'!L6)</f>
        <v/>
      </c>
      <c r="N16" s="40">
        <f>IF('Networking'!M6="","",'Networking'!M6)</f>
        <v/>
      </c>
    </row>
    <row r="17">
      <c r="A17" s="37">
        <f>IF('Networking'!A7="","",'Networking'!A7)</f>
        <v/>
      </c>
      <c r="B17" s="37" t="inlineStr">
        <is>
          <t>Networking</t>
        </is>
      </c>
      <c r="C17" s="37">
        <f>IF('Networking'!B7="","",'Networking'!B7)</f>
        <v/>
      </c>
      <c r="D17" s="37">
        <f>IF('Networking'!C7="","",'Networking'!C7)</f>
        <v/>
      </c>
      <c r="E17" s="37">
        <f>IF('Networking'!D7="","",'Networking'!D7)</f>
        <v/>
      </c>
      <c r="F17" s="37">
        <f>IF('Networking'!E7="","",'Networking'!E7)</f>
        <v/>
      </c>
      <c r="G17" s="38">
        <f>IF('Networking'!F7="","",'Networking'!F7)</f>
        <v/>
      </c>
      <c r="H17" s="38">
        <f>IF('Networking'!G7="","",'Networking'!G7)</f>
        <v/>
      </c>
      <c r="I17" s="37">
        <f>IF('Networking'!H7="","",'Networking'!H7)</f>
        <v/>
      </c>
      <c r="J17" s="38">
        <f>IF('Networking'!I7="","",'Networking'!I7)</f>
        <v/>
      </c>
      <c r="K17" s="37">
        <f>IF('Networking'!J7="","",'Networking'!J7)</f>
        <v/>
      </c>
      <c r="L17" s="37">
        <f>IF('Networking'!K7="","",'Networking'!K7)</f>
        <v/>
      </c>
      <c r="M17" s="37">
        <f>IF('Networking'!L7="","",'Networking'!L7)</f>
        <v/>
      </c>
      <c r="N17" s="38">
        <f>IF('Networking'!M7="","",'Networking'!M7)</f>
        <v/>
      </c>
    </row>
    <row r="18">
      <c r="A18" s="39">
        <f>IF('Networking'!A8="","",'Networking'!A8)</f>
        <v/>
      </c>
      <c r="B18" s="39" t="inlineStr">
        <is>
          <t>Networking</t>
        </is>
      </c>
      <c r="C18" s="39">
        <f>IF('Networking'!B8="","",'Networking'!B8)</f>
        <v/>
      </c>
      <c r="D18" s="39">
        <f>IF('Networking'!C8="","",'Networking'!C8)</f>
        <v/>
      </c>
      <c r="E18" s="39">
        <f>IF('Networking'!D8="","",'Networking'!D8)</f>
        <v/>
      </c>
      <c r="F18" s="39">
        <f>IF('Networking'!E8="","",'Networking'!E8)</f>
        <v/>
      </c>
      <c r="G18" s="40">
        <f>IF('Networking'!F8="","",'Networking'!F8)</f>
        <v/>
      </c>
      <c r="H18" s="40">
        <f>IF('Networking'!G8="","",'Networking'!G8)</f>
        <v/>
      </c>
      <c r="I18" s="39">
        <f>IF('Networking'!H8="","",'Networking'!H8)</f>
        <v/>
      </c>
      <c r="J18" s="40">
        <f>IF('Networking'!I8="","",'Networking'!I8)</f>
        <v/>
      </c>
      <c r="K18" s="39">
        <f>IF('Networking'!J8="","",'Networking'!J8)</f>
        <v/>
      </c>
      <c r="L18" s="39">
        <f>IF('Networking'!K8="","",'Networking'!K8)</f>
        <v/>
      </c>
      <c r="M18" s="39">
        <f>IF('Networking'!L8="","",'Networking'!L8)</f>
        <v/>
      </c>
      <c r="N18" s="40">
        <f>IF('Networking'!M8="","",'Networking'!M8)</f>
        <v/>
      </c>
    </row>
    <row r="19">
      <c r="A19" s="37">
        <f>IF('Networking'!A9="","",'Networking'!A9)</f>
        <v/>
      </c>
      <c r="B19" s="37" t="inlineStr">
        <is>
          <t>Networking</t>
        </is>
      </c>
      <c r="C19" s="37">
        <f>IF('Networking'!B9="","",'Networking'!B9)</f>
        <v/>
      </c>
      <c r="D19" s="37">
        <f>IF('Networking'!C9="","",'Networking'!C9)</f>
        <v/>
      </c>
      <c r="E19" s="37">
        <f>IF('Networking'!D9="","",'Networking'!D9)</f>
        <v/>
      </c>
      <c r="F19" s="37">
        <f>IF('Networking'!E9="","",'Networking'!E9)</f>
        <v/>
      </c>
      <c r="G19" s="38">
        <f>IF('Networking'!F9="","",'Networking'!F9)</f>
        <v/>
      </c>
      <c r="H19" s="38">
        <f>IF('Networking'!G9="","",'Networking'!G9)</f>
        <v/>
      </c>
      <c r="I19" s="37">
        <f>IF('Networking'!H9="","",'Networking'!H9)</f>
        <v/>
      </c>
      <c r="J19" s="38">
        <f>IF('Networking'!I9="","",'Networking'!I9)</f>
        <v/>
      </c>
      <c r="K19" s="37">
        <f>IF('Networking'!J9="","",'Networking'!J9)</f>
        <v/>
      </c>
      <c r="L19" s="37">
        <f>IF('Networking'!K9="","",'Networking'!K9)</f>
        <v/>
      </c>
      <c r="M19" s="37">
        <f>IF('Networking'!L9="","",'Networking'!L9)</f>
        <v/>
      </c>
      <c r="N19" s="38">
        <f>IF('Networking'!M9="","",'Networking'!M9)</f>
        <v/>
      </c>
    </row>
    <row r="20">
      <c r="A20" s="39">
        <f>IF('Networking'!A10="","",'Networking'!A10)</f>
        <v/>
      </c>
      <c r="B20" s="39" t="inlineStr">
        <is>
          <t>Networking</t>
        </is>
      </c>
      <c r="C20" s="39">
        <f>IF('Networking'!B10="","",'Networking'!B10)</f>
        <v/>
      </c>
      <c r="D20" s="39">
        <f>IF('Networking'!C10="","",'Networking'!C10)</f>
        <v/>
      </c>
      <c r="E20" s="39">
        <f>IF('Networking'!D10="","",'Networking'!D10)</f>
        <v/>
      </c>
      <c r="F20" s="39">
        <f>IF('Networking'!E10="","",'Networking'!E10)</f>
        <v/>
      </c>
      <c r="G20" s="40">
        <f>IF('Networking'!F10="","",'Networking'!F10)</f>
        <v/>
      </c>
      <c r="H20" s="40">
        <f>IF('Networking'!G10="","",'Networking'!G10)</f>
        <v/>
      </c>
      <c r="I20" s="39">
        <f>IF('Networking'!H10="","",'Networking'!H10)</f>
        <v/>
      </c>
      <c r="J20" s="40">
        <f>IF('Networking'!I10="","",'Networking'!I10)</f>
        <v/>
      </c>
      <c r="K20" s="39">
        <f>IF('Networking'!J10="","",'Networking'!J10)</f>
        <v/>
      </c>
      <c r="L20" s="39">
        <f>IF('Networking'!K10="","",'Networking'!K10)</f>
        <v/>
      </c>
      <c r="M20" s="39">
        <f>IF('Networking'!L10="","",'Networking'!L10)</f>
        <v/>
      </c>
      <c r="N20" s="40">
        <f>IF('Networking'!M10="","",'Networking'!M10)</f>
        <v/>
      </c>
    </row>
    <row r="21">
      <c r="A21" s="37">
        <f>IF('Networking'!A11="","",'Networking'!A11)</f>
        <v/>
      </c>
      <c r="B21" s="37" t="inlineStr">
        <is>
          <t>Networking</t>
        </is>
      </c>
      <c r="C21" s="37">
        <f>IF('Networking'!B11="","",'Networking'!B11)</f>
        <v/>
      </c>
      <c r="D21" s="37">
        <f>IF('Networking'!C11="","",'Networking'!C11)</f>
        <v/>
      </c>
      <c r="E21" s="37">
        <f>IF('Networking'!D11="","",'Networking'!D11)</f>
        <v/>
      </c>
      <c r="F21" s="37">
        <f>IF('Networking'!E11="","",'Networking'!E11)</f>
        <v/>
      </c>
      <c r="G21" s="38">
        <f>IF('Networking'!F11="","",'Networking'!F11)</f>
        <v/>
      </c>
      <c r="H21" s="38">
        <f>IF('Networking'!G11="","",'Networking'!G11)</f>
        <v/>
      </c>
      <c r="I21" s="37">
        <f>IF('Networking'!H11="","",'Networking'!H11)</f>
        <v/>
      </c>
      <c r="J21" s="38">
        <f>IF('Networking'!I11="","",'Networking'!I11)</f>
        <v/>
      </c>
      <c r="K21" s="37">
        <f>IF('Networking'!J11="","",'Networking'!J11)</f>
        <v/>
      </c>
      <c r="L21" s="37">
        <f>IF('Networking'!K11="","",'Networking'!K11)</f>
        <v/>
      </c>
      <c r="M21" s="37">
        <f>IF('Networking'!L11="","",'Networking'!L11)</f>
        <v/>
      </c>
      <c r="N21" s="38">
        <f>IF('Networking'!M11="","",'Networking'!M11)</f>
        <v/>
      </c>
    </row>
    <row r="22">
      <c r="A22" s="39">
        <f>IF('Networking'!A12="","",'Networking'!A12)</f>
        <v/>
      </c>
      <c r="B22" s="39" t="inlineStr">
        <is>
          <t>Networking</t>
        </is>
      </c>
      <c r="C22" s="39">
        <f>IF('Networking'!B12="","",'Networking'!B12)</f>
        <v/>
      </c>
      <c r="D22" s="39">
        <f>IF('Networking'!C12="","",'Networking'!C12)</f>
        <v/>
      </c>
      <c r="E22" s="39">
        <f>IF('Networking'!D12="","",'Networking'!D12)</f>
        <v/>
      </c>
      <c r="F22" s="39">
        <f>IF('Networking'!E12="","",'Networking'!E12)</f>
        <v/>
      </c>
      <c r="G22" s="40">
        <f>IF('Networking'!F12="","",'Networking'!F12)</f>
        <v/>
      </c>
      <c r="H22" s="40">
        <f>IF('Networking'!G12="","",'Networking'!G12)</f>
        <v/>
      </c>
      <c r="I22" s="39">
        <f>IF('Networking'!H12="","",'Networking'!H12)</f>
        <v/>
      </c>
      <c r="J22" s="40">
        <f>IF('Networking'!I12="","",'Networking'!I12)</f>
        <v/>
      </c>
      <c r="K22" s="39">
        <f>IF('Networking'!J12="","",'Networking'!J12)</f>
        <v/>
      </c>
      <c r="L22" s="39">
        <f>IF('Networking'!K12="","",'Networking'!K12)</f>
        <v/>
      </c>
      <c r="M22" s="39">
        <f>IF('Networking'!L12="","",'Networking'!L12)</f>
        <v/>
      </c>
      <c r="N22" s="40">
        <f>IF('Networking'!M12="","",'Networking'!M12)</f>
        <v/>
      </c>
    </row>
    <row r="23">
      <c r="A23" s="37">
        <f>IF('Networking'!A13="","",'Networking'!A13)</f>
        <v/>
      </c>
      <c r="B23" s="37" t="inlineStr">
        <is>
          <t>Networking</t>
        </is>
      </c>
      <c r="C23" s="37">
        <f>IF('Networking'!B13="","",'Networking'!B13)</f>
        <v/>
      </c>
      <c r="D23" s="37">
        <f>IF('Networking'!C13="","",'Networking'!C13)</f>
        <v/>
      </c>
      <c r="E23" s="37">
        <f>IF('Networking'!D13="","",'Networking'!D13)</f>
        <v/>
      </c>
      <c r="F23" s="37">
        <f>IF('Networking'!E13="","",'Networking'!E13)</f>
        <v/>
      </c>
      <c r="G23" s="38">
        <f>IF('Networking'!F13="","",'Networking'!F13)</f>
        <v/>
      </c>
      <c r="H23" s="38">
        <f>IF('Networking'!G13="","",'Networking'!G13)</f>
        <v/>
      </c>
      <c r="I23" s="37">
        <f>IF('Networking'!H13="","",'Networking'!H13)</f>
        <v/>
      </c>
      <c r="J23" s="38">
        <f>IF('Networking'!I13="","",'Networking'!I13)</f>
        <v/>
      </c>
      <c r="K23" s="37">
        <f>IF('Networking'!J13="","",'Networking'!J13)</f>
        <v/>
      </c>
      <c r="L23" s="37">
        <f>IF('Networking'!K13="","",'Networking'!K13)</f>
        <v/>
      </c>
      <c r="M23" s="37">
        <f>IF('Networking'!L13="","",'Networking'!L13)</f>
        <v/>
      </c>
      <c r="N23" s="38">
        <f>IF('Networking'!M13="","",'Networking'!M13)</f>
        <v/>
      </c>
    </row>
    <row r="24">
      <c r="A24" s="39">
        <f>IF('Networking'!A14="","",'Networking'!A14)</f>
        <v/>
      </c>
      <c r="B24" s="39" t="inlineStr">
        <is>
          <t>Networking</t>
        </is>
      </c>
      <c r="C24" s="39">
        <f>IF('Networking'!B14="","",'Networking'!B14)</f>
        <v/>
      </c>
      <c r="D24" s="39">
        <f>IF('Networking'!C14="","",'Networking'!C14)</f>
        <v/>
      </c>
      <c r="E24" s="39">
        <f>IF('Networking'!D14="","",'Networking'!D14)</f>
        <v/>
      </c>
      <c r="F24" s="39">
        <f>IF('Networking'!E14="","",'Networking'!E14)</f>
        <v/>
      </c>
      <c r="G24" s="40">
        <f>IF('Networking'!F14="","",'Networking'!F14)</f>
        <v/>
      </c>
      <c r="H24" s="40">
        <f>IF('Networking'!G14="","",'Networking'!G14)</f>
        <v/>
      </c>
      <c r="I24" s="39">
        <f>IF('Networking'!H14="","",'Networking'!H14)</f>
        <v/>
      </c>
      <c r="J24" s="40">
        <f>IF('Networking'!I14="","",'Networking'!I14)</f>
        <v/>
      </c>
      <c r="K24" s="39">
        <f>IF('Networking'!J14="","",'Networking'!J14)</f>
        <v/>
      </c>
      <c r="L24" s="39">
        <f>IF('Networking'!K14="","",'Networking'!K14)</f>
        <v/>
      </c>
      <c r="M24" s="39">
        <f>IF('Networking'!L14="","",'Networking'!L14)</f>
        <v/>
      </c>
      <c r="N24" s="40">
        <f>IF('Networking'!M14="","",'Networking'!M14)</f>
        <v/>
      </c>
    </row>
    <row r="25">
      <c r="A25" s="37">
        <f>IF('Networking'!A15="","",'Networking'!A15)</f>
        <v/>
      </c>
      <c r="B25" s="37" t="inlineStr">
        <is>
          <t>Networking</t>
        </is>
      </c>
      <c r="C25" s="37">
        <f>IF('Networking'!B15="","",'Networking'!B15)</f>
        <v/>
      </c>
      <c r="D25" s="37">
        <f>IF('Networking'!C15="","",'Networking'!C15)</f>
        <v/>
      </c>
      <c r="E25" s="37">
        <f>IF('Networking'!D15="","",'Networking'!D15)</f>
        <v/>
      </c>
      <c r="F25" s="37">
        <f>IF('Networking'!E15="","",'Networking'!E15)</f>
        <v/>
      </c>
      <c r="G25" s="38">
        <f>IF('Networking'!F15="","",'Networking'!F15)</f>
        <v/>
      </c>
      <c r="H25" s="38">
        <f>IF('Networking'!G15="","",'Networking'!G15)</f>
        <v/>
      </c>
      <c r="I25" s="37">
        <f>IF('Networking'!H15="","",'Networking'!H15)</f>
        <v/>
      </c>
      <c r="J25" s="38">
        <f>IF('Networking'!I15="","",'Networking'!I15)</f>
        <v/>
      </c>
      <c r="K25" s="37">
        <f>IF('Networking'!J15="","",'Networking'!J15)</f>
        <v/>
      </c>
      <c r="L25" s="37">
        <f>IF('Networking'!K15="","",'Networking'!K15)</f>
        <v/>
      </c>
      <c r="M25" s="37">
        <f>IF('Networking'!L15="","",'Networking'!L15)</f>
        <v/>
      </c>
      <c r="N25" s="38">
        <f>IF('Networking'!M15="","",'Networking'!M15)</f>
        <v/>
      </c>
    </row>
    <row r="26">
      <c r="A26" s="39">
        <f>IF('Networking'!A16="","",'Networking'!A16)</f>
        <v/>
      </c>
      <c r="B26" s="39" t="inlineStr">
        <is>
          <t>Networking</t>
        </is>
      </c>
      <c r="C26" s="39">
        <f>IF('Networking'!B16="","",'Networking'!B16)</f>
        <v/>
      </c>
      <c r="D26" s="39">
        <f>IF('Networking'!C16="","",'Networking'!C16)</f>
        <v/>
      </c>
      <c r="E26" s="39">
        <f>IF('Networking'!D16="","",'Networking'!D16)</f>
        <v/>
      </c>
      <c r="F26" s="39">
        <f>IF('Networking'!E16="","",'Networking'!E16)</f>
        <v/>
      </c>
      <c r="G26" s="40">
        <f>IF('Networking'!F16="","",'Networking'!F16)</f>
        <v/>
      </c>
      <c r="H26" s="40">
        <f>IF('Networking'!G16="","",'Networking'!G16)</f>
        <v/>
      </c>
      <c r="I26" s="39">
        <f>IF('Networking'!H16="","",'Networking'!H16)</f>
        <v/>
      </c>
      <c r="J26" s="40">
        <f>IF('Networking'!I16="","",'Networking'!I16)</f>
        <v/>
      </c>
      <c r="K26" s="39">
        <f>IF('Networking'!J16="","",'Networking'!J16)</f>
        <v/>
      </c>
      <c r="L26" s="39">
        <f>IF('Networking'!K16="","",'Networking'!K16)</f>
        <v/>
      </c>
      <c r="M26" s="39">
        <f>IF('Networking'!L16="","",'Networking'!L16)</f>
        <v/>
      </c>
      <c r="N26" s="40">
        <f>IF('Networking'!M16="","",'Networking'!M16)</f>
        <v/>
      </c>
    </row>
    <row r="27">
      <c r="A27" s="37">
        <f>IF('Security'!A3="","",'Security'!A3)</f>
        <v/>
      </c>
      <c r="B27" s="37" t="inlineStr">
        <is>
          <t>Security</t>
        </is>
      </c>
      <c r="C27" s="37">
        <f>IF('Security'!B3="","",'Security'!B3)</f>
        <v/>
      </c>
      <c r="D27" s="37">
        <f>IF('Security'!C3="","",'Security'!C3)</f>
        <v/>
      </c>
      <c r="E27" s="37">
        <f>IF('Security'!D3="","",'Security'!D3)</f>
        <v/>
      </c>
      <c r="F27" s="37">
        <f>IF('Security'!E3="","",'Security'!E3)</f>
        <v/>
      </c>
      <c r="G27" s="38">
        <f>IF('Security'!F3="","",'Security'!F3)</f>
        <v/>
      </c>
      <c r="H27" s="38">
        <f>IF('Security'!G3="","",'Security'!G3)</f>
        <v/>
      </c>
      <c r="I27" s="37">
        <f>IF('Security'!H3="","",'Security'!H3)</f>
        <v/>
      </c>
      <c r="J27" s="38">
        <f>IF('Security'!I3="","",'Security'!I3)</f>
        <v/>
      </c>
      <c r="K27" s="37">
        <f>IF('Security'!J3="","",'Security'!J3)</f>
        <v/>
      </c>
      <c r="L27" s="37">
        <f>IF('Security'!K3="","",'Security'!K3)</f>
        <v/>
      </c>
      <c r="M27" s="37">
        <f>IF('Security'!L3="","",'Security'!L3)</f>
        <v/>
      </c>
      <c r="N27" s="38">
        <f>IF('Security'!M3="","",'Security'!M3)</f>
        <v/>
      </c>
    </row>
    <row r="28">
      <c r="A28" s="39">
        <f>IF('Security'!A4="","",'Security'!A4)</f>
        <v/>
      </c>
      <c r="B28" s="39" t="inlineStr">
        <is>
          <t>Security</t>
        </is>
      </c>
      <c r="C28" s="39">
        <f>IF('Security'!B4="","",'Security'!B4)</f>
        <v/>
      </c>
      <c r="D28" s="39">
        <f>IF('Security'!C4="","",'Security'!C4)</f>
        <v/>
      </c>
      <c r="E28" s="39">
        <f>IF('Security'!D4="","",'Security'!D4)</f>
        <v/>
      </c>
      <c r="F28" s="39">
        <f>IF('Security'!E4="","",'Security'!E4)</f>
        <v/>
      </c>
      <c r="G28" s="40">
        <f>IF('Security'!F4="","",'Security'!F4)</f>
        <v/>
      </c>
      <c r="H28" s="40">
        <f>IF('Security'!G4="","",'Security'!G4)</f>
        <v/>
      </c>
      <c r="I28" s="39">
        <f>IF('Security'!H4="","",'Security'!H4)</f>
        <v/>
      </c>
      <c r="J28" s="40">
        <f>IF('Security'!I4="","",'Security'!I4)</f>
        <v/>
      </c>
      <c r="K28" s="39">
        <f>IF('Security'!J4="","",'Security'!J4)</f>
        <v/>
      </c>
      <c r="L28" s="39">
        <f>IF('Security'!K4="","",'Security'!K4)</f>
        <v/>
      </c>
      <c r="M28" s="39">
        <f>IF('Security'!L4="","",'Security'!L4)</f>
        <v/>
      </c>
      <c r="N28" s="40">
        <f>IF('Security'!M4="","",'Security'!M4)</f>
        <v/>
      </c>
    </row>
    <row r="29">
      <c r="A29" s="37">
        <f>IF('Security'!A5="","",'Security'!A5)</f>
        <v/>
      </c>
      <c r="B29" s="37" t="inlineStr">
        <is>
          <t>Security</t>
        </is>
      </c>
      <c r="C29" s="37">
        <f>IF('Security'!B5="","",'Security'!B5)</f>
        <v/>
      </c>
      <c r="D29" s="37">
        <f>IF('Security'!C5="","",'Security'!C5)</f>
        <v/>
      </c>
      <c r="E29" s="37">
        <f>IF('Security'!D5="","",'Security'!D5)</f>
        <v/>
      </c>
      <c r="F29" s="37">
        <f>IF('Security'!E5="","",'Security'!E5)</f>
        <v/>
      </c>
      <c r="G29" s="38">
        <f>IF('Security'!F5="","",'Security'!F5)</f>
        <v/>
      </c>
      <c r="H29" s="38">
        <f>IF('Security'!G5="","",'Security'!G5)</f>
        <v/>
      </c>
      <c r="I29" s="37">
        <f>IF('Security'!H5="","",'Security'!H5)</f>
        <v/>
      </c>
      <c r="J29" s="38">
        <f>IF('Security'!I5="","",'Security'!I5)</f>
        <v/>
      </c>
      <c r="K29" s="37">
        <f>IF('Security'!J5="","",'Security'!J5)</f>
        <v/>
      </c>
      <c r="L29" s="37">
        <f>IF('Security'!K5="","",'Security'!K5)</f>
        <v/>
      </c>
      <c r="M29" s="37">
        <f>IF('Security'!L5="","",'Security'!L5)</f>
        <v/>
      </c>
      <c r="N29" s="38">
        <f>IF('Security'!M5="","",'Security'!M5)</f>
        <v/>
      </c>
    </row>
    <row r="30">
      <c r="A30" s="39">
        <f>IF('Security'!A6="","",'Security'!A6)</f>
        <v/>
      </c>
      <c r="B30" s="39" t="inlineStr">
        <is>
          <t>Security</t>
        </is>
      </c>
      <c r="C30" s="39">
        <f>IF('Security'!B6="","",'Security'!B6)</f>
        <v/>
      </c>
      <c r="D30" s="39">
        <f>IF('Security'!C6="","",'Security'!C6)</f>
        <v/>
      </c>
      <c r="E30" s="39">
        <f>IF('Security'!D6="","",'Security'!D6)</f>
        <v/>
      </c>
      <c r="F30" s="39">
        <f>IF('Security'!E6="","",'Security'!E6)</f>
        <v/>
      </c>
      <c r="G30" s="40">
        <f>IF('Security'!F6="","",'Security'!F6)</f>
        <v/>
      </c>
      <c r="H30" s="40">
        <f>IF('Security'!G6="","",'Security'!G6)</f>
        <v/>
      </c>
      <c r="I30" s="39">
        <f>IF('Security'!H6="","",'Security'!H6)</f>
        <v/>
      </c>
      <c r="J30" s="40">
        <f>IF('Security'!I6="","",'Security'!I6)</f>
        <v/>
      </c>
      <c r="K30" s="39">
        <f>IF('Security'!J6="","",'Security'!J6)</f>
        <v/>
      </c>
      <c r="L30" s="39">
        <f>IF('Security'!K6="","",'Security'!K6)</f>
        <v/>
      </c>
      <c r="M30" s="39">
        <f>IF('Security'!L6="","",'Security'!L6)</f>
        <v/>
      </c>
      <c r="N30" s="40">
        <f>IF('Security'!M6="","",'Security'!M6)</f>
        <v/>
      </c>
    </row>
    <row r="31">
      <c r="A31" s="37">
        <f>IF('Security'!A7="","",'Security'!A7)</f>
        <v/>
      </c>
      <c r="B31" s="37" t="inlineStr">
        <is>
          <t>Security</t>
        </is>
      </c>
      <c r="C31" s="37">
        <f>IF('Security'!B7="","",'Security'!B7)</f>
        <v/>
      </c>
      <c r="D31" s="37">
        <f>IF('Security'!C7="","",'Security'!C7)</f>
        <v/>
      </c>
      <c r="E31" s="37">
        <f>IF('Security'!D7="","",'Security'!D7)</f>
        <v/>
      </c>
      <c r="F31" s="37">
        <f>IF('Security'!E7="","",'Security'!E7)</f>
        <v/>
      </c>
      <c r="G31" s="38">
        <f>IF('Security'!F7="","",'Security'!F7)</f>
        <v/>
      </c>
      <c r="H31" s="38">
        <f>IF('Security'!G7="","",'Security'!G7)</f>
        <v/>
      </c>
      <c r="I31" s="37">
        <f>IF('Security'!H7="","",'Security'!H7)</f>
        <v/>
      </c>
      <c r="J31" s="38">
        <f>IF('Security'!I7="","",'Security'!I7)</f>
        <v/>
      </c>
      <c r="K31" s="37">
        <f>IF('Security'!J7="","",'Security'!J7)</f>
        <v/>
      </c>
      <c r="L31" s="37">
        <f>IF('Security'!K7="","",'Security'!K7)</f>
        <v/>
      </c>
      <c r="M31" s="37">
        <f>IF('Security'!L7="","",'Security'!L7)</f>
        <v/>
      </c>
      <c r="N31" s="38">
        <f>IF('Security'!M7="","",'Security'!M7)</f>
        <v/>
      </c>
    </row>
    <row r="32">
      <c r="A32" s="39">
        <f>IF('Security'!A8="","",'Security'!A8)</f>
        <v/>
      </c>
      <c r="B32" s="39" t="inlineStr">
        <is>
          <t>Security</t>
        </is>
      </c>
      <c r="C32" s="39">
        <f>IF('Security'!B8="","",'Security'!B8)</f>
        <v/>
      </c>
      <c r="D32" s="39">
        <f>IF('Security'!C8="","",'Security'!C8)</f>
        <v/>
      </c>
      <c r="E32" s="39">
        <f>IF('Security'!D8="","",'Security'!D8)</f>
        <v/>
      </c>
      <c r="F32" s="39">
        <f>IF('Security'!E8="","",'Security'!E8)</f>
        <v/>
      </c>
      <c r="G32" s="40">
        <f>IF('Security'!F8="","",'Security'!F8)</f>
        <v/>
      </c>
      <c r="H32" s="40">
        <f>IF('Security'!G8="","",'Security'!G8)</f>
        <v/>
      </c>
      <c r="I32" s="39">
        <f>IF('Security'!H8="","",'Security'!H8)</f>
        <v/>
      </c>
      <c r="J32" s="40">
        <f>IF('Security'!I8="","",'Security'!I8)</f>
        <v/>
      </c>
      <c r="K32" s="39">
        <f>IF('Security'!J8="","",'Security'!J8)</f>
        <v/>
      </c>
      <c r="L32" s="39">
        <f>IF('Security'!K8="","",'Security'!K8)</f>
        <v/>
      </c>
      <c r="M32" s="39">
        <f>IF('Security'!L8="","",'Security'!L8)</f>
        <v/>
      </c>
      <c r="N32" s="40">
        <f>IF('Security'!M8="","",'Security'!M8)</f>
        <v/>
      </c>
    </row>
    <row r="33">
      <c r="A33" s="37">
        <f>IF('Security'!A9="","",'Security'!A9)</f>
        <v/>
      </c>
      <c r="B33" s="37" t="inlineStr">
        <is>
          <t>Security</t>
        </is>
      </c>
      <c r="C33" s="37">
        <f>IF('Security'!B9="","",'Security'!B9)</f>
        <v/>
      </c>
      <c r="D33" s="37">
        <f>IF('Security'!C9="","",'Security'!C9)</f>
        <v/>
      </c>
      <c r="E33" s="37">
        <f>IF('Security'!D9="","",'Security'!D9)</f>
        <v/>
      </c>
      <c r="F33" s="37">
        <f>IF('Security'!E9="","",'Security'!E9)</f>
        <v/>
      </c>
      <c r="G33" s="38">
        <f>IF('Security'!F9="","",'Security'!F9)</f>
        <v/>
      </c>
      <c r="H33" s="38">
        <f>IF('Security'!G9="","",'Security'!G9)</f>
        <v/>
      </c>
      <c r="I33" s="37">
        <f>IF('Security'!H9="","",'Security'!H9)</f>
        <v/>
      </c>
      <c r="J33" s="38">
        <f>IF('Security'!I9="","",'Security'!I9)</f>
        <v/>
      </c>
      <c r="K33" s="37">
        <f>IF('Security'!J9="","",'Security'!J9)</f>
        <v/>
      </c>
      <c r="L33" s="37">
        <f>IF('Security'!K9="","",'Security'!K9)</f>
        <v/>
      </c>
      <c r="M33" s="37">
        <f>IF('Security'!L9="","",'Security'!L9)</f>
        <v/>
      </c>
      <c r="N33" s="38">
        <f>IF('Security'!M9="","",'Security'!M9)</f>
        <v/>
      </c>
    </row>
    <row r="34">
      <c r="A34" s="39">
        <f>IF('Security'!A10="","",'Security'!A10)</f>
        <v/>
      </c>
      <c r="B34" s="39" t="inlineStr">
        <is>
          <t>Security</t>
        </is>
      </c>
      <c r="C34" s="39">
        <f>IF('Security'!B10="","",'Security'!B10)</f>
        <v/>
      </c>
      <c r="D34" s="39">
        <f>IF('Security'!C10="","",'Security'!C10)</f>
        <v/>
      </c>
      <c r="E34" s="39">
        <f>IF('Security'!D10="","",'Security'!D10)</f>
        <v/>
      </c>
      <c r="F34" s="39">
        <f>IF('Security'!E10="","",'Security'!E10)</f>
        <v/>
      </c>
      <c r="G34" s="40">
        <f>IF('Security'!F10="","",'Security'!F10)</f>
        <v/>
      </c>
      <c r="H34" s="40">
        <f>IF('Security'!G10="","",'Security'!G10)</f>
        <v/>
      </c>
      <c r="I34" s="39">
        <f>IF('Security'!H10="","",'Security'!H10)</f>
        <v/>
      </c>
      <c r="J34" s="40">
        <f>IF('Security'!I10="","",'Security'!I10)</f>
        <v/>
      </c>
      <c r="K34" s="39">
        <f>IF('Security'!J10="","",'Security'!J10)</f>
        <v/>
      </c>
      <c r="L34" s="39">
        <f>IF('Security'!K10="","",'Security'!K10)</f>
        <v/>
      </c>
      <c r="M34" s="39">
        <f>IF('Security'!L10="","",'Security'!L10)</f>
        <v/>
      </c>
      <c r="N34" s="40">
        <f>IF('Security'!M10="","",'Security'!M10)</f>
        <v/>
      </c>
    </row>
    <row r="35">
      <c r="A35" s="37">
        <f>IF('Security'!A11="","",'Security'!A11)</f>
        <v/>
      </c>
      <c r="B35" s="37" t="inlineStr">
        <is>
          <t>Security</t>
        </is>
      </c>
      <c r="C35" s="37">
        <f>IF('Security'!B11="","",'Security'!B11)</f>
        <v/>
      </c>
      <c r="D35" s="37">
        <f>IF('Security'!C11="","",'Security'!C11)</f>
        <v/>
      </c>
      <c r="E35" s="37">
        <f>IF('Security'!D11="","",'Security'!D11)</f>
        <v/>
      </c>
      <c r="F35" s="37">
        <f>IF('Security'!E11="","",'Security'!E11)</f>
        <v/>
      </c>
      <c r="G35" s="38">
        <f>IF('Security'!F11="","",'Security'!F11)</f>
        <v/>
      </c>
      <c r="H35" s="38">
        <f>IF('Security'!G11="","",'Security'!G11)</f>
        <v/>
      </c>
      <c r="I35" s="37">
        <f>IF('Security'!H11="","",'Security'!H11)</f>
        <v/>
      </c>
      <c r="J35" s="38">
        <f>IF('Security'!I11="","",'Security'!I11)</f>
        <v/>
      </c>
      <c r="K35" s="37">
        <f>IF('Security'!J11="","",'Security'!J11)</f>
        <v/>
      </c>
      <c r="L35" s="37">
        <f>IF('Security'!K11="","",'Security'!K11)</f>
        <v/>
      </c>
      <c r="M35" s="37">
        <f>IF('Security'!L11="","",'Security'!L11)</f>
        <v/>
      </c>
      <c r="N35" s="38">
        <f>IF('Security'!M11="","",'Security'!M11)</f>
        <v/>
      </c>
    </row>
    <row r="36">
      <c r="A36" s="39">
        <f>IF('Security'!A12="","",'Security'!A12)</f>
        <v/>
      </c>
      <c r="B36" s="39" t="inlineStr">
        <is>
          <t>Security</t>
        </is>
      </c>
      <c r="C36" s="39">
        <f>IF('Security'!B12="","",'Security'!B12)</f>
        <v/>
      </c>
      <c r="D36" s="39">
        <f>IF('Security'!C12="","",'Security'!C12)</f>
        <v/>
      </c>
      <c r="E36" s="39">
        <f>IF('Security'!D12="","",'Security'!D12)</f>
        <v/>
      </c>
      <c r="F36" s="39">
        <f>IF('Security'!E12="","",'Security'!E12)</f>
        <v/>
      </c>
      <c r="G36" s="40">
        <f>IF('Security'!F12="","",'Security'!F12)</f>
        <v/>
      </c>
      <c r="H36" s="40">
        <f>IF('Security'!G12="","",'Security'!G12)</f>
        <v/>
      </c>
      <c r="I36" s="39">
        <f>IF('Security'!H12="","",'Security'!H12)</f>
        <v/>
      </c>
      <c r="J36" s="40">
        <f>IF('Security'!I12="","",'Security'!I12)</f>
        <v/>
      </c>
      <c r="K36" s="39">
        <f>IF('Security'!J12="","",'Security'!J12)</f>
        <v/>
      </c>
      <c r="L36" s="39">
        <f>IF('Security'!K12="","",'Security'!K12)</f>
        <v/>
      </c>
      <c r="M36" s="39">
        <f>IF('Security'!L12="","",'Security'!L12)</f>
        <v/>
      </c>
      <c r="N36" s="40">
        <f>IF('Security'!M12="","",'Security'!M12)</f>
        <v/>
      </c>
    </row>
    <row r="37">
      <c r="A37" s="37">
        <f>IF('Security'!A13="","",'Security'!A13)</f>
        <v/>
      </c>
      <c r="B37" s="37" t="inlineStr">
        <is>
          <t>Security</t>
        </is>
      </c>
      <c r="C37" s="37">
        <f>IF('Security'!B13="","",'Security'!B13)</f>
        <v/>
      </c>
      <c r="D37" s="37">
        <f>IF('Security'!C13="","",'Security'!C13)</f>
        <v/>
      </c>
      <c r="E37" s="37">
        <f>IF('Security'!D13="","",'Security'!D13)</f>
        <v/>
      </c>
      <c r="F37" s="37">
        <f>IF('Security'!E13="","",'Security'!E13)</f>
        <v/>
      </c>
      <c r="G37" s="38">
        <f>IF('Security'!F13="","",'Security'!F13)</f>
        <v/>
      </c>
      <c r="H37" s="38">
        <f>IF('Security'!G13="","",'Security'!G13)</f>
        <v/>
      </c>
      <c r="I37" s="37">
        <f>IF('Security'!H13="","",'Security'!H13)</f>
        <v/>
      </c>
      <c r="J37" s="38">
        <f>IF('Security'!I13="","",'Security'!I13)</f>
        <v/>
      </c>
      <c r="K37" s="37">
        <f>IF('Security'!J13="","",'Security'!J13)</f>
        <v/>
      </c>
      <c r="L37" s="37">
        <f>IF('Security'!K13="","",'Security'!K13)</f>
        <v/>
      </c>
      <c r="M37" s="37">
        <f>IF('Security'!L13="","",'Security'!L13)</f>
        <v/>
      </c>
      <c r="N37" s="38">
        <f>IF('Security'!M13="","",'Security'!M13)</f>
        <v/>
      </c>
    </row>
    <row r="38">
      <c r="A38" s="39">
        <f>IF('Security'!A14="","",'Security'!A14)</f>
        <v/>
      </c>
      <c r="B38" s="39" t="inlineStr">
        <is>
          <t>Security</t>
        </is>
      </c>
      <c r="C38" s="39">
        <f>IF('Security'!B14="","",'Security'!B14)</f>
        <v/>
      </c>
      <c r="D38" s="39">
        <f>IF('Security'!C14="","",'Security'!C14)</f>
        <v/>
      </c>
      <c r="E38" s="39">
        <f>IF('Security'!D14="","",'Security'!D14)</f>
        <v/>
      </c>
      <c r="F38" s="39">
        <f>IF('Security'!E14="","",'Security'!E14)</f>
        <v/>
      </c>
      <c r="G38" s="40">
        <f>IF('Security'!F14="","",'Security'!F14)</f>
        <v/>
      </c>
      <c r="H38" s="40">
        <f>IF('Security'!G14="","",'Security'!G14)</f>
        <v/>
      </c>
      <c r="I38" s="39">
        <f>IF('Security'!H14="","",'Security'!H14)</f>
        <v/>
      </c>
      <c r="J38" s="40">
        <f>IF('Security'!I14="","",'Security'!I14)</f>
        <v/>
      </c>
      <c r="K38" s="39">
        <f>IF('Security'!J14="","",'Security'!J14)</f>
        <v/>
      </c>
      <c r="L38" s="39">
        <f>IF('Security'!K14="","",'Security'!K14)</f>
        <v/>
      </c>
      <c r="M38" s="39">
        <f>IF('Security'!L14="","",'Security'!L14)</f>
        <v/>
      </c>
      <c r="N38" s="40">
        <f>IF('Security'!M14="","",'Security'!M14)</f>
        <v/>
      </c>
    </row>
    <row r="39">
      <c r="A39" s="37">
        <f>IF('Security'!A15="","",'Security'!A15)</f>
        <v/>
      </c>
      <c r="B39" s="37" t="inlineStr">
        <is>
          <t>Security</t>
        </is>
      </c>
      <c r="C39" s="37">
        <f>IF('Security'!B15="","",'Security'!B15)</f>
        <v/>
      </c>
      <c r="D39" s="37">
        <f>IF('Security'!C15="","",'Security'!C15)</f>
        <v/>
      </c>
      <c r="E39" s="37">
        <f>IF('Security'!D15="","",'Security'!D15)</f>
        <v/>
      </c>
      <c r="F39" s="37">
        <f>IF('Security'!E15="","",'Security'!E15)</f>
        <v/>
      </c>
      <c r="G39" s="38">
        <f>IF('Security'!F15="","",'Security'!F15)</f>
        <v/>
      </c>
      <c r="H39" s="38">
        <f>IF('Security'!G15="","",'Security'!G15)</f>
        <v/>
      </c>
      <c r="I39" s="37">
        <f>IF('Security'!H15="","",'Security'!H15)</f>
        <v/>
      </c>
      <c r="J39" s="38">
        <f>IF('Security'!I15="","",'Security'!I15)</f>
        <v/>
      </c>
      <c r="K39" s="37">
        <f>IF('Security'!J15="","",'Security'!J15)</f>
        <v/>
      </c>
      <c r="L39" s="37">
        <f>IF('Security'!K15="","",'Security'!K15)</f>
        <v/>
      </c>
      <c r="M39" s="37">
        <f>IF('Security'!L15="","",'Security'!L15)</f>
        <v/>
      </c>
      <c r="N39" s="38">
        <f>IF('Security'!M15="","",'Security'!M15)</f>
        <v/>
      </c>
    </row>
    <row r="40">
      <c r="A40" s="39">
        <f>IF('Security'!A16="","",'Security'!A16)</f>
        <v/>
      </c>
      <c r="B40" s="39" t="inlineStr">
        <is>
          <t>Security</t>
        </is>
      </c>
      <c r="C40" s="39">
        <f>IF('Security'!B16="","",'Security'!B16)</f>
        <v/>
      </c>
      <c r="D40" s="39">
        <f>IF('Security'!C16="","",'Security'!C16)</f>
        <v/>
      </c>
      <c r="E40" s="39">
        <f>IF('Security'!D16="","",'Security'!D16)</f>
        <v/>
      </c>
      <c r="F40" s="39">
        <f>IF('Security'!E16="","",'Security'!E16)</f>
        <v/>
      </c>
      <c r="G40" s="40">
        <f>IF('Security'!F16="","",'Security'!F16)</f>
        <v/>
      </c>
      <c r="H40" s="40">
        <f>IF('Security'!G16="","",'Security'!G16)</f>
        <v/>
      </c>
      <c r="I40" s="39">
        <f>IF('Security'!H16="","",'Security'!H16)</f>
        <v/>
      </c>
      <c r="J40" s="40">
        <f>IF('Security'!I16="","",'Security'!I16)</f>
        <v/>
      </c>
      <c r="K40" s="39">
        <f>IF('Security'!J16="","",'Security'!J16)</f>
        <v/>
      </c>
      <c r="L40" s="39">
        <f>IF('Security'!K16="","",'Security'!K16)</f>
        <v/>
      </c>
      <c r="M40" s="39">
        <f>IF('Security'!L16="","",'Security'!L16)</f>
        <v/>
      </c>
      <c r="N40" s="40">
        <f>IF('Security'!M16="","",'Security'!M16)</f>
        <v/>
      </c>
    </row>
    <row r="41">
      <c r="A41" s="37">
        <f>IF('Security'!A17="","",'Security'!A17)</f>
        <v/>
      </c>
      <c r="B41" s="37" t="inlineStr">
        <is>
          <t>Security</t>
        </is>
      </c>
      <c r="C41" s="37">
        <f>IF('Security'!B17="","",'Security'!B17)</f>
        <v/>
      </c>
      <c r="D41" s="37">
        <f>IF('Security'!C17="","",'Security'!C17)</f>
        <v/>
      </c>
      <c r="E41" s="37">
        <f>IF('Security'!D17="","",'Security'!D17)</f>
        <v/>
      </c>
      <c r="F41" s="37">
        <f>IF('Security'!E17="","",'Security'!E17)</f>
        <v/>
      </c>
      <c r="G41" s="38">
        <f>IF('Security'!F17="","",'Security'!F17)</f>
        <v/>
      </c>
      <c r="H41" s="38">
        <f>IF('Security'!G17="","",'Security'!G17)</f>
        <v/>
      </c>
      <c r="I41" s="37">
        <f>IF('Security'!H17="","",'Security'!H17)</f>
        <v/>
      </c>
      <c r="J41" s="38">
        <f>IF('Security'!I17="","",'Security'!I17)</f>
        <v/>
      </c>
      <c r="K41" s="37">
        <f>IF('Security'!J17="","",'Security'!J17)</f>
        <v/>
      </c>
      <c r="L41" s="37">
        <f>IF('Security'!K17="","",'Security'!K17)</f>
        <v/>
      </c>
      <c r="M41" s="37">
        <f>IF('Security'!L17="","",'Security'!L17)</f>
        <v/>
      </c>
      <c r="N41" s="38">
        <f>IF('Security'!M17="","",'Security'!M17)</f>
        <v/>
      </c>
    </row>
    <row r="42">
      <c r="A42" s="39">
        <f>IF('Security'!A18="","",'Security'!A18)</f>
        <v/>
      </c>
      <c r="B42" s="39" t="inlineStr">
        <is>
          <t>Security</t>
        </is>
      </c>
      <c r="C42" s="39">
        <f>IF('Security'!B18="","",'Security'!B18)</f>
        <v/>
      </c>
      <c r="D42" s="39">
        <f>IF('Security'!C18="","",'Security'!C18)</f>
        <v/>
      </c>
      <c r="E42" s="39">
        <f>IF('Security'!D18="","",'Security'!D18)</f>
        <v/>
      </c>
      <c r="F42" s="39">
        <f>IF('Security'!E18="","",'Security'!E18)</f>
        <v/>
      </c>
      <c r="G42" s="40">
        <f>IF('Security'!F18="","",'Security'!F18)</f>
        <v/>
      </c>
      <c r="H42" s="40">
        <f>IF('Security'!G18="","",'Security'!G18)</f>
        <v/>
      </c>
      <c r="I42" s="39">
        <f>IF('Security'!H18="","",'Security'!H18)</f>
        <v/>
      </c>
      <c r="J42" s="40">
        <f>IF('Security'!I18="","",'Security'!I18)</f>
        <v/>
      </c>
      <c r="K42" s="39">
        <f>IF('Security'!J18="","",'Security'!J18)</f>
        <v/>
      </c>
      <c r="L42" s="39">
        <f>IF('Security'!K18="","",'Security'!K18)</f>
        <v/>
      </c>
      <c r="M42" s="39">
        <f>IF('Security'!L18="","",'Security'!L18)</f>
        <v/>
      </c>
      <c r="N42" s="40">
        <f>IF('Security'!M18="","",'Security'!M18)</f>
        <v/>
      </c>
    </row>
    <row r="43">
      <c r="A43" s="37">
        <f>IF('Security'!A19="","",'Security'!A19)</f>
        <v/>
      </c>
      <c r="B43" s="37" t="inlineStr">
        <is>
          <t>Security</t>
        </is>
      </c>
      <c r="C43" s="37">
        <f>IF('Security'!B19="","",'Security'!B19)</f>
        <v/>
      </c>
      <c r="D43" s="37">
        <f>IF('Security'!C19="","",'Security'!C19)</f>
        <v/>
      </c>
      <c r="E43" s="37">
        <f>IF('Security'!D19="","",'Security'!D19)</f>
        <v/>
      </c>
      <c r="F43" s="37">
        <f>IF('Security'!E19="","",'Security'!E19)</f>
        <v/>
      </c>
      <c r="G43" s="38">
        <f>IF('Security'!F19="","",'Security'!F19)</f>
        <v/>
      </c>
      <c r="H43" s="38">
        <f>IF('Security'!G19="","",'Security'!G19)</f>
        <v/>
      </c>
      <c r="I43" s="37">
        <f>IF('Security'!H19="","",'Security'!H19)</f>
        <v/>
      </c>
      <c r="J43" s="38">
        <f>IF('Security'!I19="","",'Security'!I19)</f>
        <v/>
      </c>
      <c r="K43" s="37">
        <f>IF('Security'!J19="","",'Security'!J19)</f>
        <v/>
      </c>
      <c r="L43" s="37">
        <f>IF('Security'!K19="","",'Security'!K19)</f>
        <v/>
      </c>
      <c r="M43" s="37">
        <f>IF('Security'!L19="","",'Security'!L19)</f>
        <v/>
      </c>
      <c r="N43" s="38">
        <f>IF('Security'!M19="","",'Security'!M19)</f>
        <v/>
      </c>
    </row>
    <row r="44">
      <c r="A44" s="39">
        <f>IF('Security'!A20="","",'Security'!A20)</f>
        <v/>
      </c>
      <c r="B44" s="39" t="inlineStr">
        <is>
          <t>Security</t>
        </is>
      </c>
      <c r="C44" s="39">
        <f>IF('Security'!B20="","",'Security'!B20)</f>
        <v/>
      </c>
      <c r="D44" s="39">
        <f>IF('Security'!C20="","",'Security'!C20)</f>
        <v/>
      </c>
      <c r="E44" s="39">
        <f>IF('Security'!D20="","",'Security'!D20)</f>
        <v/>
      </c>
      <c r="F44" s="39">
        <f>IF('Security'!E20="","",'Security'!E20)</f>
        <v/>
      </c>
      <c r="G44" s="40">
        <f>IF('Security'!F20="","",'Security'!F20)</f>
        <v/>
      </c>
      <c r="H44" s="40">
        <f>IF('Security'!G20="","",'Security'!G20)</f>
        <v/>
      </c>
      <c r="I44" s="39">
        <f>IF('Security'!H20="","",'Security'!H20)</f>
        <v/>
      </c>
      <c r="J44" s="40">
        <f>IF('Security'!I20="","",'Security'!I20)</f>
        <v/>
      </c>
      <c r="K44" s="39">
        <f>IF('Security'!J20="","",'Security'!J20)</f>
        <v/>
      </c>
      <c r="L44" s="39">
        <f>IF('Security'!K20="","",'Security'!K20)</f>
        <v/>
      </c>
      <c r="M44" s="39">
        <f>IF('Security'!L20="","",'Security'!L20)</f>
        <v/>
      </c>
      <c r="N44" s="40">
        <f>IF('Security'!M20="","",'Security'!M20)</f>
        <v/>
      </c>
    </row>
    <row r="45">
      <c r="A45" s="37">
        <f>IF('Security'!A21="","",'Security'!A21)</f>
        <v/>
      </c>
      <c r="B45" s="37" t="inlineStr">
        <is>
          <t>Security</t>
        </is>
      </c>
      <c r="C45" s="37">
        <f>IF('Security'!B21="","",'Security'!B21)</f>
        <v/>
      </c>
      <c r="D45" s="37">
        <f>IF('Security'!C21="","",'Security'!C21)</f>
        <v/>
      </c>
      <c r="E45" s="37">
        <f>IF('Security'!D21="","",'Security'!D21)</f>
        <v/>
      </c>
      <c r="F45" s="37">
        <f>IF('Security'!E21="","",'Security'!E21)</f>
        <v/>
      </c>
      <c r="G45" s="38">
        <f>IF('Security'!F21="","",'Security'!F21)</f>
        <v/>
      </c>
      <c r="H45" s="38">
        <f>IF('Security'!G21="","",'Security'!G21)</f>
        <v/>
      </c>
      <c r="I45" s="37">
        <f>IF('Security'!H21="","",'Security'!H21)</f>
        <v/>
      </c>
      <c r="J45" s="38">
        <f>IF('Security'!I21="","",'Security'!I21)</f>
        <v/>
      </c>
      <c r="K45" s="37">
        <f>IF('Security'!J21="","",'Security'!J21)</f>
        <v/>
      </c>
      <c r="L45" s="37">
        <f>IF('Security'!K21="","",'Security'!K21)</f>
        <v/>
      </c>
      <c r="M45" s="37">
        <f>IF('Security'!L21="","",'Security'!L21)</f>
        <v/>
      </c>
      <c r="N45" s="38">
        <f>IF('Security'!M21="","",'Security'!M21)</f>
        <v/>
      </c>
    </row>
    <row r="46">
      <c r="A46" s="39">
        <f>IF('Security'!A22="","",'Security'!A22)</f>
        <v/>
      </c>
      <c r="B46" s="39" t="inlineStr">
        <is>
          <t>Security</t>
        </is>
      </c>
      <c r="C46" s="39">
        <f>IF('Security'!B22="","",'Security'!B22)</f>
        <v/>
      </c>
      <c r="D46" s="39">
        <f>IF('Security'!C22="","",'Security'!C22)</f>
        <v/>
      </c>
      <c r="E46" s="39">
        <f>IF('Security'!D22="","",'Security'!D22)</f>
        <v/>
      </c>
      <c r="F46" s="39">
        <f>IF('Security'!E22="","",'Security'!E22)</f>
        <v/>
      </c>
      <c r="G46" s="40">
        <f>IF('Security'!F22="","",'Security'!F22)</f>
        <v/>
      </c>
      <c r="H46" s="40">
        <f>IF('Security'!G22="","",'Security'!G22)</f>
        <v/>
      </c>
      <c r="I46" s="39">
        <f>IF('Security'!H22="","",'Security'!H22)</f>
        <v/>
      </c>
      <c r="J46" s="40">
        <f>IF('Security'!I22="","",'Security'!I22)</f>
        <v/>
      </c>
      <c r="K46" s="39">
        <f>IF('Security'!J22="","",'Security'!J22)</f>
        <v/>
      </c>
      <c r="L46" s="39">
        <f>IF('Security'!K22="","",'Security'!K22)</f>
        <v/>
      </c>
      <c r="M46" s="39">
        <f>IF('Security'!L22="","",'Security'!L22)</f>
        <v/>
      </c>
      <c r="N46" s="40">
        <f>IF('Security'!M22="","",'Security'!M22)</f>
        <v/>
      </c>
    </row>
    <row r="47">
      <c r="A47" s="37">
        <f>IF('Security'!A23="","",'Security'!A23)</f>
        <v/>
      </c>
      <c r="B47" s="37" t="inlineStr">
        <is>
          <t>Security</t>
        </is>
      </c>
      <c r="C47" s="37">
        <f>IF('Security'!B23="","",'Security'!B23)</f>
        <v/>
      </c>
      <c r="D47" s="37">
        <f>IF('Security'!C23="","",'Security'!C23)</f>
        <v/>
      </c>
      <c r="E47" s="37">
        <f>IF('Security'!D23="","",'Security'!D23)</f>
        <v/>
      </c>
      <c r="F47" s="37">
        <f>IF('Security'!E23="","",'Security'!E23)</f>
        <v/>
      </c>
      <c r="G47" s="38">
        <f>IF('Security'!F23="","",'Security'!F23)</f>
        <v/>
      </c>
      <c r="H47" s="38">
        <f>IF('Security'!G23="","",'Security'!G23)</f>
        <v/>
      </c>
      <c r="I47" s="37">
        <f>IF('Security'!H23="","",'Security'!H23)</f>
        <v/>
      </c>
      <c r="J47" s="38">
        <f>IF('Security'!I23="","",'Security'!I23)</f>
        <v/>
      </c>
      <c r="K47" s="37">
        <f>IF('Security'!J23="","",'Security'!J23)</f>
        <v/>
      </c>
      <c r="L47" s="37">
        <f>IF('Security'!K23="","",'Security'!K23)</f>
        <v/>
      </c>
      <c r="M47" s="37">
        <f>IF('Security'!L23="","",'Security'!L23)</f>
        <v/>
      </c>
      <c r="N47" s="38">
        <f>IF('Security'!M23="","",'Security'!M23)</f>
        <v/>
      </c>
    </row>
    <row r="48">
      <c r="A48" s="39">
        <f>IF('Security'!A24="","",'Security'!A24)</f>
        <v/>
      </c>
      <c r="B48" s="39" t="inlineStr">
        <is>
          <t>Security</t>
        </is>
      </c>
      <c r="C48" s="39">
        <f>IF('Security'!B24="","",'Security'!B24)</f>
        <v/>
      </c>
      <c r="D48" s="39">
        <f>IF('Security'!C24="","",'Security'!C24)</f>
        <v/>
      </c>
      <c r="E48" s="39">
        <f>IF('Security'!D24="","",'Security'!D24)</f>
        <v/>
      </c>
      <c r="F48" s="39">
        <f>IF('Security'!E24="","",'Security'!E24)</f>
        <v/>
      </c>
      <c r="G48" s="40">
        <f>IF('Security'!F24="","",'Security'!F24)</f>
        <v/>
      </c>
      <c r="H48" s="40">
        <f>IF('Security'!G24="","",'Security'!G24)</f>
        <v/>
      </c>
      <c r="I48" s="39">
        <f>IF('Security'!H24="","",'Security'!H24)</f>
        <v/>
      </c>
      <c r="J48" s="40">
        <f>IF('Security'!I24="","",'Security'!I24)</f>
        <v/>
      </c>
      <c r="K48" s="39">
        <f>IF('Security'!J24="","",'Security'!J24)</f>
        <v/>
      </c>
      <c r="L48" s="39">
        <f>IF('Security'!K24="","",'Security'!K24)</f>
        <v/>
      </c>
      <c r="M48" s="39">
        <f>IF('Security'!L24="","",'Security'!L24)</f>
        <v/>
      </c>
      <c r="N48" s="40">
        <f>IF('Security'!M24="","",'Security'!M24)</f>
        <v/>
      </c>
    </row>
    <row r="49">
      <c r="A49" s="37">
        <f>IF('Security'!A25="","",'Security'!A25)</f>
        <v/>
      </c>
      <c r="B49" s="37" t="inlineStr">
        <is>
          <t>Security</t>
        </is>
      </c>
      <c r="C49" s="37">
        <f>IF('Security'!B25="","",'Security'!B25)</f>
        <v/>
      </c>
      <c r="D49" s="37">
        <f>IF('Security'!C25="","",'Security'!C25)</f>
        <v/>
      </c>
      <c r="E49" s="37">
        <f>IF('Security'!D25="","",'Security'!D25)</f>
        <v/>
      </c>
      <c r="F49" s="37">
        <f>IF('Security'!E25="","",'Security'!E25)</f>
        <v/>
      </c>
      <c r="G49" s="38">
        <f>IF('Security'!F25="","",'Security'!F25)</f>
        <v/>
      </c>
      <c r="H49" s="38">
        <f>IF('Security'!G25="","",'Security'!G25)</f>
        <v/>
      </c>
      <c r="I49" s="37">
        <f>IF('Security'!H25="","",'Security'!H25)</f>
        <v/>
      </c>
      <c r="J49" s="38">
        <f>IF('Security'!I25="","",'Security'!I25)</f>
        <v/>
      </c>
      <c r="K49" s="37">
        <f>IF('Security'!J25="","",'Security'!J25)</f>
        <v/>
      </c>
      <c r="L49" s="37">
        <f>IF('Security'!K25="","",'Security'!K25)</f>
        <v/>
      </c>
      <c r="M49" s="37">
        <f>IF('Security'!L25="","",'Security'!L25)</f>
        <v/>
      </c>
      <c r="N49" s="38">
        <f>IF('Security'!M25="","",'Security'!M25)</f>
        <v/>
      </c>
    </row>
    <row r="50">
      <c r="A50" s="39">
        <f>IF('Security'!A26="","",'Security'!A26)</f>
        <v/>
      </c>
      <c r="B50" s="39" t="inlineStr">
        <is>
          <t>Security</t>
        </is>
      </c>
      <c r="C50" s="39">
        <f>IF('Security'!B26="","",'Security'!B26)</f>
        <v/>
      </c>
      <c r="D50" s="39">
        <f>IF('Security'!C26="","",'Security'!C26)</f>
        <v/>
      </c>
      <c r="E50" s="39">
        <f>IF('Security'!D26="","",'Security'!D26)</f>
        <v/>
      </c>
      <c r="F50" s="39">
        <f>IF('Security'!E26="","",'Security'!E26)</f>
        <v/>
      </c>
      <c r="G50" s="40">
        <f>IF('Security'!F26="","",'Security'!F26)</f>
        <v/>
      </c>
      <c r="H50" s="40">
        <f>IF('Security'!G26="","",'Security'!G26)</f>
        <v/>
      </c>
      <c r="I50" s="39">
        <f>IF('Security'!H26="","",'Security'!H26)</f>
        <v/>
      </c>
      <c r="J50" s="40">
        <f>IF('Security'!I26="","",'Security'!I26)</f>
        <v/>
      </c>
      <c r="K50" s="39">
        <f>IF('Security'!J26="","",'Security'!J26)</f>
        <v/>
      </c>
      <c r="L50" s="39">
        <f>IF('Security'!K26="","",'Security'!K26)</f>
        <v/>
      </c>
      <c r="M50" s="39">
        <f>IF('Security'!L26="","",'Security'!L26)</f>
        <v/>
      </c>
      <c r="N50" s="40">
        <f>IF('Security'!M26="","",'Security'!M26)</f>
        <v/>
      </c>
    </row>
    <row r="51">
      <c r="A51" s="37">
        <f>IF('Security'!A27="","",'Security'!A27)</f>
        <v/>
      </c>
      <c r="B51" s="37" t="inlineStr">
        <is>
          <t>Security</t>
        </is>
      </c>
      <c r="C51" s="37">
        <f>IF('Security'!B27="","",'Security'!B27)</f>
        <v/>
      </c>
      <c r="D51" s="37">
        <f>IF('Security'!C27="","",'Security'!C27)</f>
        <v/>
      </c>
      <c r="E51" s="37">
        <f>IF('Security'!D27="","",'Security'!D27)</f>
        <v/>
      </c>
      <c r="F51" s="37">
        <f>IF('Security'!E27="","",'Security'!E27)</f>
        <v/>
      </c>
      <c r="G51" s="38">
        <f>IF('Security'!F27="","",'Security'!F27)</f>
        <v/>
      </c>
      <c r="H51" s="38">
        <f>IF('Security'!G27="","",'Security'!G27)</f>
        <v/>
      </c>
      <c r="I51" s="37">
        <f>IF('Security'!H27="","",'Security'!H27)</f>
        <v/>
      </c>
      <c r="J51" s="38">
        <f>IF('Security'!I27="","",'Security'!I27)</f>
        <v/>
      </c>
      <c r="K51" s="37">
        <f>IF('Security'!J27="","",'Security'!J27)</f>
        <v/>
      </c>
      <c r="L51" s="37">
        <f>IF('Security'!K27="","",'Security'!K27)</f>
        <v/>
      </c>
      <c r="M51" s="37">
        <f>IF('Security'!L27="","",'Security'!L27)</f>
        <v/>
      </c>
      <c r="N51" s="38">
        <f>IF('Security'!M27="","",'Security'!M27)</f>
        <v/>
      </c>
    </row>
    <row r="52">
      <c r="A52" s="39">
        <f>IF('Compute'!A3="","",'Compute'!A3)</f>
        <v/>
      </c>
      <c r="B52" s="39" t="inlineStr">
        <is>
          <t>Compute</t>
        </is>
      </c>
      <c r="C52" s="39">
        <f>IF('Compute'!B3="","",'Compute'!B3)</f>
        <v/>
      </c>
      <c r="D52" s="39">
        <f>IF('Compute'!C3="","",'Compute'!C3)</f>
        <v/>
      </c>
      <c r="E52" s="39">
        <f>IF('Compute'!D3="","",'Compute'!D3)</f>
        <v/>
      </c>
      <c r="F52" s="39">
        <f>IF('Compute'!E3="","",'Compute'!E3)</f>
        <v/>
      </c>
      <c r="G52" s="40">
        <f>IF('Compute'!F3="","",'Compute'!F3)</f>
        <v/>
      </c>
      <c r="H52" s="40">
        <f>IF('Compute'!G3="","",'Compute'!G3)</f>
        <v/>
      </c>
      <c r="I52" s="39">
        <f>IF('Compute'!H3="","",'Compute'!H3)</f>
        <v/>
      </c>
      <c r="J52" s="40">
        <f>IF('Compute'!I3="","",'Compute'!I3)</f>
        <v/>
      </c>
      <c r="K52" s="39">
        <f>IF('Compute'!J3="","",'Compute'!J3)</f>
        <v/>
      </c>
      <c r="L52" s="39">
        <f>IF('Compute'!K3="","",'Compute'!K3)</f>
        <v/>
      </c>
      <c r="M52" s="39">
        <f>IF('Compute'!L3="","",'Compute'!L3)</f>
        <v/>
      </c>
      <c r="N52" s="40">
        <f>IF('Compute'!M3="","",'Compute'!M3)</f>
        <v/>
      </c>
    </row>
    <row r="53">
      <c r="A53" s="37">
        <f>IF('Compute'!A4="","",'Compute'!A4)</f>
        <v/>
      </c>
      <c r="B53" s="37" t="inlineStr">
        <is>
          <t>Compute</t>
        </is>
      </c>
      <c r="C53" s="37">
        <f>IF('Compute'!B4="","",'Compute'!B4)</f>
        <v/>
      </c>
      <c r="D53" s="37">
        <f>IF('Compute'!C4="","",'Compute'!C4)</f>
        <v/>
      </c>
      <c r="E53" s="37">
        <f>IF('Compute'!D4="","",'Compute'!D4)</f>
        <v/>
      </c>
      <c r="F53" s="37">
        <f>IF('Compute'!E4="","",'Compute'!E4)</f>
        <v/>
      </c>
      <c r="G53" s="38">
        <f>IF('Compute'!F4="","",'Compute'!F4)</f>
        <v/>
      </c>
      <c r="H53" s="38">
        <f>IF('Compute'!G4="","",'Compute'!G4)</f>
        <v/>
      </c>
      <c r="I53" s="37">
        <f>IF('Compute'!H4="","",'Compute'!H4)</f>
        <v/>
      </c>
      <c r="J53" s="38">
        <f>IF('Compute'!I4="","",'Compute'!I4)</f>
        <v/>
      </c>
      <c r="K53" s="37">
        <f>IF('Compute'!J4="","",'Compute'!J4)</f>
        <v/>
      </c>
      <c r="L53" s="37">
        <f>IF('Compute'!K4="","",'Compute'!K4)</f>
        <v/>
      </c>
      <c r="M53" s="37">
        <f>IF('Compute'!L4="","",'Compute'!L4)</f>
        <v/>
      </c>
      <c r="N53" s="38">
        <f>IF('Compute'!M4="","",'Compute'!M4)</f>
        <v/>
      </c>
    </row>
    <row r="54">
      <c r="A54" s="39">
        <f>IF('Compute'!A5="","",'Compute'!A5)</f>
        <v/>
      </c>
      <c r="B54" s="39" t="inlineStr">
        <is>
          <t>Compute</t>
        </is>
      </c>
      <c r="C54" s="39">
        <f>IF('Compute'!B5="","",'Compute'!B5)</f>
        <v/>
      </c>
      <c r="D54" s="39">
        <f>IF('Compute'!C5="","",'Compute'!C5)</f>
        <v/>
      </c>
      <c r="E54" s="39">
        <f>IF('Compute'!D5="","",'Compute'!D5)</f>
        <v/>
      </c>
      <c r="F54" s="39">
        <f>IF('Compute'!E5="","",'Compute'!E5)</f>
        <v/>
      </c>
      <c r="G54" s="40">
        <f>IF('Compute'!F5="","",'Compute'!F5)</f>
        <v/>
      </c>
      <c r="H54" s="40">
        <f>IF('Compute'!G5="","",'Compute'!G5)</f>
        <v/>
      </c>
      <c r="I54" s="39">
        <f>IF('Compute'!H5="","",'Compute'!H5)</f>
        <v/>
      </c>
      <c r="J54" s="40">
        <f>IF('Compute'!I5="","",'Compute'!I5)</f>
        <v/>
      </c>
      <c r="K54" s="39">
        <f>IF('Compute'!J5="","",'Compute'!J5)</f>
        <v/>
      </c>
      <c r="L54" s="39">
        <f>IF('Compute'!K5="","",'Compute'!K5)</f>
        <v/>
      </c>
      <c r="M54" s="39">
        <f>IF('Compute'!L5="","",'Compute'!L5)</f>
        <v/>
      </c>
      <c r="N54" s="40">
        <f>IF('Compute'!M5="","",'Compute'!M5)</f>
        <v/>
      </c>
    </row>
    <row r="55">
      <c r="A55" s="37">
        <f>IF('Compute'!A6="","",'Compute'!A6)</f>
        <v/>
      </c>
      <c r="B55" s="37" t="inlineStr">
        <is>
          <t>Compute</t>
        </is>
      </c>
      <c r="C55" s="37">
        <f>IF('Compute'!B6="","",'Compute'!B6)</f>
        <v/>
      </c>
      <c r="D55" s="37">
        <f>IF('Compute'!C6="","",'Compute'!C6)</f>
        <v/>
      </c>
      <c r="E55" s="37">
        <f>IF('Compute'!D6="","",'Compute'!D6)</f>
        <v/>
      </c>
      <c r="F55" s="37">
        <f>IF('Compute'!E6="","",'Compute'!E6)</f>
        <v/>
      </c>
      <c r="G55" s="38">
        <f>IF('Compute'!F6="","",'Compute'!F6)</f>
        <v/>
      </c>
      <c r="H55" s="38">
        <f>IF('Compute'!G6="","",'Compute'!G6)</f>
        <v/>
      </c>
      <c r="I55" s="37">
        <f>IF('Compute'!H6="","",'Compute'!H6)</f>
        <v/>
      </c>
      <c r="J55" s="38">
        <f>IF('Compute'!I6="","",'Compute'!I6)</f>
        <v/>
      </c>
      <c r="K55" s="37">
        <f>IF('Compute'!J6="","",'Compute'!J6)</f>
        <v/>
      </c>
      <c r="L55" s="37">
        <f>IF('Compute'!K6="","",'Compute'!K6)</f>
        <v/>
      </c>
      <c r="M55" s="37">
        <f>IF('Compute'!L6="","",'Compute'!L6)</f>
        <v/>
      </c>
      <c r="N55" s="38">
        <f>IF('Compute'!M6="","",'Compute'!M6)</f>
        <v/>
      </c>
    </row>
    <row r="56">
      <c r="A56" s="39">
        <f>IF('Compute'!A7="","",'Compute'!A7)</f>
        <v/>
      </c>
      <c r="B56" s="39" t="inlineStr">
        <is>
          <t>Compute</t>
        </is>
      </c>
      <c r="C56" s="39">
        <f>IF('Compute'!B7="","",'Compute'!B7)</f>
        <v/>
      </c>
      <c r="D56" s="39">
        <f>IF('Compute'!C7="","",'Compute'!C7)</f>
        <v/>
      </c>
      <c r="E56" s="39">
        <f>IF('Compute'!D7="","",'Compute'!D7)</f>
        <v/>
      </c>
      <c r="F56" s="39">
        <f>IF('Compute'!E7="","",'Compute'!E7)</f>
        <v/>
      </c>
      <c r="G56" s="40">
        <f>IF('Compute'!F7="","",'Compute'!F7)</f>
        <v/>
      </c>
      <c r="H56" s="40">
        <f>IF('Compute'!G7="","",'Compute'!G7)</f>
        <v/>
      </c>
      <c r="I56" s="39">
        <f>IF('Compute'!H7="","",'Compute'!H7)</f>
        <v/>
      </c>
      <c r="J56" s="40">
        <f>IF('Compute'!I7="","",'Compute'!I7)</f>
        <v/>
      </c>
      <c r="K56" s="39">
        <f>IF('Compute'!J7="","",'Compute'!J7)</f>
        <v/>
      </c>
      <c r="L56" s="39">
        <f>IF('Compute'!K7="","",'Compute'!K7)</f>
        <v/>
      </c>
      <c r="M56" s="39">
        <f>IF('Compute'!L7="","",'Compute'!L7)</f>
        <v/>
      </c>
      <c r="N56" s="40">
        <f>IF('Compute'!M7="","",'Compute'!M7)</f>
        <v/>
      </c>
    </row>
    <row r="57">
      <c r="A57" s="37">
        <f>IF('Compute'!A8="","",'Compute'!A8)</f>
        <v/>
      </c>
      <c r="B57" s="37" t="inlineStr">
        <is>
          <t>Compute</t>
        </is>
      </c>
      <c r="C57" s="37">
        <f>IF('Compute'!B8="","",'Compute'!B8)</f>
        <v/>
      </c>
      <c r="D57" s="37">
        <f>IF('Compute'!C8="","",'Compute'!C8)</f>
        <v/>
      </c>
      <c r="E57" s="37">
        <f>IF('Compute'!D8="","",'Compute'!D8)</f>
        <v/>
      </c>
      <c r="F57" s="37">
        <f>IF('Compute'!E8="","",'Compute'!E8)</f>
        <v/>
      </c>
      <c r="G57" s="38">
        <f>IF('Compute'!F8="","",'Compute'!F8)</f>
        <v/>
      </c>
      <c r="H57" s="38">
        <f>IF('Compute'!G8="","",'Compute'!G8)</f>
        <v/>
      </c>
      <c r="I57" s="37">
        <f>IF('Compute'!H8="","",'Compute'!H8)</f>
        <v/>
      </c>
      <c r="J57" s="38">
        <f>IF('Compute'!I8="","",'Compute'!I8)</f>
        <v/>
      </c>
      <c r="K57" s="37">
        <f>IF('Compute'!J8="","",'Compute'!J8)</f>
        <v/>
      </c>
      <c r="L57" s="37">
        <f>IF('Compute'!K8="","",'Compute'!K8)</f>
        <v/>
      </c>
      <c r="M57" s="37">
        <f>IF('Compute'!L8="","",'Compute'!L8)</f>
        <v/>
      </c>
      <c r="N57" s="38">
        <f>IF('Compute'!M8="","",'Compute'!M8)</f>
        <v/>
      </c>
    </row>
    <row r="58">
      <c r="A58" s="39">
        <f>IF('Compute'!A9="","",'Compute'!A9)</f>
        <v/>
      </c>
      <c r="B58" s="39" t="inlineStr">
        <is>
          <t>Compute</t>
        </is>
      </c>
      <c r="C58" s="39">
        <f>IF('Compute'!B9="","",'Compute'!B9)</f>
        <v/>
      </c>
      <c r="D58" s="39">
        <f>IF('Compute'!C9="","",'Compute'!C9)</f>
        <v/>
      </c>
      <c r="E58" s="39">
        <f>IF('Compute'!D9="","",'Compute'!D9)</f>
        <v/>
      </c>
      <c r="F58" s="39">
        <f>IF('Compute'!E9="","",'Compute'!E9)</f>
        <v/>
      </c>
      <c r="G58" s="40">
        <f>IF('Compute'!F9="","",'Compute'!F9)</f>
        <v/>
      </c>
      <c r="H58" s="40">
        <f>IF('Compute'!G9="","",'Compute'!G9)</f>
        <v/>
      </c>
      <c r="I58" s="39">
        <f>IF('Compute'!H9="","",'Compute'!H9)</f>
        <v/>
      </c>
      <c r="J58" s="40">
        <f>IF('Compute'!I9="","",'Compute'!I9)</f>
        <v/>
      </c>
      <c r="K58" s="39">
        <f>IF('Compute'!J9="","",'Compute'!J9)</f>
        <v/>
      </c>
      <c r="L58" s="39">
        <f>IF('Compute'!K9="","",'Compute'!K9)</f>
        <v/>
      </c>
      <c r="M58" s="39">
        <f>IF('Compute'!L9="","",'Compute'!L9)</f>
        <v/>
      </c>
      <c r="N58" s="40">
        <f>IF('Compute'!M9="","",'Compute'!M9)</f>
        <v/>
      </c>
    </row>
    <row r="59">
      <c r="A59" s="37">
        <f>IF('Compute'!A10="","",'Compute'!A10)</f>
        <v/>
      </c>
      <c r="B59" s="37" t="inlineStr">
        <is>
          <t>Compute</t>
        </is>
      </c>
      <c r="C59" s="37">
        <f>IF('Compute'!B10="","",'Compute'!B10)</f>
        <v/>
      </c>
      <c r="D59" s="37">
        <f>IF('Compute'!C10="","",'Compute'!C10)</f>
        <v/>
      </c>
      <c r="E59" s="37">
        <f>IF('Compute'!D10="","",'Compute'!D10)</f>
        <v/>
      </c>
      <c r="F59" s="37">
        <f>IF('Compute'!E10="","",'Compute'!E10)</f>
        <v/>
      </c>
      <c r="G59" s="38">
        <f>IF('Compute'!F10="","",'Compute'!F10)</f>
        <v/>
      </c>
      <c r="H59" s="38">
        <f>IF('Compute'!G10="","",'Compute'!G10)</f>
        <v/>
      </c>
      <c r="I59" s="37">
        <f>IF('Compute'!H10="","",'Compute'!H10)</f>
        <v/>
      </c>
      <c r="J59" s="38">
        <f>IF('Compute'!I10="","",'Compute'!I10)</f>
        <v/>
      </c>
      <c r="K59" s="37">
        <f>IF('Compute'!J10="","",'Compute'!J10)</f>
        <v/>
      </c>
      <c r="L59" s="37">
        <f>IF('Compute'!K10="","",'Compute'!K10)</f>
        <v/>
      </c>
      <c r="M59" s="37">
        <f>IF('Compute'!L10="","",'Compute'!L10)</f>
        <v/>
      </c>
      <c r="N59" s="38">
        <f>IF('Compute'!M10="","",'Compute'!M10)</f>
        <v/>
      </c>
    </row>
    <row r="60">
      <c r="A60" s="39">
        <f>IF('Compute'!A11="","",'Compute'!A11)</f>
        <v/>
      </c>
      <c r="B60" s="39" t="inlineStr">
        <is>
          <t>Compute</t>
        </is>
      </c>
      <c r="C60" s="39">
        <f>IF('Compute'!B11="","",'Compute'!B11)</f>
        <v/>
      </c>
      <c r="D60" s="39">
        <f>IF('Compute'!C11="","",'Compute'!C11)</f>
        <v/>
      </c>
      <c r="E60" s="39">
        <f>IF('Compute'!D11="","",'Compute'!D11)</f>
        <v/>
      </c>
      <c r="F60" s="39">
        <f>IF('Compute'!E11="","",'Compute'!E11)</f>
        <v/>
      </c>
      <c r="G60" s="40">
        <f>IF('Compute'!F11="","",'Compute'!F11)</f>
        <v/>
      </c>
      <c r="H60" s="40">
        <f>IF('Compute'!G11="","",'Compute'!G11)</f>
        <v/>
      </c>
      <c r="I60" s="39">
        <f>IF('Compute'!H11="","",'Compute'!H11)</f>
        <v/>
      </c>
      <c r="J60" s="40">
        <f>IF('Compute'!I11="","",'Compute'!I11)</f>
        <v/>
      </c>
      <c r="K60" s="39">
        <f>IF('Compute'!J11="","",'Compute'!J11)</f>
        <v/>
      </c>
      <c r="L60" s="39">
        <f>IF('Compute'!K11="","",'Compute'!K11)</f>
        <v/>
      </c>
      <c r="M60" s="39">
        <f>IF('Compute'!L11="","",'Compute'!L11)</f>
        <v/>
      </c>
      <c r="N60" s="40">
        <f>IF('Compute'!M11="","",'Compute'!M11)</f>
        <v/>
      </c>
    </row>
    <row r="61">
      <c r="A61" s="37">
        <f>IF('Compute'!A12="","",'Compute'!A12)</f>
        <v/>
      </c>
      <c r="B61" s="37" t="inlineStr">
        <is>
          <t>Compute</t>
        </is>
      </c>
      <c r="C61" s="37">
        <f>IF('Compute'!B12="","",'Compute'!B12)</f>
        <v/>
      </c>
      <c r="D61" s="37">
        <f>IF('Compute'!C12="","",'Compute'!C12)</f>
        <v/>
      </c>
      <c r="E61" s="37">
        <f>IF('Compute'!D12="","",'Compute'!D12)</f>
        <v/>
      </c>
      <c r="F61" s="37">
        <f>IF('Compute'!E12="","",'Compute'!E12)</f>
        <v/>
      </c>
      <c r="G61" s="38">
        <f>IF('Compute'!F12="","",'Compute'!F12)</f>
        <v/>
      </c>
      <c r="H61" s="38">
        <f>IF('Compute'!G12="","",'Compute'!G12)</f>
        <v/>
      </c>
      <c r="I61" s="37">
        <f>IF('Compute'!H12="","",'Compute'!H12)</f>
        <v/>
      </c>
      <c r="J61" s="38">
        <f>IF('Compute'!I12="","",'Compute'!I12)</f>
        <v/>
      </c>
      <c r="K61" s="37">
        <f>IF('Compute'!J12="","",'Compute'!J12)</f>
        <v/>
      </c>
      <c r="L61" s="37">
        <f>IF('Compute'!K12="","",'Compute'!K12)</f>
        <v/>
      </c>
      <c r="M61" s="37">
        <f>IF('Compute'!L12="","",'Compute'!L12)</f>
        <v/>
      </c>
      <c r="N61" s="38">
        <f>IF('Compute'!M12="","",'Compute'!M12)</f>
        <v/>
      </c>
    </row>
    <row r="62">
      <c r="A62" s="39">
        <f>IF('Compute'!A13="","",'Compute'!A13)</f>
        <v/>
      </c>
      <c r="B62" s="39" t="inlineStr">
        <is>
          <t>Compute</t>
        </is>
      </c>
      <c r="C62" s="39">
        <f>IF('Compute'!B13="","",'Compute'!B13)</f>
        <v/>
      </c>
      <c r="D62" s="39">
        <f>IF('Compute'!C13="","",'Compute'!C13)</f>
        <v/>
      </c>
      <c r="E62" s="39">
        <f>IF('Compute'!D13="","",'Compute'!D13)</f>
        <v/>
      </c>
      <c r="F62" s="39">
        <f>IF('Compute'!E13="","",'Compute'!E13)</f>
        <v/>
      </c>
      <c r="G62" s="40">
        <f>IF('Compute'!F13="","",'Compute'!F13)</f>
        <v/>
      </c>
      <c r="H62" s="40">
        <f>IF('Compute'!G13="","",'Compute'!G13)</f>
        <v/>
      </c>
      <c r="I62" s="39">
        <f>IF('Compute'!H13="","",'Compute'!H13)</f>
        <v/>
      </c>
      <c r="J62" s="40">
        <f>IF('Compute'!I13="","",'Compute'!I13)</f>
        <v/>
      </c>
      <c r="K62" s="39">
        <f>IF('Compute'!J13="","",'Compute'!J13)</f>
        <v/>
      </c>
      <c r="L62" s="39">
        <f>IF('Compute'!K13="","",'Compute'!K13)</f>
        <v/>
      </c>
      <c r="M62" s="39">
        <f>IF('Compute'!L13="","",'Compute'!L13)</f>
        <v/>
      </c>
      <c r="N62" s="40">
        <f>IF('Compute'!M13="","",'Compute'!M13)</f>
        <v/>
      </c>
    </row>
    <row r="63">
      <c r="A63" s="37">
        <f>IF('Compute'!A14="","",'Compute'!A14)</f>
        <v/>
      </c>
      <c r="B63" s="37" t="inlineStr">
        <is>
          <t>Compute</t>
        </is>
      </c>
      <c r="C63" s="37">
        <f>IF('Compute'!B14="","",'Compute'!B14)</f>
        <v/>
      </c>
      <c r="D63" s="37">
        <f>IF('Compute'!C14="","",'Compute'!C14)</f>
        <v/>
      </c>
      <c r="E63" s="37">
        <f>IF('Compute'!D14="","",'Compute'!D14)</f>
        <v/>
      </c>
      <c r="F63" s="37">
        <f>IF('Compute'!E14="","",'Compute'!E14)</f>
        <v/>
      </c>
      <c r="G63" s="38">
        <f>IF('Compute'!F14="","",'Compute'!F14)</f>
        <v/>
      </c>
      <c r="H63" s="38">
        <f>IF('Compute'!G14="","",'Compute'!G14)</f>
        <v/>
      </c>
      <c r="I63" s="37">
        <f>IF('Compute'!H14="","",'Compute'!H14)</f>
        <v/>
      </c>
      <c r="J63" s="38">
        <f>IF('Compute'!I14="","",'Compute'!I14)</f>
        <v/>
      </c>
      <c r="K63" s="37">
        <f>IF('Compute'!J14="","",'Compute'!J14)</f>
        <v/>
      </c>
      <c r="L63" s="37">
        <f>IF('Compute'!K14="","",'Compute'!K14)</f>
        <v/>
      </c>
      <c r="M63" s="37">
        <f>IF('Compute'!L14="","",'Compute'!L14)</f>
        <v/>
      </c>
      <c r="N63" s="38">
        <f>IF('Compute'!M14="","",'Compute'!M14)</f>
        <v/>
      </c>
    </row>
    <row r="64">
      <c r="A64" s="39">
        <f>IF('Compute'!A15="","",'Compute'!A15)</f>
        <v/>
      </c>
      <c r="B64" s="39" t="inlineStr">
        <is>
          <t>Compute</t>
        </is>
      </c>
      <c r="C64" s="39">
        <f>IF('Compute'!B15="","",'Compute'!B15)</f>
        <v/>
      </c>
      <c r="D64" s="39">
        <f>IF('Compute'!C15="","",'Compute'!C15)</f>
        <v/>
      </c>
      <c r="E64" s="39">
        <f>IF('Compute'!D15="","",'Compute'!D15)</f>
        <v/>
      </c>
      <c r="F64" s="39">
        <f>IF('Compute'!E15="","",'Compute'!E15)</f>
        <v/>
      </c>
      <c r="G64" s="40">
        <f>IF('Compute'!F15="","",'Compute'!F15)</f>
        <v/>
      </c>
      <c r="H64" s="40">
        <f>IF('Compute'!G15="","",'Compute'!G15)</f>
        <v/>
      </c>
      <c r="I64" s="39">
        <f>IF('Compute'!H15="","",'Compute'!H15)</f>
        <v/>
      </c>
      <c r="J64" s="40">
        <f>IF('Compute'!I15="","",'Compute'!I15)</f>
        <v/>
      </c>
      <c r="K64" s="39">
        <f>IF('Compute'!J15="","",'Compute'!J15)</f>
        <v/>
      </c>
      <c r="L64" s="39">
        <f>IF('Compute'!K15="","",'Compute'!K15)</f>
        <v/>
      </c>
      <c r="M64" s="39">
        <f>IF('Compute'!L15="","",'Compute'!L15)</f>
        <v/>
      </c>
      <c r="N64" s="40">
        <f>IF('Compute'!M15="","",'Compute'!M15)</f>
        <v/>
      </c>
    </row>
    <row r="65">
      <c r="A65" s="37">
        <f>IF('Compute'!A16="","",'Compute'!A16)</f>
        <v/>
      </c>
      <c r="B65" s="37" t="inlineStr">
        <is>
          <t>Compute</t>
        </is>
      </c>
      <c r="C65" s="37">
        <f>IF('Compute'!B16="","",'Compute'!B16)</f>
        <v/>
      </c>
      <c r="D65" s="37">
        <f>IF('Compute'!C16="","",'Compute'!C16)</f>
        <v/>
      </c>
      <c r="E65" s="37">
        <f>IF('Compute'!D16="","",'Compute'!D16)</f>
        <v/>
      </c>
      <c r="F65" s="37">
        <f>IF('Compute'!E16="","",'Compute'!E16)</f>
        <v/>
      </c>
      <c r="G65" s="38">
        <f>IF('Compute'!F16="","",'Compute'!F16)</f>
        <v/>
      </c>
      <c r="H65" s="38">
        <f>IF('Compute'!G16="","",'Compute'!G16)</f>
        <v/>
      </c>
      <c r="I65" s="37">
        <f>IF('Compute'!H16="","",'Compute'!H16)</f>
        <v/>
      </c>
      <c r="J65" s="38">
        <f>IF('Compute'!I16="","",'Compute'!I16)</f>
        <v/>
      </c>
      <c r="K65" s="37">
        <f>IF('Compute'!J16="","",'Compute'!J16)</f>
        <v/>
      </c>
      <c r="L65" s="37">
        <f>IF('Compute'!K16="","",'Compute'!K16)</f>
        <v/>
      </c>
      <c r="M65" s="37">
        <f>IF('Compute'!L16="","",'Compute'!L16)</f>
        <v/>
      </c>
      <c r="N65" s="38">
        <f>IF('Compute'!M16="","",'Compute'!M16)</f>
        <v/>
      </c>
    </row>
    <row r="66">
      <c r="A66" s="39">
        <f>IF('Compute'!A17="","",'Compute'!A17)</f>
        <v/>
      </c>
      <c r="B66" s="39" t="inlineStr">
        <is>
          <t>Compute</t>
        </is>
      </c>
      <c r="C66" s="39">
        <f>IF('Compute'!B17="","",'Compute'!B17)</f>
        <v/>
      </c>
      <c r="D66" s="39">
        <f>IF('Compute'!C17="","",'Compute'!C17)</f>
        <v/>
      </c>
      <c r="E66" s="39">
        <f>IF('Compute'!D17="","",'Compute'!D17)</f>
        <v/>
      </c>
      <c r="F66" s="39">
        <f>IF('Compute'!E17="","",'Compute'!E17)</f>
        <v/>
      </c>
      <c r="G66" s="40">
        <f>IF('Compute'!F17="","",'Compute'!F17)</f>
        <v/>
      </c>
      <c r="H66" s="40">
        <f>IF('Compute'!G17="","",'Compute'!G17)</f>
        <v/>
      </c>
      <c r="I66" s="39">
        <f>IF('Compute'!H17="","",'Compute'!H17)</f>
        <v/>
      </c>
      <c r="J66" s="40">
        <f>IF('Compute'!I17="","",'Compute'!I17)</f>
        <v/>
      </c>
      <c r="K66" s="39">
        <f>IF('Compute'!J17="","",'Compute'!J17)</f>
        <v/>
      </c>
      <c r="L66" s="39">
        <f>IF('Compute'!K17="","",'Compute'!K17)</f>
        <v/>
      </c>
      <c r="M66" s="39">
        <f>IF('Compute'!L17="","",'Compute'!L17)</f>
        <v/>
      </c>
      <c r="N66" s="40">
        <f>IF('Compute'!M17="","",'Compute'!M17)</f>
        <v/>
      </c>
    </row>
    <row r="67">
      <c r="A67" s="37">
        <f>IF('Compute'!A18="","",'Compute'!A18)</f>
        <v/>
      </c>
      <c r="B67" s="37" t="inlineStr">
        <is>
          <t>Compute</t>
        </is>
      </c>
      <c r="C67" s="37">
        <f>IF('Compute'!B18="","",'Compute'!B18)</f>
        <v/>
      </c>
      <c r="D67" s="37">
        <f>IF('Compute'!C18="","",'Compute'!C18)</f>
        <v/>
      </c>
      <c r="E67" s="37">
        <f>IF('Compute'!D18="","",'Compute'!D18)</f>
        <v/>
      </c>
      <c r="F67" s="37">
        <f>IF('Compute'!E18="","",'Compute'!E18)</f>
        <v/>
      </c>
      <c r="G67" s="38">
        <f>IF('Compute'!F18="","",'Compute'!F18)</f>
        <v/>
      </c>
      <c r="H67" s="38">
        <f>IF('Compute'!G18="","",'Compute'!G18)</f>
        <v/>
      </c>
      <c r="I67" s="37">
        <f>IF('Compute'!H18="","",'Compute'!H18)</f>
        <v/>
      </c>
      <c r="J67" s="38">
        <f>IF('Compute'!I18="","",'Compute'!I18)</f>
        <v/>
      </c>
      <c r="K67" s="37">
        <f>IF('Compute'!J18="","",'Compute'!J18)</f>
        <v/>
      </c>
      <c r="L67" s="37">
        <f>IF('Compute'!K18="","",'Compute'!K18)</f>
        <v/>
      </c>
      <c r="M67" s="37">
        <f>IF('Compute'!L18="","",'Compute'!L18)</f>
        <v/>
      </c>
      <c r="N67" s="38">
        <f>IF('Compute'!M18="","",'Compute'!M18)</f>
        <v/>
      </c>
    </row>
    <row r="68">
      <c r="A68" s="39">
        <f>IF('Compute'!A19="","",'Compute'!A19)</f>
        <v/>
      </c>
      <c r="B68" s="39" t="inlineStr">
        <is>
          <t>Compute</t>
        </is>
      </c>
      <c r="C68" s="39">
        <f>IF('Compute'!B19="","",'Compute'!B19)</f>
        <v/>
      </c>
      <c r="D68" s="39">
        <f>IF('Compute'!C19="","",'Compute'!C19)</f>
        <v/>
      </c>
      <c r="E68" s="39">
        <f>IF('Compute'!D19="","",'Compute'!D19)</f>
        <v/>
      </c>
      <c r="F68" s="39">
        <f>IF('Compute'!E19="","",'Compute'!E19)</f>
        <v/>
      </c>
      <c r="G68" s="40">
        <f>IF('Compute'!F19="","",'Compute'!F19)</f>
        <v/>
      </c>
      <c r="H68" s="40">
        <f>IF('Compute'!G19="","",'Compute'!G19)</f>
        <v/>
      </c>
      <c r="I68" s="39">
        <f>IF('Compute'!H19="","",'Compute'!H19)</f>
        <v/>
      </c>
      <c r="J68" s="40">
        <f>IF('Compute'!I19="","",'Compute'!I19)</f>
        <v/>
      </c>
      <c r="K68" s="39">
        <f>IF('Compute'!J19="","",'Compute'!J19)</f>
        <v/>
      </c>
      <c r="L68" s="39">
        <f>IF('Compute'!K19="","",'Compute'!K19)</f>
        <v/>
      </c>
      <c r="M68" s="39">
        <f>IF('Compute'!L19="","",'Compute'!L19)</f>
        <v/>
      </c>
      <c r="N68" s="40">
        <f>IF('Compute'!M19="","",'Compute'!M19)</f>
        <v/>
      </c>
    </row>
    <row r="69">
      <c r="A69" s="37">
        <f>IF('Compute'!A20="","",'Compute'!A20)</f>
        <v/>
      </c>
      <c r="B69" s="37" t="inlineStr">
        <is>
          <t>Compute</t>
        </is>
      </c>
      <c r="C69" s="37">
        <f>IF('Compute'!B20="","",'Compute'!B20)</f>
        <v/>
      </c>
      <c r="D69" s="37">
        <f>IF('Compute'!C20="","",'Compute'!C20)</f>
        <v/>
      </c>
      <c r="E69" s="37">
        <f>IF('Compute'!D20="","",'Compute'!D20)</f>
        <v/>
      </c>
      <c r="F69" s="37">
        <f>IF('Compute'!E20="","",'Compute'!E20)</f>
        <v/>
      </c>
      <c r="G69" s="38">
        <f>IF('Compute'!F20="","",'Compute'!F20)</f>
        <v/>
      </c>
      <c r="H69" s="38">
        <f>IF('Compute'!G20="","",'Compute'!G20)</f>
        <v/>
      </c>
      <c r="I69" s="37">
        <f>IF('Compute'!H20="","",'Compute'!H20)</f>
        <v/>
      </c>
      <c r="J69" s="38">
        <f>IF('Compute'!I20="","",'Compute'!I20)</f>
        <v/>
      </c>
      <c r="K69" s="37">
        <f>IF('Compute'!J20="","",'Compute'!J20)</f>
        <v/>
      </c>
      <c r="L69" s="37">
        <f>IF('Compute'!K20="","",'Compute'!K20)</f>
        <v/>
      </c>
      <c r="M69" s="37">
        <f>IF('Compute'!L20="","",'Compute'!L20)</f>
        <v/>
      </c>
      <c r="N69" s="38">
        <f>IF('Compute'!M20="","",'Compute'!M20)</f>
        <v/>
      </c>
    </row>
    <row r="70">
      <c r="A70" s="39">
        <f>IF('Compute'!A21="","",'Compute'!A21)</f>
        <v/>
      </c>
      <c r="B70" s="39" t="inlineStr">
        <is>
          <t>Compute</t>
        </is>
      </c>
      <c r="C70" s="39">
        <f>IF('Compute'!B21="","",'Compute'!B21)</f>
        <v/>
      </c>
      <c r="D70" s="39">
        <f>IF('Compute'!C21="","",'Compute'!C21)</f>
        <v/>
      </c>
      <c r="E70" s="39">
        <f>IF('Compute'!D21="","",'Compute'!D21)</f>
        <v/>
      </c>
      <c r="F70" s="39">
        <f>IF('Compute'!E21="","",'Compute'!E21)</f>
        <v/>
      </c>
      <c r="G70" s="40">
        <f>IF('Compute'!F21="","",'Compute'!F21)</f>
        <v/>
      </c>
      <c r="H70" s="40">
        <f>IF('Compute'!G21="","",'Compute'!G21)</f>
        <v/>
      </c>
      <c r="I70" s="39">
        <f>IF('Compute'!H21="","",'Compute'!H21)</f>
        <v/>
      </c>
      <c r="J70" s="40">
        <f>IF('Compute'!I21="","",'Compute'!I21)</f>
        <v/>
      </c>
      <c r="K70" s="39">
        <f>IF('Compute'!J21="","",'Compute'!J21)</f>
        <v/>
      </c>
      <c r="L70" s="39">
        <f>IF('Compute'!K21="","",'Compute'!K21)</f>
        <v/>
      </c>
      <c r="M70" s="39">
        <f>IF('Compute'!L21="","",'Compute'!L21)</f>
        <v/>
      </c>
      <c r="N70" s="40">
        <f>IF('Compute'!M21="","",'Compute'!M21)</f>
        <v/>
      </c>
    </row>
    <row r="71">
      <c r="A71" s="37">
        <f>IF('Storage'!A3="","",'Storage'!A3)</f>
        <v/>
      </c>
      <c r="B71" s="37" t="inlineStr">
        <is>
          <t>Storage</t>
        </is>
      </c>
      <c r="C71" s="37">
        <f>IF('Storage'!B3="","",'Storage'!B3)</f>
        <v/>
      </c>
      <c r="D71" s="37">
        <f>IF('Storage'!C3="","",'Storage'!C3)</f>
        <v/>
      </c>
      <c r="E71" s="37">
        <f>IF('Storage'!D3="","",'Storage'!D3)</f>
        <v/>
      </c>
      <c r="F71" s="37">
        <f>IF('Storage'!E3="","",'Storage'!E3)</f>
        <v/>
      </c>
      <c r="G71" s="38">
        <f>IF('Storage'!F3="","",'Storage'!F3)</f>
        <v/>
      </c>
      <c r="H71" s="38">
        <f>IF('Storage'!G3="","",'Storage'!G3)</f>
        <v/>
      </c>
      <c r="I71" s="37">
        <f>IF('Storage'!H3="","",'Storage'!H3)</f>
        <v/>
      </c>
      <c r="J71" s="38">
        <f>IF('Storage'!I3="","",'Storage'!I3)</f>
        <v/>
      </c>
      <c r="K71" s="37">
        <f>IF('Storage'!J3="","",'Storage'!J3)</f>
        <v/>
      </c>
      <c r="L71" s="37">
        <f>IF('Storage'!K3="","",'Storage'!K3)</f>
        <v/>
      </c>
      <c r="M71" s="37">
        <f>IF('Storage'!L3="","",'Storage'!L3)</f>
        <v/>
      </c>
      <c r="N71" s="38">
        <f>IF('Storage'!M3="","",'Storage'!M3)</f>
        <v/>
      </c>
    </row>
    <row r="72">
      <c r="A72" s="39">
        <f>IF('Storage'!A4="","",'Storage'!A4)</f>
        <v/>
      </c>
      <c r="B72" s="39" t="inlineStr">
        <is>
          <t>Storage</t>
        </is>
      </c>
      <c r="C72" s="39">
        <f>IF('Storage'!B4="","",'Storage'!B4)</f>
        <v/>
      </c>
      <c r="D72" s="39">
        <f>IF('Storage'!C4="","",'Storage'!C4)</f>
        <v/>
      </c>
      <c r="E72" s="39">
        <f>IF('Storage'!D4="","",'Storage'!D4)</f>
        <v/>
      </c>
      <c r="F72" s="39">
        <f>IF('Storage'!E4="","",'Storage'!E4)</f>
        <v/>
      </c>
      <c r="G72" s="40">
        <f>IF('Storage'!F4="","",'Storage'!F4)</f>
        <v/>
      </c>
      <c r="H72" s="40">
        <f>IF('Storage'!G4="","",'Storage'!G4)</f>
        <v/>
      </c>
      <c r="I72" s="39">
        <f>IF('Storage'!H4="","",'Storage'!H4)</f>
        <v/>
      </c>
      <c r="J72" s="40">
        <f>IF('Storage'!I4="","",'Storage'!I4)</f>
        <v/>
      </c>
      <c r="K72" s="39">
        <f>IF('Storage'!J4="","",'Storage'!J4)</f>
        <v/>
      </c>
      <c r="L72" s="39">
        <f>IF('Storage'!K4="","",'Storage'!K4)</f>
        <v/>
      </c>
      <c r="M72" s="39">
        <f>IF('Storage'!L4="","",'Storage'!L4)</f>
        <v/>
      </c>
      <c r="N72" s="40">
        <f>IF('Storage'!M4="","",'Storage'!M4)</f>
        <v/>
      </c>
    </row>
    <row r="73">
      <c r="A73" s="37">
        <f>IF('Storage'!A5="","",'Storage'!A5)</f>
        <v/>
      </c>
      <c r="B73" s="37" t="inlineStr">
        <is>
          <t>Storage</t>
        </is>
      </c>
      <c r="C73" s="37">
        <f>IF('Storage'!B5="","",'Storage'!B5)</f>
        <v/>
      </c>
      <c r="D73" s="37">
        <f>IF('Storage'!C5="","",'Storage'!C5)</f>
        <v/>
      </c>
      <c r="E73" s="37">
        <f>IF('Storage'!D5="","",'Storage'!D5)</f>
        <v/>
      </c>
      <c r="F73" s="37">
        <f>IF('Storage'!E5="","",'Storage'!E5)</f>
        <v/>
      </c>
      <c r="G73" s="38">
        <f>IF('Storage'!F5="","",'Storage'!F5)</f>
        <v/>
      </c>
      <c r="H73" s="38">
        <f>IF('Storage'!G5="","",'Storage'!G5)</f>
        <v/>
      </c>
      <c r="I73" s="37">
        <f>IF('Storage'!H5="","",'Storage'!H5)</f>
        <v/>
      </c>
      <c r="J73" s="38">
        <f>IF('Storage'!I5="","",'Storage'!I5)</f>
        <v/>
      </c>
      <c r="K73" s="37">
        <f>IF('Storage'!J5="","",'Storage'!J5)</f>
        <v/>
      </c>
      <c r="L73" s="37">
        <f>IF('Storage'!K5="","",'Storage'!K5)</f>
        <v/>
      </c>
      <c r="M73" s="37">
        <f>IF('Storage'!L5="","",'Storage'!L5)</f>
        <v/>
      </c>
      <c r="N73" s="38">
        <f>IF('Storage'!M5="","",'Storage'!M5)</f>
        <v/>
      </c>
    </row>
    <row r="74">
      <c r="A74" s="39">
        <f>IF('Storage'!A6="","",'Storage'!A6)</f>
        <v/>
      </c>
      <c r="B74" s="39" t="inlineStr">
        <is>
          <t>Storage</t>
        </is>
      </c>
      <c r="C74" s="39">
        <f>IF('Storage'!B6="","",'Storage'!B6)</f>
        <v/>
      </c>
      <c r="D74" s="39">
        <f>IF('Storage'!C6="","",'Storage'!C6)</f>
        <v/>
      </c>
      <c r="E74" s="39">
        <f>IF('Storage'!D6="","",'Storage'!D6)</f>
        <v/>
      </c>
      <c r="F74" s="39">
        <f>IF('Storage'!E6="","",'Storage'!E6)</f>
        <v/>
      </c>
      <c r="G74" s="40">
        <f>IF('Storage'!F6="","",'Storage'!F6)</f>
        <v/>
      </c>
      <c r="H74" s="40">
        <f>IF('Storage'!G6="","",'Storage'!G6)</f>
        <v/>
      </c>
      <c r="I74" s="39">
        <f>IF('Storage'!H6="","",'Storage'!H6)</f>
        <v/>
      </c>
      <c r="J74" s="40">
        <f>IF('Storage'!I6="","",'Storage'!I6)</f>
        <v/>
      </c>
      <c r="K74" s="39">
        <f>IF('Storage'!J6="","",'Storage'!J6)</f>
        <v/>
      </c>
      <c r="L74" s="39">
        <f>IF('Storage'!K6="","",'Storage'!K6)</f>
        <v/>
      </c>
      <c r="M74" s="39">
        <f>IF('Storage'!L6="","",'Storage'!L6)</f>
        <v/>
      </c>
      <c r="N74" s="40">
        <f>IF('Storage'!M6="","",'Storage'!M6)</f>
        <v/>
      </c>
    </row>
    <row r="75">
      <c r="A75" s="37">
        <f>IF('Storage'!A7="","",'Storage'!A7)</f>
        <v/>
      </c>
      <c r="B75" s="37" t="inlineStr">
        <is>
          <t>Storage</t>
        </is>
      </c>
      <c r="C75" s="37">
        <f>IF('Storage'!B7="","",'Storage'!B7)</f>
        <v/>
      </c>
      <c r="D75" s="37">
        <f>IF('Storage'!C7="","",'Storage'!C7)</f>
        <v/>
      </c>
      <c r="E75" s="37">
        <f>IF('Storage'!D7="","",'Storage'!D7)</f>
        <v/>
      </c>
      <c r="F75" s="37">
        <f>IF('Storage'!E7="","",'Storage'!E7)</f>
        <v/>
      </c>
      <c r="G75" s="38">
        <f>IF('Storage'!F7="","",'Storage'!F7)</f>
        <v/>
      </c>
      <c r="H75" s="38">
        <f>IF('Storage'!G7="","",'Storage'!G7)</f>
        <v/>
      </c>
      <c r="I75" s="37">
        <f>IF('Storage'!H7="","",'Storage'!H7)</f>
        <v/>
      </c>
      <c r="J75" s="38">
        <f>IF('Storage'!I7="","",'Storage'!I7)</f>
        <v/>
      </c>
      <c r="K75" s="37">
        <f>IF('Storage'!J7="","",'Storage'!J7)</f>
        <v/>
      </c>
      <c r="L75" s="37">
        <f>IF('Storage'!K7="","",'Storage'!K7)</f>
        <v/>
      </c>
      <c r="M75" s="37">
        <f>IF('Storage'!L7="","",'Storage'!L7)</f>
        <v/>
      </c>
      <c r="N75" s="38">
        <f>IF('Storage'!M7="","",'Storage'!M7)</f>
        <v/>
      </c>
    </row>
    <row r="76">
      <c r="A76" s="39">
        <f>IF('Storage'!A8="","",'Storage'!A8)</f>
        <v/>
      </c>
      <c r="B76" s="39" t="inlineStr">
        <is>
          <t>Storage</t>
        </is>
      </c>
      <c r="C76" s="39">
        <f>IF('Storage'!B8="","",'Storage'!B8)</f>
        <v/>
      </c>
      <c r="D76" s="39">
        <f>IF('Storage'!C8="","",'Storage'!C8)</f>
        <v/>
      </c>
      <c r="E76" s="39">
        <f>IF('Storage'!D8="","",'Storage'!D8)</f>
        <v/>
      </c>
      <c r="F76" s="39">
        <f>IF('Storage'!E8="","",'Storage'!E8)</f>
        <v/>
      </c>
      <c r="G76" s="40">
        <f>IF('Storage'!F8="","",'Storage'!F8)</f>
        <v/>
      </c>
      <c r="H76" s="40">
        <f>IF('Storage'!G8="","",'Storage'!G8)</f>
        <v/>
      </c>
      <c r="I76" s="39">
        <f>IF('Storage'!H8="","",'Storage'!H8)</f>
        <v/>
      </c>
      <c r="J76" s="40">
        <f>IF('Storage'!I8="","",'Storage'!I8)</f>
        <v/>
      </c>
      <c r="K76" s="39">
        <f>IF('Storage'!J8="","",'Storage'!J8)</f>
        <v/>
      </c>
      <c r="L76" s="39">
        <f>IF('Storage'!K8="","",'Storage'!K8)</f>
        <v/>
      </c>
      <c r="M76" s="39">
        <f>IF('Storage'!L8="","",'Storage'!L8)</f>
        <v/>
      </c>
      <c r="N76" s="40">
        <f>IF('Storage'!M8="","",'Storage'!M8)</f>
        <v/>
      </c>
    </row>
    <row r="77">
      <c r="A77" s="37">
        <f>IF('Storage'!A9="","",'Storage'!A9)</f>
        <v/>
      </c>
      <c r="B77" s="37" t="inlineStr">
        <is>
          <t>Storage</t>
        </is>
      </c>
      <c r="C77" s="37">
        <f>IF('Storage'!B9="","",'Storage'!B9)</f>
        <v/>
      </c>
      <c r="D77" s="37">
        <f>IF('Storage'!C9="","",'Storage'!C9)</f>
        <v/>
      </c>
      <c r="E77" s="37">
        <f>IF('Storage'!D9="","",'Storage'!D9)</f>
        <v/>
      </c>
      <c r="F77" s="37">
        <f>IF('Storage'!E9="","",'Storage'!E9)</f>
        <v/>
      </c>
      <c r="G77" s="38">
        <f>IF('Storage'!F9="","",'Storage'!F9)</f>
        <v/>
      </c>
      <c r="H77" s="38">
        <f>IF('Storage'!G9="","",'Storage'!G9)</f>
        <v/>
      </c>
      <c r="I77" s="37">
        <f>IF('Storage'!H9="","",'Storage'!H9)</f>
        <v/>
      </c>
      <c r="J77" s="38">
        <f>IF('Storage'!I9="","",'Storage'!I9)</f>
        <v/>
      </c>
      <c r="K77" s="37">
        <f>IF('Storage'!J9="","",'Storage'!J9)</f>
        <v/>
      </c>
      <c r="L77" s="37">
        <f>IF('Storage'!K9="","",'Storage'!K9)</f>
        <v/>
      </c>
      <c r="M77" s="37">
        <f>IF('Storage'!L9="","",'Storage'!L9)</f>
        <v/>
      </c>
      <c r="N77" s="38">
        <f>IF('Storage'!M9="","",'Storage'!M9)</f>
        <v/>
      </c>
    </row>
    <row r="78">
      <c r="A78" s="39">
        <f>IF('Storage'!A10="","",'Storage'!A10)</f>
        <v/>
      </c>
      <c r="B78" s="39" t="inlineStr">
        <is>
          <t>Storage</t>
        </is>
      </c>
      <c r="C78" s="39">
        <f>IF('Storage'!B10="","",'Storage'!B10)</f>
        <v/>
      </c>
      <c r="D78" s="39">
        <f>IF('Storage'!C10="","",'Storage'!C10)</f>
        <v/>
      </c>
      <c r="E78" s="39">
        <f>IF('Storage'!D10="","",'Storage'!D10)</f>
        <v/>
      </c>
      <c r="F78" s="39">
        <f>IF('Storage'!E10="","",'Storage'!E10)</f>
        <v/>
      </c>
      <c r="G78" s="40">
        <f>IF('Storage'!F10="","",'Storage'!F10)</f>
        <v/>
      </c>
      <c r="H78" s="40">
        <f>IF('Storage'!G10="","",'Storage'!G10)</f>
        <v/>
      </c>
      <c r="I78" s="39">
        <f>IF('Storage'!H10="","",'Storage'!H10)</f>
        <v/>
      </c>
      <c r="J78" s="40">
        <f>IF('Storage'!I10="","",'Storage'!I10)</f>
        <v/>
      </c>
      <c r="K78" s="39">
        <f>IF('Storage'!J10="","",'Storage'!J10)</f>
        <v/>
      </c>
      <c r="L78" s="39">
        <f>IF('Storage'!K10="","",'Storage'!K10)</f>
        <v/>
      </c>
      <c r="M78" s="39">
        <f>IF('Storage'!L10="","",'Storage'!L10)</f>
        <v/>
      </c>
      <c r="N78" s="40">
        <f>IF('Storage'!M10="","",'Storage'!M10)</f>
        <v/>
      </c>
    </row>
    <row r="79">
      <c r="A79" s="37">
        <f>IF('Storage'!A11="","",'Storage'!A11)</f>
        <v/>
      </c>
      <c r="B79" s="37" t="inlineStr">
        <is>
          <t>Storage</t>
        </is>
      </c>
      <c r="C79" s="37">
        <f>IF('Storage'!B11="","",'Storage'!B11)</f>
        <v/>
      </c>
      <c r="D79" s="37">
        <f>IF('Storage'!C11="","",'Storage'!C11)</f>
        <v/>
      </c>
      <c r="E79" s="37">
        <f>IF('Storage'!D11="","",'Storage'!D11)</f>
        <v/>
      </c>
      <c r="F79" s="37">
        <f>IF('Storage'!E11="","",'Storage'!E11)</f>
        <v/>
      </c>
      <c r="G79" s="38">
        <f>IF('Storage'!F11="","",'Storage'!F11)</f>
        <v/>
      </c>
      <c r="H79" s="38">
        <f>IF('Storage'!G11="","",'Storage'!G11)</f>
        <v/>
      </c>
      <c r="I79" s="37">
        <f>IF('Storage'!H11="","",'Storage'!H11)</f>
        <v/>
      </c>
      <c r="J79" s="38">
        <f>IF('Storage'!I11="","",'Storage'!I11)</f>
        <v/>
      </c>
      <c r="K79" s="37">
        <f>IF('Storage'!J11="","",'Storage'!J11)</f>
        <v/>
      </c>
      <c r="L79" s="37">
        <f>IF('Storage'!K11="","",'Storage'!K11)</f>
        <v/>
      </c>
      <c r="M79" s="37">
        <f>IF('Storage'!L11="","",'Storage'!L11)</f>
        <v/>
      </c>
      <c r="N79" s="38">
        <f>IF('Storage'!M11="","",'Storage'!M11)</f>
        <v/>
      </c>
    </row>
    <row r="80">
      <c r="A80" s="39">
        <f>IF('Storage'!A12="","",'Storage'!A12)</f>
        <v/>
      </c>
      <c r="B80" s="39" t="inlineStr">
        <is>
          <t>Storage</t>
        </is>
      </c>
      <c r="C80" s="39">
        <f>IF('Storage'!B12="","",'Storage'!B12)</f>
        <v/>
      </c>
      <c r="D80" s="39">
        <f>IF('Storage'!C12="","",'Storage'!C12)</f>
        <v/>
      </c>
      <c r="E80" s="39">
        <f>IF('Storage'!D12="","",'Storage'!D12)</f>
        <v/>
      </c>
      <c r="F80" s="39">
        <f>IF('Storage'!E12="","",'Storage'!E12)</f>
        <v/>
      </c>
      <c r="G80" s="40">
        <f>IF('Storage'!F12="","",'Storage'!F12)</f>
        <v/>
      </c>
      <c r="H80" s="40">
        <f>IF('Storage'!G12="","",'Storage'!G12)</f>
        <v/>
      </c>
      <c r="I80" s="39">
        <f>IF('Storage'!H12="","",'Storage'!H12)</f>
        <v/>
      </c>
      <c r="J80" s="40">
        <f>IF('Storage'!I12="","",'Storage'!I12)</f>
        <v/>
      </c>
      <c r="K80" s="39">
        <f>IF('Storage'!J12="","",'Storage'!J12)</f>
        <v/>
      </c>
      <c r="L80" s="39">
        <f>IF('Storage'!K12="","",'Storage'!K12)</f>
        <v/>
      </c>
      <c r="M80" s="39">
        <f>IF('Storage'!L12="","",'Storage'!L12)</f>
        <v/>
      </c>
      <c r="N80" s="40">
        <f>IF('Storage'!M12="","",'Storage'!M12)</f>
        <v/>
      </c>
    </row>
    <row r="81">
      <c r="A81" s="37">
        <f>IF('Storage'!A13="","",'Storage'!A13)</f>
        <v/>
      </c>
      <c r="B81" s="37" t="inlineStr">
        <is>
          <t>Storage</t>
        </is>
      </c>
      <c r="C81" s="37">
        <f>IF('Storage'!B13="","",'Storage'!B13)</f>
        <v/>
      </c>
      <c r="D81" s="37">
        <f>IF('Storage'!C13="","",'Storage'!C13)</f>
        <v/>
      </c>
      <c r="E81" s="37">
        <f>IF('Storage'!D13="","",'Storage'!D13)</f>
        <v/>
      </c>
      <c r="F81" s="37">
        <f>IF('Storage'!E13="","",'Storage'!E13)</f>
        <v/>
      </c>
      <c r="G81" s="38">
        <f>IF('Storage'!F13="","",'Storage'!F13)</f>
        <v/>
      </c>
      <c r="H81" s="38">
        <f>IF('Storage'!G13="","",'Storage'!G13)</f>
        <v/>
      </c>
      <c r="I81" s="37">
        <f>IF('Storage'!H13="","",'Storage'!H13)</f>
        <v/>
      </c>
      <c r="J81" s="38">
        <f>IF('Storage'!I13="","",'Storage'!I13)</f>
        <v/>
      </c>
      <c r="K81" s="37">
        <f>IF('Storage'!J13="","",'Storage'!J13)</f>
        <v/>
      </c>
      <c r="L81" s="37">
        <f>IF('Storage'!K13="","",'Storage'!K13)</f>
        <v/>
      </c>
      <c r="M81" s="37">
        <f>IF('Storage'!L13="","",'Storage'!L13)</f>
        <v/>
      </c>
      <c r="N81" s="38">
        <f>IF('Storage'!M13="","",'Storage'!M13)</f>
        <v/>
      </c>
    </row>
    <row r="82">
      <c r="A82" s="39">
        <f>IF('Storage'!A14="","",'Storage'!A14)</f>
        <v/>
      </c>
      <c r="B82" s="39" t="inlineStr">
        <is>
          <t>Storage</t>
        </is>
      </c>
      <c r="C82" s="39">
        <f>IF('Storage'!B14="","",'Storage'!B14)</f>
        <v/>
      </c>
      <c r="D82" s="39">
        <f>IF('Storage'!C14="","",'Storage'!C14)</f>
        <v/>
      </c>
      <c r="E82" s="39">
        <f>IF('Storage'!D14="","",'Storage'!D14)</f>
        <v/>
      </c>
      <c r="F82" s="39">
        <f>IF('Storage'!E14="","",'Storage'!E14)</f>
        <v/>
      </c>
      <c r="G82" s="40">
        <f>IF('Storage'!F14="","",'Storage'!F14)</f>
        <v/>
      </c>
      <c r="H82" s="40">
        <f>IF('Storage'!G14="","",'Storage'!G14)</f>
        <v/>
      </c>
      <c r="I82" s="39">
        <f>IF('Storage'!H14="","",'Storage'!H14)</f>
        <v/>
      </c>
      <c r="J82" s="40">
        <f>IF('Storage'!I14="","",'Storage'!I14)</f>
        <v/>
      </c>
      <c r="K82" s="39">
        <f>IF('Storage'!J14="","",'Storage'!J14)</f>
        <v/>
      </c>
      <c r="L82" s="39">
        <f>IF('Storage'!K14="","",'Storage'!K14)</f>
        <v/>
      </c>
      <c r="M82" s="39">
        <f>IF('Storage'!L14="","",'Storage'!L14)</f>
        <v/>
      </c>
      <c r="N82" s="40">
        <f>IF('Storage'!M14="","",'Storage'!M14)</f>
        <v/>
      </c>
    </row>
    <row r="83">
      <c r="A83" s="37">
        <f>IF('Database'!A3="","",'Database'!A3)</f>
        <v/>
      </c>
      <c r="B83" s="37" t="inlineStr">
        <is>
          <t>Database</t>
        </is>
      </c>
      <c r="C83" s="37">
        <f>IF('Database'!B3="","",'Database'!B3)</f>
        <v/>
      </c>
      <c r="D83" s="37">
        <f>IF('Database'!C3="","",'Database'!C3)</f>
        <v/>
      </c>
      <c r="E83" s="37">
        <f>IF('Database'!D3="","",'Database'!D3)</f>
        <v/>
      </c>
      <c r="F83" s="37">
        <f>IF('Database'!E3="","",'Database'!E3)</f>
        <v/>
      </c>
      <c r="G83" s="38">
        <f>IF('Database'!F3="","",'Database'!F3)</f>
        <v/>
      </c>
      <c r="H83" s="38">
        <f>IF('Database'!G3="","",'Database'!G3)</f>
        <v/>
      </c>
      <c r="I83" s="37">
        <f>IF('Database'!H3="","",'Database'!H3)</f>
        <v/>
      </c>
      <c r="J83" s="38">
        <f>IF('Database'!I3="","",'Database'!I3)</f>
        <v/>
      </c>
      <c r="K83" s="37">
        <f>IF('Database'!J3="","",'Database'!J3)</f>
        <v/>
      </c>
      <c r="L83" s="37">
        <f>IF('Database'!K3="","",'Database'!K3)</f>
        <v/>
      </c>
      <c r="M83" s="37">
        <f>IF('Database'!L3="","",'Database'!L3)</f>
        <v/>
      </c>
      <c r="N83" s="38">
        <f>IF('Database'!M3="","",'Database'!M3)</f>
        <v/>
      </c>
    </row>
    <row r="84">
      <c r="A84" s="39">
        <f>IF('Database'!A4="","",'Database'!A4)</f>
        <v/>
      </c>
      <c r="B84" s="39" t="inlineStr">
        <is>
          <t>Database</t>
        </is>
      </c>
      <c r="C84" s="39">
        <f>IF('Database'!B4="","",'Database'!B4)</f>
        <v/>
      </c>
      <c r="D84" s="39">
        <f>IF('Database'!C4="","",'Database'!C4)</f>
        <v/>
      </c>
      <c r="E84" s="39">
        <f>IF('Database'!D4="","",'Database'!D4)</f>
        <v/>
      </c>
      <c r="F84" s="39">
        <f>IF('Database'!E4="","",'Database'!E4)</f>
        <v/>
      </c>
      <c r="G84" s="40">
        <f>IF('Database'!F4="","",'Database'!F4)</f>
        <v/>
      </c>
      <c r="H84" s="40">
        <f>IF('Database'!G4="","",'Database'!G4)</f>
        <v/>
      </c>
      <c r="I84" s="39">
        <f>IF('Database'!H4="","",'Database'!H4)</f>
        <v/>
      </c>
      <c r="J84" s="40">
        <f>IF('Database'!I4="","",'Database'!I4)</f>
        <v/>
      </c>
      <c r="K84" s="39">
        <f>IF('Database'!J4="","",'Database'!J4)</f>
        <v/>
      </c>
      <c r="L84" s="39">
        <f>IF('Database'!K4="","",'Database'!K4)</f>
        <v/>
      </c>
      <c r="M84" s="39">
        <f>IF('Database'!L4="","",'Database'!L4)</f>
        <v/>
      </c>
      <c r="N84" s="40">
        <f>IF('Database'!M4="","",'Database'!M4)</f>
        <v/>
      </c>
    </row>
    <row r="85">
      <c r="A85" s="37">
        <f>IF('Database'!A5="","",'Database'!A5)</f>
        <v/>
      </c>
      <c r="B85" s="37" t="inlineStr">
        <is>
          <t>Database</t>
        </is>
      </c>
      <c r="C85" s="37">
        <f>IF('Database'!B5="","",'Database'!B5)</f>
        <v/>
      </c>
      <c r="D85" s="37">
        <f>IF('Database'!C5="","",'Database'!C5)</f>
        <v/>
      </c>
      <c r="E85" s="37">
        <f>IF('Database'!D5="","",'Database'!D5)</f>
        <v/>
      </c>
      <c r="F85" s="37">
        <f>IF('Database'!E5="","",'Database'!E5)</f>
        <v/>
      </c>
      <c r="G85" s="38">
        <f>IF('Database'!F5="","",'Database'!F5)</f>
        <v/>
      </c>
      <c r="H85" s="38">
        <f>IF('Database'!G5="","",'Database'!G5)</f>
        <v/>
      </c>
      <c r="I85" s="37">
        <f>IF('Database'!H5="","",'Database'!H5)</f>
        <v/>
      </c>
      <c r="J85" s="38">
        <f>IF('Database'!I5="","",'Database'!I5)</f>
        <v/>
      </c>
      <c r="K85" s="37">
        <f>IF('Database'!J5="","",'Database'!J5)</f>
        <v/>
      </c>
      <c r="L85" s="37">
        <f>IF('Database'!K5="","",'Database'!K5)</f>
        <v/>
      </c>
      <c r="M85" s="37">
        <f>IF('Database'!L5="","",'Database'!L5)</f>
        <v/>
      </c>
      <c r="N85" s="38">
        <f>IF('Database'!M5="","",'Database'!M5)</f>
        <v/>
      </c>
    </row>
    <row r="86">
      <c r="A86" s="39">
        <f>IF('Database'!A6="","",'Database'!A6)</f>
        <v/>
      </c>
      <c r="B86" s="39" t="inlineStr">
        <is>
          <t>Database</t>
        </is>
      </c>
      <c r="C86" s="39">
        <f>IF('Database'!B6="","",'Database'!B6)</f>
        <v/>
      </c>
      <c r="D86" s="39">
        <f>IF('Database'!C6="","",'Database'!C6)</f>
        <v/>
      </c>
      <c r="E86" s="39">
        <f>IF('Database'!D6="","",'Database'!D6)</f>
        <v/>
      </c>
      <c r="F86" s="39">
        <f>IF('Database'!E6="","",'Database'!E6)</f>
        <v/>
      </c>
      <c r="G86" s="40">
        <f>IF('Database'!F6="","",'Database'!F6)</f>
        <v/>
      </c>
      <c r="H86" s="40">
        <f>IF('Database'!G6="","",'Database'!G6)</f>
        <v/>
      </c>
      <c r="I86" s="39">
        <f>IF('Database'!H6="","",'Database'!H6)</f>
        <v/>
      </c>
      <c r="J86" s="40">
        <f>IF('Database'!I6="","",'Database'!I6)</f>
        <v/>
      </c>
      <c r="K86" s="39">
        <f>IF('Database'!J6="","",'Database'!J6)</f>
        <v/>
      </c>
      <c r="L86" s="39">
        <f>IF('Database'!K6="","",'Database'!K6)</f>
        <v/>
      </c>
      <c r="M86" s="39">
        <f>IF('Database'!L6="","",'Database'!L6)</f>
        <v/>
      </c>
      <c r="N86" s="40">
        <f>IF('Database'!M6="","",'Database'!M6)</f>
        <v/>
      </c>
    </row>
    <row r="87">
      <c r="A87" s="37">
        <f>IF('Database'!A7="","",'Database'!A7)</f>
        <v/>
      </c>
      <c r="B87" s="37" t="inlineStr">
        <is>
          <t>Database</t>
        </is>
      </c>
      <c r="C87" s="37">
        <f>IF('Database'!B7="","",'Database'!B7)</f>
        <v/>
      </c>
      <c r="D87" s="37">
        <f>IF('Database'!C7="","",'Database'!C7)</f>
        <v/>
      </c>
      <c r="E87" s="37">
        <f>IF('Database'!D7="","",'Database'!D7)</f>
        <v/>
      </c>
      <c r="F87" s="37">
        <f>IF('Database'!E7="","",'Database'!E7)</f>
        <v/>
      </c>
      <c r="G87" s="38">
        <f>IF('Database'!F7="","",'Database'!F7)</f>
        <v/>
      </c>
      <c r="H87" s="38">
        <f>IF('Database'!G7="","",'Database'!G7)</f>
        <v/>
      </c>
      <c r="I87" s="37">
        <f>IF('Database'!H7="","",'Database'!H7)</f>
        <v/>
      </c>
      <c r="J87" s="38">
        <f>IF('Database'!I7="","",'Database'!I7)</f>
        <v/>
      </c>
      <c r="K87" s="37">
        <f>IF('Database'!J7="","",'Database'!J7)</f>
        <v/>
      </c>
      <c r="L87" s="37">
        <f>IF('Database'!K7="","",'Database'!K7)</f>
        <v/>
      </c>
      <c r="M87" s="37">
        <f>IF('Database'!L7="","",'Database'!L7)</f>
        <v/>
      </c>
      <c r="N87" s="38">
        <f>IF('Database'!M7="","",'Database'!M7)</f>
        <v/>
      </c>
    </row>
    <row r="88">
      <c r="A88" s="39">
        <f>IF('Database'!A8="","",'Database'!A8)</f>
        <v/>
      </c>
      <c r="B88" s="39" t="inlineStr">
        <is>
          <t>Database</t>
        </is>
      </c>
      <c r="C88" s="39">
        <f>IF('Database'!B8="","",'Database'!B8)</f>
        <v/>
      </c>
      <c r="D88" s="39">
        <f>IF('Database'!C8="","",'Database'!C8)</f>
        <v/>
      </c>
      <c r="E88" s="39">
        <f>IF('Database'!D8="","",'Database'!D8)</f>
        <v/>
      </c>
      <c r="F88" s="39">
        <f>IF('Database'!E8="","",'Database'!E8)</f>
        <v/>
      </c>
      <c r="G88" s="40">
        <f>IF('Database'!F8="","",'Database'!F8)</f>
        <v/>
      </c>
      <c r="H88" s="40">
        <f>IF('Database'!G8="","",'Database'!G8)</f>
        <v/>
      </c>
      <c r="I88" s="39">
        <f>IF('Database'!H8="","",'Database'!H8)</f>
        <v/>
      </c>
      <c r="J88" s="40">
        <f>IF('Database'!I8="","",'Database'!I8)</f>
        <v/>
      </c>
      <c r="K88" s="39">
        <f>IF('Database'!J8="","",'Database'!J8)</f>
        <v/>
      </c>
      <c r="L88" s="39">
        <f>IF('Database'!K8="","",'Database'!K8)</f>
        <v/>
      </c>
      <c r="M88" s="39">
        <f>IF('Database'!L8="","",'Database'!L8)</f>
        <v/>
      </c>
      <c r="N88" s="40">
        <f>IF('Database'!M8="","",'Database'!M8)</f>
        <v/>
      </c>
    </row>
    <row r="89">
      <c r="A89" s="37">
        <f>IF('Database'!A9="","",'Database'!A9)</f>
        <v/>
      </c>
      <c r="B89" s="37" t="inlineStr">
        <is>
          <t>Database</t>
        </is>
      </c>
      <c r="C89" s="37">
        <f>IF('Database'!B9="","",'Database'!B9)</f>
        <v/>
      </c>
      <c r="D89" s="37">
        <f>IF('Database'!C9="","",'Database'!C9)</f>
        <v/>
      </c>
      <c r="E89" s="37">
        <f>IF('Database'!D9="","",'Database'!D9)</f>
        <v/>
      </c>
      <c r="F89" s="37">
        <f>IF('Database'!E9="","",'Database'!E9)</f>
        <v/>
      </c>
      <c r="G89" s="38">
        <f>IF('Database'!F9="","",'Database'!F9)</f>
        <v/>
      </c>
      <c r="H89" s="38">
        <f>IF('Database'!G9="","",'Database'!G9)</f>
        <v/>
      </c>
      <c r="I89" s="37">
        <f>IF('Database'!H9="","",'Database'!H9)</f>
        <v/>
      </c>
      <c r="J89" s="38">
        <f>IF('Database'!I9="","",'Database'!I9)</f>
        <v/>
      </c>
      <c r="K89" s="37">
        <f>IF('Database'!J9="","",'Database'!J9)</f>
        <v/>
      </c>
      <c r="L89" s="37">
        <f>IF('Database'!K9="","",'Database'!K9)</f>
        <v/>
      </c>
      <c r="M89" s="37">
        <f>IF('Database'!L9="","",'Database'!L9)</f>
        <v/>
      </c>
      <c r="N89" s="38">
        <f>IF('Database'!M9="","",'Database'!M9)</f>
        <v/>
      </c>
    </row>
    <row r="90">
      <c r="A90" s="39">
        <f>IF('Database'!A10="","",'Database'!A10)</f>
        <v/>
      </c>
      <c r="B90" s="39" t="inlineStr">
        <is>
          <t>Database</t>
        </is>
      </c>
      <c r="C90" s="39">
        <f>IF('Database'!B10="","",'Database'!B10)</f>
        <v/>
      </c>
      <c r="D90" s="39">
        <f>IF('Database'!C10="","",'Database'!C10)</f>
        <v/>
      </c>
      <c r="E90" s="39">
        <f>IF('Database'!D10="","",'Database'!D10)</f>
        <v/>
      </c>
      <c r="F90" s="39">
        <f>IF('Database'!E10="","",'Database'!E10)</f>
        <v/>
      </c>
      <c r="G90" s="40">
        <f>IF('Database'!F10="","",'Database'!F10)</f>
        <v/>
      </c>
      <c r="H90" s="40">
        <f>IF('Database'!G10="","",'Database'!G10)</f>
        <v/>
      </c>
      <c r="I90" s="39">
        <f>IF('Database'!H10="","",'Database'!H10)</f>
        <v/>
      </c>
      <c r="J90" s="40">
        <f>IF('Database'!I10="","",'Database'!I10)</f>
        <v/>
      </c>
      <c r="K90" s="39">
        <f>IF('Database'!J10="","",'Database'!J10)</f>
        <v/>
      </c>
      <c r="L90" s="39">
        <f>IF('Database'!K10="","",'Database'!K10)</f>
        <v/>
      </c>
      <c r="M90" s="39">
        <f>IF('Database'!L10="","",'Database'!L10)</f>
        <v/>
      </c>
      <c r="N90" s="40">
        <f>IF('Database'!M10="","",'Database'!M10)</f>
        <v/>
      </c>
    </row>
    <row r="91">
      <c r="A91" s="37">
        <f>IF('Database'!A11="","",'Database'!A11)</f>
        <v/>
      </c>
      <c r="B91" s="37" t="inlineStr">
        <is>
          <t>Database</t>
        </is>
      </c>
      <c r="C91" s="37">
        <f>IF('Database'!B11="","",'Database'!B11)</f>
        <v/>
      </c>
      <c r="D91" s="37">
        <f>IF('Database'!C11="","",'Database'!C11)</f>
        <v/>
      </c>
      <c r="E91" s="37">
        <f>IF('Database'!D11="","",'Database'!D11)</f>
        <v/>
      </c>
      <c r="F91" s="37">
        <f>IF('Database'!E11="","",'Database'!E11)</f>
        <v/>
      </c>
      <c r="G91" s="38">
        <f>IF('Database'!F11="","",'Database'!F11)</f>
        <v/>
      </c>
      <c r="H91" s="38">
        <f>IF('Database'!G11="","",'Database'!G11)</f>
        <v/>
      </c>
      <c r="I91" s="37">
        <f>IF('Database'!H11="","",'Database'!H11)</f>
        <v/>
      </c>
      <c r="J91" s="38">
        <f>IF('Database'!I11="","",'Database'!I11)</f>
        <v/>
      </c>
      <c r="K91" s="37">
        <f>IF('Database'!J11="","",'Database'!J11)</f>
        <v/>
      </c>
      <c r="L91" s="37">
        <f>IF('Database'!K11="","",'Database'!K11)</f>
        <v/>
      </c>
      <c r="M91" s="37">
        <f>IF('Database'!L11="","",'Database'!L11)</f>
        <v/>
      </c>
      <c r="N91" s="38">
        <f>IF('Database'!M11="","",'Database'!M11)</f>
        <v/>
      </c>
    </row>
    <row r="92">
      <c r="A92" s="39">
        <f>IF('Cache'!A3="","",'Cache'!A3)</f>
        <v/>
      </c>
      <c r="B92" s="39" t="inlineStr">
        <is>
          <t>Cache</t>
        </is>
      </c>
      <c r="C92" s="39">
        <f>IF('Cache'!B3="","",'Cache'!B3)</f>
        <v/>
      </c>
      <c r="D92" s="39">
        <f>IF('Cache'!C3="","",'Cache'!C3)</f>
        <v/>
      </c>
      <c r="E92" s="39">
        <f>IF('Cache'!D3="","",'Cache'!D3)</f>
        <v/>
      </c>
      <c r="F92" s="39">
        <f>IF('Cache'!E3="","",'Cache'!E3)</f>
        <v/>
      </c>
      <c r="G92" s="40">
        <f>IF('Cache'!F3="","",'Cache'!F3)</f>
        <v/>
      </c>
      <c r="H92" s="40">
        <f>IF('Cache'!G3="","",'Cache'!G3)</f>
        <v/>
      </c>
      <c r="I92" s="39">
        <f>IF('Cache'!H3="","",'Cache'!H3)</f>
        <v/>
      </c>
      <c r="J92" s="40">
        <f>IF('Cache'!I3="","",'Cache'!I3)</f>
        <v/>
      </c>
      <c r="K92" s="39">
        <f>IF('Cache'!J3="","",'Cache'!J3)</f>
        <v/>
      </c>
      <c r="L92" s="39">
        <f>IF('Cache'!K3="","",'Cache'!K3)</f>
        <v/>
      </c>
      <c r="M92" s="39">
        <f>IF('Cache'!L3="","",'Cache'!L3)</f>
        <v/>
      </c>
      <c r="N92" s="40">
        <f>IF('Cache'!M3="","",'Cache'!M3)</f>
        <v/>
      </c>
    </row>
    <row r="93">
      <c r="A93" s="37">
        <f>IF('Cache'!A4="","",'Cache'!A4)</f>
        <v/>
      </c>
      <c r="B93" s="37" t="inlineStr">
        <is>
          <t>Cache</t>
        </is>
      </c>
      <c r="C93" s="37">
        <f>IF('Cache'!B4="","",'Cache'!B4)</f>
        <v/>
      </c>
      <c r="D93" s="37">
        <f>IF('Cache'!C4="","",'Cache'!C4)</f>
        <v/>
      </c>
      <c r="E93" s="37">
        <f>IF('Cache'!D4="","",'Cache'!D4)</f>
        <v/>
      </c>
      <c r="F93" s="37">
        <f>IF('Cache'!E4="","",'Cache'!E4)</f>
        <v/>
      </c>
      <c r="G93" s="38">
        <f>IF('Cache'!F4="","",'Cache'!F4)</f>
        <v/>
      </c>
      <c r="H93" s="38">
        <f>IF('Cache'!G4="","",'Cache'!G4)</f>
        <v/>
      </c>
      <c r="I93" s="37">
        <f>IF('Cache'!H4="","",'Cache'!H4)</f>
        <v/>
      </c>
      <c r="J93" s="38">
        <f>IF('Cache'!I4="","",'Cache'!I4)</f>
        <v/>
      </c>
      <c r="K93" s="37">
        <f>IF('Cache'!J4="","",'Cache'!J4)</f>
        <v/>
      </c>
      <c r="L93" s="37">
        <f>IF('Cache'!K4="","",'Cache'!K4)</f>
        <v/>
      </c>
      <c r="M93" s="37">
        <f>IF('Cache'!L4="","",'Cache'!L4)</f>
        <v/>
      </c>
      <c r="N93" s="38">
        <f>IF('Cache'!M4="","",'Cache'!M4)</f>
        <v/>
      </c>
    </row>
    <row r="94">
      <c r="A94" s="39">
        <f>IF('Cache'!A5="","",'Cache'!A5)</f>
        <v/>
      </c>
      <c r="B94" s="39" t="inlineStr">
        <is>
          <t>Cache</t>
        </is>
      </c>
      <c r="C94" s="39">
        <f>IF('Cache'!B5="","",'Cache'!B5)</f>
        <v/>
      </c>
      <c r="D94" s="39">
        <f>IF('Cache'!C5="","",'Cache'!C5)</f>
        <v/>
      </c>
      <c r="E94" s="39">
        <f>IF('Cache'!D5="","",'Cache'!D5)</f>
        <v/>
      </c>
      <c r="F94" s="39">
        <f>IF('Cache'!E5="","",'Cache'!E5)</f>
        <v/>
      </c>
      <c r="G94" s="40">
        <f>IF('Cache'!F5="","",'Cache'!F5)</f>
        <v/>
      </c>
      <c r="H94" s="40">
        <f>IF('Cache'!G5="","",'Cache'!G5)</f>
        <v/>
      </c>
      <c r="I94" s="39">
        <f>IF('Cache'!H5="","",'Cache'!H5)</f>
        <v/>
      </c>
      <c r="J94" s="40">
        <f>IF('Cache'!I5="","",'Cache'!I5)</f>
        <v/>
      </c>
      <c r="K94" s="39">
        <f>IF('Cache'!J5="","",'Cache'!J5)</f>
        <v/>
      </c>
      <c r="L94" s="39">
        <f>IF('Cache'!K5="","",'Cache'!K5)</f>
        <v/>
      </c>
      <c r="M94" s="39">
        <f>IF('Cache'!L5="","",'Cache'!L5)</f>
        <v/>
      </c>
      <c r="N94" s="40">
        <f>IF('Cache'!M5="","",'Cache'!M5)</f>
        <v/>
      </c>
    </row>
    <row r="95">
      <c r="A95" s="37">
        <f>IF('Cache'!A6="","",'Cache'!A6)</f>
        <v/>
      </c>
      <c r="B95" s="37" t="inlineStr">
        <is>
          <t>Cache</t>
        </is>
      </c>
      <c r="C95" s="37">
        <f>IF('Cache'!B6="","",'Cache'!B6)</f>
        <v/>
      </c>
      <c r="D95" s="37">
        <f>IF('Cache'!C6="","",'Cache'!C6)</f>
        <v/>
      </c>
      <c r="E95" s="37">
        <f>IF('Cache'!D6="","",'Cache'!D6)</f>
        <v/>
      </c>
      <c r="F95" s="37">
        <f>IF('Cache'!E6="","",'Cache'!E6)</f>
        <v/>
      </c>
      <c r="G95" s="38">
        <f>IF('Cache'!F6="","",'Cache'!F6)</f>
        <v/>
      </c>
      <c r="H95" s="38">
        <f>IF('Cache'!G6="","",'Cache'!G6)</f>
        <v/>
      </c>
      <c r="I95" s="37">
        <f>IF('Cache'!H6="","",'Cache'!H6)</f>
        <v/>
      </c>
      <c r="J95" s="38">
        <f>IF('Cache'!I6="","",'Cache'!I6)</f>
        <v/>
      </c>
      <c r="K95" s="37">
        <f>IF('Cache'!J6="","",'Cache'!J6)</f>
        <v/>
      </c>
      <c r="L95" s="37">
        <f>IF('Cache'!K6="","",'Cache'!K6)</f>
        <v/>
      </c>
      <c r="M95" s="37">
        <f>IF('Cache'!L6="","",'Cache'!L6)</f>
        <v/>
      </c>
      <c r="N95" s="38">
        <f>IF('Cache'!M6="","",'Cache'!M6)</f>
        <v/>
      </c>
    </row>
    <row r="96">
      <c r="A96" s="39">
        <f>IF('Cache'!A7="","",'Cache'!A7)</f>
        <v/>
      </c>
      <c r="B96" s="39" t="inlineStr">
        <is>
          <t>Cache</t>
        </is>
      </c>
      <c r="C96" s="39">
        <f>IF('Cache'!B7="","",'Cache'!B7)</f>
        <v/>
      </c>
      <c r="D96" s="39">
        <f>IF('Cache'!C7="","",'Cache'!C7)</f>
        <v/>
      </c>
      <c r="E96" s="39">
        <f>IF('Cache'!D7="","",'Cache'!D7)</f>
        <v/>
      </c>
      <c r="F96" s="39">
        <f>IF('Cache'!E7="","",'Cache'!E7)</f>
        <v/>
      </c>
      <c r="G96" s="40">
        <f>IF('Cache'!F7="","",'Cache'!F7)</f>
        <v/>
      </c>
      <c r="H96" s="40">
        <f>IF('Cache'!G7="","",'Cache'!G7)</f>
        <v/>
      </c>
      <c r="I96" s="39">
        <f>IF('Cache'!H7="","",'Cache'!H7)</f>
        <v/>
      </c>
      <c r="J96" s="40">
        <f>IF('Cache'!I7="","",'Cache'!I7)</f>
        <v/>
      </c>
      <c r="K96" s="39">
        <f>IF('Cache'!J7="","",'Cache'!J7)</f>
        <v/>
      </c>
      <c r="L96" s="39">
        <f>IF('Cache'!K7="","",'Cache'!K7)</f>
        <v/>
      </c>
      <c r="M96" s="39">
        <f>IF('Cache'!L7="","",'Cache'!L7)</f>
        <v/>
      </c>
      <c r="N96" s="40">
        <f>IF('Cache'!M7="","",'Cache'!M7)</f>
        <v/>
      </c>
    </row>
    <row r="97">
      <c r="A97" s="37">
        <f>IF('Cache'!A8="","",'Cache'!A8)</f>
        <v/>
      </c>
      <c r="B97" s="37" t="inlineStr">
        <is>
          <t>Cache</t>
        </is>
      </c>
      <c r="C97" s="37">
        <f>IF('Cache'!B8="","",'Cache'!B8)</f>
        <v/>
      </c>
      <c r="D97" s="37">
        <f>IF('Cache'!C8="","",'Cache'!C8)</f>
        <v/>
      </c>
      <c r="E97" s="37">
        <f>IF('Cache'!D8="","",'Cache'!D8)</f>
        <v/>
      </c>
      <c r="F97" s="37">
        <f>IF('Cache'!E8="","",'Cache'!E8)</f>
        <v/>
      </c>
      <c r="G97" s="38">
        <f>IF('Cache'!F8="","",'Cache'!F8)</f>
        <v/>
      </c>
      <c r="H97" s="38">
        <f>IF('Cache'!G8="","",'Cache'!G8)</f>
        <v/>
      </c>
      <c r="I97" s="37">
        <f>IF('Cache'!H8="","",'Cache'!H8)</f>
        <v/>
      </c>
      <c r="J97" s="38">
        <f>IF('Cache'!I8="","",'Cache'!I8)</f>
        <v/>
      </c>
      <c r="K97" s="37">
        <f>IF('Cache'!J8="","",'Cache'!J8)</f>
        <v/>
      </c>
      <c r="L97" s="37">
        <f>IF('Cache'!K8="","",'Cache'!K8)</f>
        <v/>
      </c>
      <c r="M97" s="37">
        <f>IF('Cache'!L8="","",'Cache'!L8)</f>
        <v/>
      </c>
      <c r="N97" s="38">
        <f>IF('Cache'!M8="","",'Cache'!M8)</f>
        <v/>
      </c>
    </row>
    <row r="98">
      <c r="A98" s="39">
        <f>IF('Application'!A3="","",'Application'!A3)</f>
        <v/>
      </c>
      <c r="B98" s="39" t="inlineStr">
        <is>
          <t>Application</t>
        </is>
      </c>
      <c r="C98" s="39">
        <f>IF('Application'!B3="","",'Application'!B3)</f>
        <v/>
      </c>
      <c r="D98" s="39">
        <f>IF('Application'!C3="","",'Application'!C3)</f>
        <v/>
      </c>
      <c r="E98" s="39">
        <f>IF('Application'!D3="","",'Application'!D3)</f>
        <v/>
      </c>
      <c r="F98" s="39">
        <f>IF('Application'!E3="","",'Application'!E3)</f>
        <v/>
      </c>
      <c r="G98" s="40">
        <f>IF('Application'!F3="","",'Application'!F3)</f>
        <v/>
      </c>
      <c r="H98" s="40">
        <f>IF('Application'!G3="","",'Application'!G3)</f>
        <v/>
      </c>
      <c r="I98" s="39">
        <f>IF('Application'!H3="","",'Application'!H3)</f>
        <v/>
      </c>
      <c r="J98" s="40">
        <f>IF('Application'!I3="","",'Application'!I3)</f>
        <v/>
      </c>
      <c r="K98" s="39">
        <f>IF('Application'!J3="","",'Application'!J3)</f>
        <v/>
      </c>
      <c r="L98" s="39">
        <f>IF('Application'!K3="","",'Application'!K3)</f>
        <v/>
      </c>
      <c r="M98" s="39">
        <f>IF('Application'!L3="","",'Application'!L3)</f>
        <v/>
      </c>
      <c r="N98" s="40">
        <f>IF('Application'!M3="","",'Application'!M3)</f>
        <v/>
      </c>
    </row>
    <row r="99">
      <c r="A99" s="37">
        <f>IF('Application'!A4="","",'Application'!A4)</f>
        <v/>
      </c>
      <c r="B99" s="37" t="inlineStr">
        <is>
          <t>Application</t>
        </is>
      </c>
      <c r="C99" s="37">
        <f>IF('Application'!B4="","",'Application'!B4)</f>
        <v/>
      </c>
      <c r="D99" s="37">
        <f>IF('Application'!C4="","",'Application'!C4)</f>
        <v/>
      </c>
      <c r="E99" s="37">
        <f>IF('Application'!D4="","",'Application'!D4)</f>
        <v/>
      </c>
      <c r="F99" s="37">
        <f>IF('Application'!E4="","",'Application'!E4)</f>
        <v/>
      </c>
      <c r="G99" s="38">
        <f>IF('Application'!F4="","",'Application'!F4)</f>
        <v/>
      </c>
      <c r="H99" s="38">
        <f>IF('Application'!G4="","",'Application'!G4)</f>
        <v/>
      </c>
      <c r="I99" s="37">
        <f>IF('Application'!H4="","",'Application'!H4)</f>
        <v/>
      </c>
      <c r="J99" s="38">
        <f>IF('Application'!I4="","",'Application'!I4)</f>
        <v/>
      </c>
      <c r="K99" s="37">
        <f>IF('Application'!J4="","",'Application'!J4)</f>
        <v/>
      </c>
      <c r="L99" s="37">
        <f>IF('Application'!K4="","",'Application'!K4)</f>
        <v/>
      </c>
      <c r="M99" s="37">
        <f>IF('Application'!L4="","",'Application'!L4)</f>
        <v/>
      </c>
      <c r="N99" s="38">
        <f>IF('Application'!M4="","",'Application'!M4)</f>
        <v/>
      </c>
    </row>
    <row r="100">
      <c r="A100" s="39">
        <f>IF('Application'!A5="","",'Application'!A5)</f>
        <v/>
      </c>
      <c r="B100" s="39" t="inlineStr">
        <is>
          <t>Application</t>
        </is>
      </c>
      <c r="C100" s="39">
        <f>IF('Application'!B5="","",'Application'!B5)</f>
        <v/>
      </c>
      <c r="D100" s="39">
        <f>IF('Application'!C5="","",'Application'!C5)</f>
        <v/>
      </c>
      <c r="E100" s="39">
        <f>IF('Application'!D5="","",'Application'!D5)</f>
        <v/>
      </c>
      <c r="F100" s="39">
        <f>IF('Application'!E5="","",'Application'!E5)</f>
        <v/>
      </c>
      <c r="G100" s="40">
        <f>IF('Application'!F5="","",'Application'!F5)</f>
        <v/>
      </c>
      <c r="H100" s="40">
        <f>IF('Application'!G5="","",'Application'!G5)</f>
        <v/>
      </c>
      <c r="I100" s="39">
        <f>IF('Application'!H5="","",'Application'!H5)</f>
        <v/>
      </c>
      <c r="J100" s="40">
        <f>IF('Application'!I5="","",'Application'!I5)</f>
        <v/>
      </c>
      <c r="K100" s="39">
        <f>IF('Application'!J5="","",'Application'!J5)</f>
        <v/>
      </c>
      <c r="L100" s="39">
        <f>IF('Application'!K5="","",'Application'!K5)</f>
        <v/>
      </c>
      <c r="M100" s="39">
        <f>IF('Application'!L5="","",'Application'!L5)</f>
        <v/>
      </c>
      <c r="N100" s="40">
        <f>IF('Application'!M5="","",'Application'!M5)</f>
        <v/>
      </c>
    </row>
    <row r="101">
      <c r="A101" s="37">
        <f>IF('Application'!A6="","",'Application'!A6)</f>
        <v/>
      </c>
      <c r="B101" s="37" t="inlineStr">
        <is>
          <t>Application</t>
        </is>
      </c>
      <c r="C101" s="37">
        <f>IF('Application'!B6="","",'Application'!B6)</f>
        <v/>
      </c>
      <c r="D101" s="37">
        <f>IF('Application'!C6="","",'Application'!C6)</f>
        <v/>
      </c>
      <c r="E101" s="37">
        <f>IF('Application'!D6="","",'Application'!D6)</f>
        <v/>
      </c>
      <c r="F101" s="37">
        <f>IF('Application'!E6="","",'Application'!E6)</f>
        <v/>
      </c>
      <c r="G101" s="38">
        <f>IF('Application'!F6="","",'Application'!F6)</f>
        <v/>
      </c>
      <c r="H101" s="38">
        <f>IF('Application'!G6="","",'Application'!G6)</f>
        <v/>
      </c>
      <c r="I101" s="37">
        <f>IF('Application'!H6="","",'Application'!H6)</f>
        <v/>
      </c>
      <c r="J101" s="38">
        <f>IF('Application'!I6="","",'Application'!I6)</f>
        <v/>
      </c>
      <c r="K101" s="37">
        <f>IF('Application'!J6="","",'Application'!J6)</f>
        <v/>
      </c>
      <c r="L101" s="37">
        <f>IF('Application'!K6="","",'Application'!K6)</f>
        <v/>
      </c>
      <c r="M101" s="37">
        <f>IF('Application'!L6="","",'Application'!L6)</f>
        <v/>
      </c>
      <c r="N101" s="38">
        <f>IF('Application'!M6="","",'Application'!M6)</f>
        <v/>
      </c>
    </row>
    <row r="102">
      <c r="A102" s="39">
        <f>IF('Application'!A7="","",'Application'!A7)</f>
        <v/>
      </c>
      <c r="B102" s="39" t="inlineStr">
        <is>
          <t>Application</t>
        </is>
      </c>
      <c r="C102" s="39">
        <f>IF('Application'!B7="","",'Application'!B7)</f>
        <v/>
      </c>
      <c r="D102" s="39">
        <f>IF('Application'!C7="","",'Application'!C7)</f>
        <v/>
      </c>
      <c r="E102" s="39">
        <f>IF('Application'!D7="","",'Application'!D7)</f>
        <v/>
      </c>
      <c r="F102" s="39">
        <f>IF('Application'!E7="","",'Application'!E7)</f>
        <v/>
      </c>
      <c r="G102" s="40">
        <f>IF('Application'!F7="","",'Application'!F7)</f>
        <v/>
      </c>
      <c r="H102" s="40">
        <f>IF('Application'!G7="","",'Application'!G7)</f>
        <v/>
      </c>
      <c r="I102" s="39">
        <f>IF('Application'!H7="","",'Application'!H7)</f>
        <v/>
      </c>
      <c r="J102" s="40">
        <f>IF('Application'!I7="","",'Application'!I7)</f>
        <v/>
      </c>
      <c r="K102" s="39">
        <f>IF('Application'!J7="","",'Application'!J7)</f>
        <v/>
      </c>
      <c r="L102" s="39">
        <f>IF('Application'!K7="","",'Application'!K7)</f>
        <v/>
      </c>
      <c r="M102" s="39">
        <f>IF('Application'!L7="","",'Application'!L7)</f>
        <v/>
      </c>
      <c r="N102" s="40">
        <f>IF('Application'!M7="","",'Application'!M7)</f>
        <v/>
      </c>
    </row>
    <row r="103">
      <c r="A103" s="37">
        <f>IF('Application'!A8="","",'Application'!A8)</f>
        <v/>
      </c>
      <c r="B103" s="37" t="inlineStr">
        <is>
          <t>Application</t>
        </is>
      </c>
      <c r="C103" s="37">
        <f>IF('Application'!B8="","",'Application'!B8)</f>
        <v/>
      </c>
      <c r="D103" s="37">
        <f>IF('Application'!C8="","",'Application'!C8)</f>
        <v/>
      </c>
      <c r="E103" s="37">
        <f>IF('Application'!D8="","",'Application'!D8)</f>
        <v/>
      </c>
      <c r="F103" s="37">
        <f>IF('Application'!E8="","",'Application'!E8)</f>
        <v/>
      </c>
      <c r="G103" s="38">
        <f>IF('Application'!F8="","",'Application'!F8)</f>
        <v/>
      </c>
      <c r="H103" s="38">
        <f>IF('Application'!G8="","",'Application'!G8)</f>
        <v/>
      </c>
      <c r="I103" s="37">
        <f>IF('Application'!H8="","",'Application'!H8)</f>
        <v/>
      </c>
      <c r="J103" s="38">
        <f>IF('Application'!I8="","",'Application'!I8)</f>
        <v/>
      </c>
      <c r="K103" s="37">
        <f>IF('Application'!J8="","",'Application'!J8)</f>
        <v/>
      </c>
      <c r="L103" s="37">
        <f>IF('Application'!K8="","",'Application'!K8)</f>
        <v/>
      </c>
      <c r="M103" s="37">
        <f>IF('Application'!L8="","",'Application'!L8)</f>
        <v/>
      </c>
      <c r="N103" s="38">
        <f>IF('Application'!M8="","",'Application'!M8)</f>
        <v/>
      </c>
    </row>
    <row r="104">
      <c r="A104" s="39">
        <f>IF('Application'!A9="","",'Application'!A9)</f>
        <v/>
      </c>
      <c r="B104" s="39" t="inlineStr">
        <is>
          <t>Application</t>
        </is>
      </c>
      <c r="C104" s="39">
        <f>IF('Application'!B9="","",'Application'!B9)</f>
        <v/>
      </c>
      <c r="D104" s="39">
        <f>IF('Application'!C9="","",'Application'!C9)</f>
        <v/>
      </c>
      <c r="E104" s="39">
        <f>IF('Application'!D9="","",'Application'!D9)</f>
        <v/>
      </c>
      <c r="F104" s="39">
        <f>IF('Application'!E9="","",'Application'!E9)</f>
        <v/>
      </c>
      <c r="G104" s="40">
        <f>IF('Application'!F9="","",'Application'!F9)</f>
        <v/>
      </c>
      <c r="H104" s="40">
        <f>IF('Application'!G9="","",'Application'!G9)</f>
        <v/>
      </c>
      <c r="I104" s="39">
        <f>IF('Application'!H9="","",'Application'!H9)</f>
        <v/>
      </c>
      <c r="J104" s="40">
        <f>IF('Application'!I9="","",'Application'!I9)</f>
        <v/>
      </c>
      <c r="K104" s="39">
        <f>IF('Application'!J9="","",'Application'!J9)</f>
        <v/>
      </c>
      <c r="L104" s="39">
        <f>IF('Application'!K9="","",'Application'!K9)</f>
        <v/>
      </c>
      <c r="M104" s="39">
        <f>IF('Application'!L9="","",'Application'!L9)</f>
        <v/>
      </c>
      <c r="N104" s="40">
        <f>IF('Application'!M9="","",'Application'!M9)</f>
        <v/>
      </c>
    </row>
    <row r="105">
      <c r="A105" s="37">
        <f>IF('Monitoring'!A3="","",'Monitoring'!A3)</f>
        <v/>
      </c>
      <c r="B105" s="37" t="inlineStr">
        <is>
          <t>Monitoring</t>
        </is>
      </c>
      <c r="C105" s="37">
        <f>IF('Monitoring'!B3="","",'Monitoring'!B3)</f>
        <v/>
      </c>
      <c r="D105" s="37">
        <f>IF('Monitoring'!C3="","",'Monitoring'!C3)</f>
        <v/>
      </c>
      <c r="E105" s="37">
        <f>IF('Monitoring'!D3="","",'Monitoring'!D3)</f>
        <v/>
      </c>
      <c r="F105" s="37">
        <f>IF('Monitoring'!E3="","",'Monitoring'!E3)</f>
        <v/>
      </c>
      <c r="G105" s="38">
        <f>IF('Monitoring'!F3="","",'Monitoring'!F3)</f>
        <v/>
      </c>
      <c r="H105" s="38">
        <f>IF('Monitoring'!G3="","",'Monitoring'!G3)</f>
        <v/>
      </c>
      <c r="I105" s="37">
        <f>IF('Monitoring'!H3="","",'Monitoring'!H3)</f>
        <v/>
      </c>
      <c r="J105" s="38">
        <f>IF('Monitoring'!I3="","",'Monitoring'!I3)</f>
        <v/>
      </c>
      <c r="K105" s="37">
        <f>IF('Monitoring'!J3="","",'Monitoring'!J3)</f>
        <v/>
      </c>
      <c r="L105" s="37">
        <f>IF('Monitoring'!K3="","",'Monitoring'!K3)</f>
        <v/>
      </c>
      <c r="M105" s="37">
        <f>IF('Monitoring'!L3="","",'Monitoring'!L3)</f>
        <v/>
      </c>
      <c r="N105" s="38">
        <f>IF('Monitoring'!M3="","",'Monitoring'!M3)</f>
        <v/>
      </c>
    </row>
    <row r="106">
      <c r="A106" s="39">
        <f>IF('Monitoring'!A4="","",'Monitoring'!A4)</f>
        <v/>
      </c>
      <c r="B106" s="39" t="inlineStr">
        <is>
          <t>Monitoring</t>
        </is>
      </c>
      <c r="C106" s="39">
        <f>IF('Monitoring'!B4="","",'Monitoring'!B4)</f>
        <v/>
      </c>
      <c r="D106" s="39">
        <f>IF('Monitoring'!C4="","",'Monitoring'!C4)</f>
        <v/>
      </c>
      <c r="E106" s="39">
        <f>IF('Monitoring'!D4="","",'Monitoring'!D4)</f>
        <v/>
      </c>
      <c r="F106" s="39">
        <f>IF('Monitoring'!E4="","",'Monitoring'!E4)</f>
        <v/>
      </c>
      <c r="G106" s="40">
        <f>IF('Monitoring'!F4="","",'Monitoring'!F4)</f>
        <v/>
      </c>
      <c r="H106" s="40">
        <f>IF('Monitoring'!G4="","",'Monitoring'!G4)</f>
        <v/>
      </c>
      <c r="I106" s="39">
        <f>IF('Monitoring'!H4="","",'Monitoring'!H4)</f>
        <v/>
      </c>
      <c r="J106" s="40">
        <f>IF('Monitoring'!I4="","",'Monitoring'!I4)</f>
        <v/>
      </c>
      <c r="K106" s="39">
        <f>IF('Monitoring'!J4="","",'Monitoring'!J4)</f>
        <v/>
      </c>
      <c r="L106" s="39">
        <f>IF('Monitoring'!K4="","",'Monitoring'!K4)</f>
        <v/>
      </c>
      <c r="M106" s="39">
        <f>IF('Monitoring'!L4="","",'Monitoring'!L4)</f>
        <v/>
      </c>
      <c r="N106" s="40">
        <f>IF('Monitoring'!M4="","",'Monitoring'!M4)</f>
        <v/>
      </c>
    </row>
    <row r="107">
      <c r="A107" s="37">
        <f>IF('Monitoring'!A5="","",'Monitoring'!A5)</f>
        <v/>
      </c>
      <c r="B107" s="37" t="inlineStr">
        <is>
          <t>Monitoring</t>
        </is>
      </c>
      <c r="C107" s="37">
        <f>IF('Monitoring'!B5="","",'Monitoring'!B5)</f>
        <v/>
      </c>
      <c r="D107" s="37">
        <f>IF('Monitoring'!C5="","",'Monitoring'!C5)</f>
        <v/>
      </c>
      <c r="E107" s="37">
        <f>IF('Monitoring'!D5="","",'Monitoring'!D5)</f>
        <v/>
      </c>
      <c r="F107" s="37">
        <f>IF('Monitoring'!E5="","",'Monitoring'!E5)</f>
        <v/>
      </c>
      <c r="G107" s="38">
        <f>IF('Monitoring'!F5="","",'Monitoring'!F5)</f>
        <v/>
      </c>
      <c r="H107" s="38">
        <f>IF('Monitoring'!G5="","",'Monitoring'!G5)</f>
        <v/>
      </c>
      <c r="I107" s="37">
        <f>IF('Monitoring'!H5="","",'Monitoring'!H5)</f>
        <v/>
      </c>
      <c r="J107" s="38">
        <f>IF('Monitoring'!I5="","",'Monitoring'!I5)</f>
        <v/>
      </c>
      <c r="K107" s="37">
        <f>IF('Monitoring'!J5="","",'Monitoring'!J5)</f>
        <v/>
      </c>
      <c r="L107" s="37">
        <f>IF('Monitoring'!K5="","",'Monitoring'!K5)</f>
        <v/>
      </c>
      <c r="M107" s="37">
        <f>IF('Monitoring'!L5="","",'Monitoring'!L5)</f>
        <v/>
      </c>
      <c r="N107" s="38">
        <f>IF('Monitoring'!M5="","",'Monitoring'!M5)</f>
        <v/>
      </c>
    </row>
    <row r="108">
      <c r="A108" s="39">
        <f>IF('Monitoring'!A6="","",'Monitoring'!A6)</f>
        <v/>
      </c>
      <c r="B108" s="39" t="inlineStr">
        <is>
          <t>Monitoring</t>
        </is>
      </c>
      <c r="C108" s="39">
        <f>IF('Monitoring'!B6="","",'Monitoring'!B6)</f>
        <v/>
      </c>
      <c r="D108" s="39">
        <f>IF('Monitoring'!C6="","",'Monitoring'!C6)</f>
        <v/>
      </c>
      <c r="E108" s="39">
        <f>IF('Monitoring'!D6="","",'Monitoring'!D6)</f>
        <v/>
      </c>
      <c r="F108" s="39">
        <f>IF('Monitoring'!E6="","",'Monitoring'!E6)</f>
        <v/>
      </c>
      <c r="G108" s="40">
        <f>IF('Monitoring'!F6="","",'Monitoring'!F6)</f>
        <v/>
      </c>
      <c r="H108" s="40">
        <f>IF('Monitoring'!G6="","",'Monitoring'!G6)</f>
        <v/>
      </c>
      <c r="I108" s="39">
        <f>IF('Monitoring'!H6="","",'Monitoring'!H6)</f>
        <v/>
      </c>
      <c r="J108" s="40">
        <f>IF('Monitoring'!I6="","",'Monitoring'!I6)</f>
        <v/>
      </c>
      <c r="K108" s="39">
        <f>IF('Monitoring'!J6="","",'Monitoring'!J6)</f>
        <v/>
      </c>
      <c r="L108" s="39">
        <f>IF('Monitoring'!K6="","",'Monitoring'!K6)</f>
        <v/>
      </c>
      <c r="M108" s="39">
        <f>IF('Monitoring'!L6="","",'Monitoring'!L6)</f>
        <v/>
      </c>
      <c r="N108" s="40">
        <f>IF('Monitoring'!M6="","",'Monitoring'!M6)</f>
        <v/>
      </c>
    </row>
    <row r="109">
      <c r="A109" s="37">
        <f>IF('Monitoring'!A7="","",'Monitoring'!A7)</f>
        <v/>
      </c>
      <c r="B109" s="37" t="inlineStr">
        <is>
          <t>Monitoring</t>
        </is>
      </c>
      <c r="C109" s="37">
        <f>IF('Monitoring'!B7="","",'Monitoring'!B7)</f>
        <v/>
      </c>
      <c r="D109" s="37">
        <f>IF('Monitoring'!C7="","",'Monitoring'!C7)</f>
        <v/>
      </c>
      <c r="E109" s="37">
        <f>IF('Monitoring'!D7="","",'Monitoring'!D7)</f>
        <v/>
      </c>
      <c r="F109" s="37">
        <f>IF('Monitoring'!E7="","",'Monitoring'!E7)</f>
        <v/>
      </c>
      <c r="G109" s="38">
        <f>IF('Monitoring'!F7="","",'Monitoring'!F7)</f>
        <v/>
      </c>
      <c r="H109" s="38">
        <f>IF('Monitoring'!G7="","",'Monitoring'!G7)</f>
        <v/>
      </c>
      <c r="I109" s="37">
        <f>IF('Monitoring'!H7="","",'Monitoring'!H7)</f>
        <v/>
      </c>
      <c r="J109" s="38">
        <f>IF('Monitoring'!I7="","",'Monitoring'!I7)</f>
        <v/>
      </c>
      <c r="K109" s="37">
        <f>IF('Monitoring'!J7="","",'Monitoring'!J7)</f>
        <v/>
      </c>
      <c r="L109" s="37">
        <f>IF('Monitoring'!K7="","",'Monitoring'!K7)</f>
        <v/>
      </c>
      <c r="M109" s="37">
        <f>IF('Monitoring'!L7="","",'Monitoring'!L7)</f>
        <v/>
      </c>
      <c r="N109" s="38">
        <f>IF('Monitoring'!M7="","",'Monitoring'!M7)</f>
        <v/>
      </c>
    </row>
    <row r="110">
      <c r="A110" s="39">
        <f>IF('Monitoring'!A8="","",'Monitoring'!A8)</f>
        <v/>
      </c>
      <c r="B110" s="39" t="inlineStr">
        <is>
          <t>Monitoring</t>
        </is>
      </c>
      <c r="C110" s="39">
        <f>IF('Monitoring'!B8="","",'Monitoring'!B8)</f>
        <v/>
      </c>
      <c r="D110" s="39">
        <f>IF('Monitoring'!C8="","",'Monitoring'!C8)</f>
        <v/>
      </c>
      <c r="E110" s="39">
        <f>IF('Monitoring'!D8="","",'Monitoring'!D8)</f>
        <v/>
      </c>
      <c r="F110" s="39">
        <f>IF('Monitoring'!E8="","",'Monitoring'!E8)</f>
        <v/>
      </c>
      <c r="G110" s="40">
        <f>IF('Monitoring'!F8="","",'Monitoring'!F8)</f>
        <v/>
      </c>
      <c r="H110" s="40">
        <f>IF('Monitoring'!G8="","",'Monitoring'!G8)</f>
        <v/>
      </c>
      <c r="I110" s="39">
        <f>IF('Monitoring'!H8="","",'Monitoring'!H8)</f>
        <v/>
      </c>
      <c r="J110" s="40">
        <f>IF('Monitoring'!I8="","",'Monitoring'!I8)</f>
        <v/>
      </c>
      <c r="K110" s="39">
        <f>IF('Monitoring'!J8="","",'Monitoring'!J8)</f>
        <v/>
      </c>
      <c r="L110" s="39">
        <f>IF('Monitoring'!K8="","",'Monitoring'!K8)</f>
        <v/>
      </c>
      <c r="M110" s="39">
        <f>IF('Monitoring'!L8="","",'Monitoring'!L8)</f>
        <v/>
      </c>
      <c r="N110" s="40">
        <f>IF('Monitoring'!M8="","",'Monitoring'!M8)</f>
        <v/>
      </c>
    </row>
    <row r="111">
      <c r="A111" s="37">
        <f>IF('Monitoring'!A9="","",'Monitoring'!A9)</f>
        <v/>
      </c>
      <c r="B111" s="37" t="inlineStr">
        <is>
          <t>Monitoring</t>
        </is>
      </c>
      <c r="C111" s="37">
        <f>IF('Monitoring'!B9="","",'Monitoring'!B9)</f>
        <v/>
      </c>
      <c r="D111" s="37">
        <f>IF('Monitoring'!C9="","",'Monitoring'!C9)</f>
        <v/>
      </c>
      <c r="E111" s="37">
        <f>IF('Monitoring'!D9="","",'Monitoring'!D9)</f>
        <v/>
      </c>
      <c r="F111" s="37">
        <f>IF('Monitoring'!E9="","",'Monitoring'!E9)</f>
        <v/>
      </c>
      <c r="G111" s="38">
        <f>IF('Monitoring'!F9="","",'Monitoring'!F9)</f>
        <v/>
      </c>
      <c r="H111" s="38">
        <f>IF('Monitoring'!G9="","",'Monitoring'!G9)</f>
        <v/>
      </c>
      <c r="I111" s="37">
        <f>IF('Monitoring'!H9="","",'Monitoring'!H9)</f>
        <v/>
      </c>
      <c r="J111" s="38">
        <f>IF('Monitoring'!I9="","",'Monitoring'!I9)</f>
        <v/>
      </c>
      <c r="K111" s="37">
        <f>IF('Monitoring'!J9="","",'Monitoring'!J9)</f>
        <v/>
      </c>
      <c r="L111" s="37">
        <f>IF('Monitoring'!K9="","",'Monitoring'!K9)</f>
        <v/>
      </c>
      <c r="M111" s="37">
        <f>IF('Monitoring'!L9="","",'Monitoring'!L9)</f>
        <v/>
      </c>
      <c r="N111" s="38">
        <f>IF('Monitoring'!M9="","",'Monitoring'!M9)</f>
        <v/>
      </c>
    </row>
    <row r="112">
      <c r="A112" s="39">
        <f>IF('Monitoring'!A10="","",'Monitoring'!A10)</f>
        <v/>
      </c>
      <c r="B112" s="39" t="inlineStr">
        <is>
          <t>Monitoring</t>
        </is>
      </c>
      <c r="C112" s="39">
        <f>IF('Monitoring'!B10="","",'Monitoring'!B10)</f>
        <v/>
      </c>
      <c r="D112" s="39">
        <f>IF('Monitoring'!C10="","",'Monitoring'!C10)</f>
        <v/>
      </c>
      <c r="E112" s="39">
        <f>IF('Monitoring'!D10="","",'Monitoring'!D10)</f>
        <v/>
      </c>
      <c r="F112" s="39">
        <f>IF('Monitoring'!E10="","",'Monitoring'!E10)</f>
        <v/>
      </c>
      <c r="G112" s="40">
        <f>IF('Monitoring'!F10="","",'Monitoring'!F10)</f>
        <v/>
      </c>
      <c r="H112" s="40">
        <f>IF('Monitoring'!G10="","",'Monitoring'!G10)</f>
        <v/>
      </c>
      <c r="I112" s="39">
        <f>IF('Monitoring'!H10="","",'Monitoring'!H10)</f>
        <v/>
      </c>
      <c r="J112" s="40">
        <f>IF('Monitoring'!I10="","",'Monitoring'!I10)</f>
        <v/>
      </c>
      <c r="K112" s="39">
        <f>IF('Monitoring'!J10="","",'Monitoring'!J10)</f>
        <v/>
      </c>
      <c r="L112" s="39">
        <f>IF('Monitoring'!K10="","",'Monitoring'!K10)</f>
        <v/>
      </c>
      <c r="M112" s="39">
        <f>IF('Monitoring'!L10="","",'Monitoring'!L10)</f>
        <v/>
      </c>
      <c r="N112" s="40">
        <f>IF('Monitoring'!M10="","",'Monitoring'!M10)</f>
        <v/>
      </c>
    </row>
    <row r="113">
      <c r="A113" s="37">
        <f>IF('Monitoring'!A11="","",'Monitoring'!A11)</f>
        <v/>
      </c>
      <c r="B113" s="37" t="inlineStr">
        <is>
          <t>Monitoring</t>
        </is>
      </c>
      <c r="C113" s="37">
        <f>IF('Monitoring'!B11="","",'Monitoring'!B11)</f>
        <v/>
      </c>
      <c r="D113" s="37">
        <f>IF('Monitoring'!C11="","",'Monitoring'!C11)</f>
        <v/>
      </c>
      <c r="E113" s="37">
        <f>IF('Monitoring'!D11="","",'Monitoring'!D11)</f>
        <v/>
      </c>
      <c r="F113" s="37">
        <f>IF('Monitoring'!E11="","",'Monitoring'!E11)</f>
        <v/>
      </c>
      <c r="G113" s="38">
        <f>IF('Monitoring'!F11="","",'Monitoring'!F11)</f>
        <v/>
      </c>
      <c r="H113" s="38">
        <f>IF('Monitoring'!G11="","",'Monitoring'!G11)</f>
        <v/>
      </c>
      <c r="I113" s="37">
        <f>IF('Monitoring'!H11="","",'Monitoring'!H11)</f>
        <v/>
      </c>
      <c r="J113" s="38">
        <f>IF('Monitoring'!I11="","",'Monitoring'!I11)</f>
        <v/>
      </c>
      <c r="K113" s="37">
        <f>IF('Monitoring'!J11="","",'Monitoring'!J11)</f>
        <v/>
      </c>
      <c r="L113" s="37">
        <f>IF('Monitoring'!K11="","",'Monitoring'!K11)</f>
        <v/>
      </c>
      <c r="M113" s="37">
        <f>IF('Monitoring'!L11="","",'Monitoring'!L11)</f>
        <v/>
      </c>
      <c r="N113" s="38">
        <f>IF('Monitoring'!M11="","",'Monitoring'!M11)</f>
        <v/>
      </c>
    </row>
    <row r="114">
      <c r="A114" s="39">
        <f>IF('Monitoring'!A12="","",'Monitoring'!A12)</f>
        <v/>
      </c>
      <c r="B114" s="39" t="inlineStr">
        <is>
          <t>Monitoring</t>
        </is>
      </c>
      <c r="C114" s="39">
        <f>IF('Monitoring'!B12="","",'Monitoring'!B12)</f>
        <v/>
      </c>
      <c r="D114" s="39">
        <f>IF('Monitoring'!C12="","",'Monitoring'!C12)</f>
        <v/>
      </c>
      <c r="E114" s="39">
        <f>IF('Monitoring'!D12="","",'Monitoring'!D12)</f>
        <v/>
      </c>
      <c r="F114" s="39">
        <f>IF('Monitoring'!E12="","",'Monitoring'!E12)</f>
        <v/>
      </c>
      <c r="G114" s="40">
        <f>IF('Monitoring'!F12="","",'Monitoring'!F12)</f>
        <v/>
      </c>
      <c r="H114" s="40">
        <f>IF('Monitoring'!G12="","",'Monitoring'!G12)</f>
        <v/>
      </c>
      <c r="I114" s="39">
        <f>IF('Monitoring'!H12="","",'Monitoring'!H12)</f>
        <v/>
      </c>
      <c r="J114" s="40">
        <f>IF('Monitoring'!I12="","",'Monitoring'!I12)</f>
        <v/>
      </c>
      <c r="K114" s="39">
        <f>IF('Monitoring'!J12="","",'Monitoring'!J12)</f>
        <v/>
      </c>
      <c r="L114" s="39">
        <f>IF('Monitoring'!K12="","",'Monitoring'!K12)</f>
        <v/>
      </c>
      <c r="M114" s="39">
        <f>IF('Monitoring'!L12="","",'Monitoring'!L12)</f>
        <v/>
      </c>
      <c r="N114" s="40">
        <f>IF('Monitoring'!M12="","",'Monitoring'!M12)</f>
        <v/>
      </c>
    </row>
    <row r="115">
      <c r="A115" s="37">
        <f>IF('Monitoring'!A13="","",'Monitoring'!A13)</f>
        <v/>
      </c>
      <c r="B115" s="37" t="inlineStr">
        <is>
          <t>Monitoring</t>
        </is>
      </c>
      <c r="C115" s="37">
        <f>IF('Monitoring'!B13="","",'Monitoring'!B13)</f>
        <v/>
      </c>
      <c r="D115" s="37">
        <f>IF('Monitoring'!C13="","",'Monitoring'!C13)</f>
        <v/>
      </c>
      <c r="E115" s="37">
        <f>IF('Monitoring'!D13="","",'Monitoring'!D13)</f>
        <v/>
      </c>
      <c r="F115" s="37">
        <f>IF('Monitoring'!E13="","",'Monitoring'!E13)</f>
        <v/>
      </c>
      <c r="G115" s="38">
        <f>IF('Monitoring'!F13="","",'Monitoring'!F13)</f>
        <v/>
      </c>
      <c r="H115" s="38">
        <f>IF('Monitoring'!G13="","",'Monitoring'!G13)</f>
        <v/>
      </c>
      <c r="I115" s="37">
        <f>IF('Monitoring'!H13="","",'Monitoring'!H13)</f>
        <v/>
      </c>
      <c r="J115" s="38">
        <f>IF('Monitoring'!I13="","",'Monitoring'!I13)</f>
        <v/>
      </c>
      <c r="K115" s="37">
        <f>IF('Monitoring'!J13="","",'Monitoring'!J13)</f>
        <v/>
      </c>
      <c r="L115" s="37">
        <f>IF('Monitoring'!K13="","",'Monitoring'!K13)</f>
        <v/>
      </c>
      <c r="M115" s="37">
        <f>IF('Monitoring'!L13="","",'Monitoring'!L13)</f>
        <v/>
      </c>
      <c r="N115" s="38">
        <f>IF('Monitoring'!M13="","",'Monitoring'!M13)</f>
        <v/>
      </c>
    </row>
    <row r="116">
      <c r="A116" s="39">
        <f>IF('Integration'!A3="","",'Integration'!A3)</f>
        <v/>
      </c>
      <c r="B116" s="39" t="inlineStr">
        <is>
          <t>Integration</t>
        </is>
      </c>
      <c r="C116" s="39">
        <f>IF('Integration'!B3="","",'Integration'!B3)</f>
        <v/>
      </c>
      <c r="D116" s="39">
        <f>IF('Integration'!C3="","",'Integration'!C3)</f>
        <v/>
      </c>
      <c r="E116" s="39">
        <f>IF('Integration'!D3="","",'Integration'!D3)</f>
        <v/>
      </c>
      <c r="F116" s="39">
        <f>IF('Integration'!E3="","",'Integration'!E3)</f>
        <v/>
      </c>
      <c r="G116" s="40">
        <f>IF('Integration'!F3="","",'Integration'!F3)</f>
        <v/>
      </c>
      <c r="H116" s="40">
        <f>IF('Integration'!G3="","",'Integration'!G3)</f>
        <v/>
      </c>
      <c r="I116" s="39">
        <f>IF('Integration'!H3="","",'Integration'!H3)</f>
        <v/>
      </c>
      <c r="J116" s="40">
        <f>IF('Integration'!I3="","",'Integration'!I3)</f>
        <v/>
      </c>
      <c r="K116" s="39">
        <f>IF('Integration'!J3="","",'Integration'!J3)</f>
        <v/>
      </c>
      <c r="L116" s="39">
        <f>IF('Integration'!K3="","",'Integration'!K3)</f>
        <v/>
      </c>
      <c r="M116" s="39">
        <f>IF('Integration'!L3="","",'Integration'!L3)</f>
        <v/>
      </c>
      <c r="N116" s="40">
        <f>IF('Integration'!M3="","",'Integration'!M3)</f>
        <v/>
      </c>
    </row>
    <row r="117">
      <c r="A117" s="37">
        <f>IF('Integration'!A4="","",'Integration'!A4)</f>
        <v/>
      </c>
      <c r="B117" s="37" t="inlineStr">
        <is>
          <t>Integration</t>
        </is>
      </c>
      <c r="C117" s="37">
        <f>IF('Integration'!B4="","",'Integration'!B4)</f>
        <v/>
      </c>
      <c r="D117" s="37">
        <f>IF('Integration'!C4="","",'Integration'!C4)</f>
        <v/>
      </c>
      <c r="E117" s="37">
        <f>IF('Integration'!D4="","",'Integration'!D4)</f>
        <v/>
      </c>
      <c r="F117" s="37">
        <f>IF('Integration'!E4="","",'Integration'!E4)</f>
        <v/>
      </c>
      <c r="G117" s="38">
        <f>IF('Integration'!F4="","",'Integration'!F4)</f>
        <v/>
      </c>
      <c r="H117" s="38">
        <f>IF('Integration'!G4="","",'Integration'!G4)</f>
        <v/>
      </c>
      <c r="I117" s="37">
        <f>IF('Integration'!H4="","",'Integration'!H4)</f>
        <v/>
      </c>
      <c r="J117" s="38">
        <f>IF('Integration'!I4="","",'Integration'!I4)</f>
        <v/>
      </c>
      <c r="K117" s="37">
        <f>IF('Integration'!J4="","",'Integration'!J4)</f>
        <v/>
      </c>
      <c r="L117" s="37">
        <f>IF('Integration'!K4="","",'Integration'!K4)</f>
        <v/>
      </c>
      <c r="M117" s="37">
        <f>IF('Integration'!L4="","",'Integration'!L4)</f>
        <v/>
      </c>
      <c r="N117" s="38">
        <f>IF('Integration'!M4="","",'Integration'!M4)</f>
        <v/>
      </c>
    </row>
    <row r="118">
      <c r="A118" s="39">
        <f>IF('Integration'!A5="","",'Integration'!A5)</f>
        <v/>
      </c>
      <c r="B118" s="39" t="inlineStr">
        <is>
          <t>Integration</t>
        </is>
      </c>
      <c r="C118" s="39">
        <f>IF('Integration'!B5="","",'Integration'!B5)</f>
        <v/>
      </c>
      <c r="D118" s="39">
        <f>IF('Integration'!C5="","",'Integration'!C5)</f>
        <v/>
      </c>
      <c r="E118" s="39">
        <f>IF('Integration'!D5="","",'Integration'!D5)</f>
        <v/>
      </c>
      <c r="F118" s="39">
        <f>IF('Integration'!E5="","",'Integration'!E5)</f>
        <v/>
      </c>
      <c r="G118" s="40">
        <f>IF('Integration'!F5="","",'Integration'!F5)</f>
        <v/>
      </c>
      <c r="H118" s="40">
        <f>IF('Integration'!G5="","",'Integration'!G5)</f>
        <v/>
      </c>
      <c r="I118" s="39">
        <f>IF('Integration'!H5="","",'Integration'!H5)</f>
        <v/>
      </c>
      <c r="J118" s="40">
        <f>IF('Integration'!I5="","",'Integration'!I5)</f>
        <v/>
      </c>
      <c r="K118" s="39">
        <f>IF('Integration'!J5="","",'Integration'!J5)</f>
        <v/>
      </c>
      <c r="L118" s="39">
        <f>IF('Integration'!K5="","",'Integration'!K5)</f>
        <v/>
      </c>
      <c r="M118" s="39">
        <f>IF('Integration'!L5="","",'Integration'!L5)</f>
        <v/>
      </c>
      <c r="N118" s="40">
        <f>IF('Integration'!M5="","",'Integration'!M5)</f>
        <v/>
      </c>
    </row>
    <row r="119">
      <c r="A119" s="37">
        <f>IF('Integration'!A6="","",'Integration'!A6)</f>
        <v/>
      </c>
      <c r="B119" s="37" t="inlineStr">
        <is>
          <t>Integration</t>
        </is>
      </c>
      <c r="C119" s="37">
        <f>IF('Integration'!B6="","",'Integration'!B6)</f>
        <v/>
      </c>
      <c r="D119" s="37">
        <f>IF('Integration'!C6="","",'Integration'!C6)</f>
        <v/>
      </c>
      <c r="E119" s="37">
        <f>IF('Integration'!D6="","",'Integration'!D6)</f>
        <v/>
      </c>
      <c r="F119" s="37">
        <f>IF('Integration'!E6="","",'Integration'!E6)</f>
        <v/>
      </c>
      <c r="G119" s="38">
        <f>IF('Integration'!F6="","",'Integration'!F6)</f>
        <v/>
      </c>
      <c r="H119" s="38">
        <f>IF('Integration'!G6="","",'Integration'!G6)</f>
        <v/>
      </c>
      <c r="I119" s="37">
        <f>IF('Integration'!H6="","",'Integration'!H6)</f>
        <v/>
      </c>
      <c r="J119" s="38">
        <f>IF('Integration'!I6="","",'Integration'!I6)</f>
        <v/>
      </c>
      <c r="K119" s="37">
        <f>IF('Integration'!J6="","",'Integration'!J6)</f>
        <v/>
      </c>
      <c r="L119" s="37">
        <f>IF('Integration'!K6="","",'Integration'!K6)</f>
        <v/>
      </c>
      <c r="M119" s="37">
        <f>IF('Integration'!L6="","",'Integration'!L6)</f>
        <v/>
      </c>
      <c r="N119" s="38">
        <f>IF('Integration'!M6="","",'Integration'!M6)</f>
        <v/>
      </c>
    </row>
    <row r="120">
      <c r="A120" s="39">
        <f>IF('Integration'!A7="","",'Integration'!A7)</f>
        <v/>
      </c>
      <c r="B120" s="39" t="inlineStr">
        <is>
          <t>Integration</t>
        </is>
      </c>
      <c r="C120" s="39">
        <f>IF('Integration'!B7="","",'Integration'!B7)</f>
        <v/>
      </c>
      <c r="D120" s="39">
        <f>IF('Integration'!C7="","",'Integration'!C7)</f>
        <v/>
      </c>
      <c r="E120" s="39">
        <f>IF('Integration'!D7="","",'Integration'!D7)</f>
        <v/>
      </c>
      <c r="F120" s="39">
        <f>IF('Integration'!E7="","",'Integration'!E7)</f>
        <v/>
      </c>
      <c r="G120" s="40">
        <f>IF('Integration'!F7="","",'Integration'!F7)</f>
        <v/>
      </c>
      <c r="H120" s="40">
        <f>IF('Integration'!G7="","",'Integration'!G7)</f>
        <v/>
      </c>
      <c r="I120" s="39">
        <f>IF('Integration'!H7="","",'Integration'!H7)</f>
        <v/>
      </c>
      <c r="J120" s="40">
        <f>IF('Integration'!I7="","",'Integration'!I7)</f>
        <v/>
      </c>
      <c r="K120" s="39">
        <f>IF('Integration'!J7="","",'Integration'!J7)</f>
        <v/>
      </c>
      <c r="L120" s="39">
        <f>IF('Integration'!K7="","",'Integration'!K7)</f>
        <v/>
      </c>
      <c r="M120" s="39">
        <f>IF('Integration'!L7="","",'Integration'!L7)</f>
        <v/>
      </c>
      <c r="N120" s="40">
        <f>IF('Integration'!M7="","",'Integration'!M7)</f>
        <v/>
      </c>
    </row>
    <row r="121">
      <c r="A121" s="37">
        <f>IF('Integration'!A8="","",'Integration'!A8)</f>
        <v/>
      </c>
      <c r="B121" s="37" t="inlineStr">
        <is>
          <t>Integration</t>
        </is>
      </c>
      <c r="C121" s="37">
        <f>IF('Integration'!B8="","",'Integration'!B8)</f>
        <v/>
      </c>
      <c r="D121" s="37">
        <f>IF('Integration'!C8="","",'Integration'!C8)</f>
        <v/>
      </c>
      <c r="E121" s="37">
        <f>IF('Integration'!D8="","",'Integration'!D8)</f>
        <v/>
      </c>
      <c r="F121" s="37">
        <f>IF('Integration'!E8="","",'Integration'!E8)</f>
        <v/>
      </c>
      <c r="G121" s="38">
        <f>IF('Integration'!F8="","",'Integration'!F8)</f>
        <v/>
      </c>
      <c r="H121" s="38">
        <f>IF('Integration'!G8="","",'Integration'!G8)</f>
        <v/>
      </c>
      <c r="I121" s="37">
        <f>IF('Integration'!H8="","",'Integration'!H8)</f>
        <v/>
      </c>
      <c r="J121" s="38">
        <f>IF('Integration'!I8="","",'Integration'!I8)</f>
        <v/>
      </c>
      <c r="K121" s="37">
        <f>IF('Integration'!J8="","",'Integration'!J8)</f>
        <v/>
      </c>
      <c r="L121" s="37">
        <f>IF('Integration'!K8="","",'Integration'!K8)</f>
        <v/>
      </c>
      <c r="M121" s="37">
        <f>IF('Integration'!L8="","",'Integration'!L8)</f>
        <v/>
      </c>
      <c r="N121" s="38">
        <f>IF('Integration'!M8="","",'Integration'!M8)</f>
        <v/>
      </c>
    </row>
    <row r="122">
      <c r="A122" s="39">
        <f>IF('Integration'!A9="","",'Integration'!A9)</f>
        <v/>
      </c>
      <c r="B122" s="39" t="inlineStr">
        <is>
          <t>Integration</t>
        </is>
      </c>
      <c r="C122" s="39">
        <f>IF('Integration'!B9="","",'Integration'!B9)</f>
        <v/>
      </c>
      <c r="D122" s="39">
        <f>IF('Integration'!C9="","",'Integration'!C9)</f>
        <v/>
      </c>
      <c r="E122" s="39">
        <f>IF('Integration'!D9="","",'Integration'!D9)</f>
        <v/>
      </c>
      <c r="F122" s="39">
        <f>IF('Integration'!E9="","",'Integration'!E9)</f>
        <v/>
      </c>
      <c r="G122" s="40">
        <f>IF('Integration'!F9="","",'Integration'!F9)</f>
        <v/>
      </c>
      <c r="H122" s="40">
        <f>IF('Integration'!G9="","",'Integration'!G9)</f>
        <v/>
      </c>
      <c r="I122" s="39">
        <f>IF('Integration'!H9="","",'Integration'!H9)</f>
        <v/>
      </c>
      <c r="J122" s="40">
        <f>IF('Integration'!I9="","",'Integration'!I9)</f>
        <v/>
      </c>
      <c r="K122" s="39">
        <f>IF('Integration'!J9="","",'Integration'!J9)</f>
        <v/>
      </c>
      <c r="L122" s="39">
        <f>IF('Integration'!K9="","",'Integration'!K9)</f>
        <v/>
      </c>
      <c r="M122" s="39">
        <f>IF('Integration'!L9="","",'Integration'!L9)</f>
        <v/>
      </c>
      <c r="N122" s="40">
        <f>IF('Integration'!M9="","",'Integration'!M9)</f>
        <v/>
      </c>
    </row>
    <row r="123">
      <c r="A123" s="37">
        <f>IF('Integration'!A10="","",'Integration'!A10)</f>
        <v/>
      </c>
      <c r="B123" s="37" t="inlineStr">
        <is>
          <t>Integration</t>
        </is>
      </c>
      <c r="C123" s="37">
        <f>IF('Integration'!B10="","",'Integration'!B10)</f>
        <v/>
      </c>
      <c r="D123" s="37">
        <f>IF('Integration'!C10="","",'Integration'!C10)</f>
        <v/>
      </c>
      <c r="E123" s="37">
        <f>IF('Integration'!D10="","",'Integration'!D10)</f>
        <v/>
      </c>
      <c r="F123" s="37">
        <f>IF('Integration'!E10="","",'Integration'!E10)</f>
        <v/>
      </c>
      <c r="G123" s="38">
        <f>IF('Integration'!F10="","",'Integration'!F10)</f>
        <v/>
      </c>
      <c r="H123" s="38">
        <f>IF('Integration'!G10="","",'Integration'!G10)</f>
        <v/>
      </c>
      <c r="I123" s="37">
        <f>IF('Integration'!H10="","",'Integration'!H10)</f>
        <v/>
      </c>
      <c r="J123" s="38">
        <f>IF('Integration'!I10="","",'Integration'!I10)</f>
        <v/>
      </c>
      <c r="K123" s="37">
        <f>IF('Integration'!J10="","",'Integration'!J10)</f>
        <v/>
      </c>
      <c r="L123" s="37">
        <f>IF('Integration'!K10="","",'Integration'!K10)</f>
        <v/>
      </c>
      <c r="M123" s="37">
        <f>IF('Integration'!L10="","",'Integration'!L10)</f>
        <v/>
      </c>
      <c r="N123" s="38">
        <f>IF('Integration'!M10="","",'Integration'!M10)</f>
        <v/>
      </c>
    </row>
    <row r="124">
      <c r="A124" s="39">
        <f>IF('Integration'!A11="","",'Integration'!A11)</f>
        <v/>
      </c>
      <c r="B124" s="39" t="inlineStr">
        <is>
          <t>Integration</t>
        </is>
      </c>
      <c r="C124" s="39">
        <f>IF('Integration'!B11="","",'Integration'!B11)</f>
        <v/>
      </c>
      <c r="D124" s="39">
        <f>IF('Integration'!C11="","",'Integration'!C11)</f>
        <v/>
      </c>
      <c r="E124" s="39">
        <f>IF('Integration'!D11="","",'Integration'!D11)</f>
        <v/>
      </c>
      <c r="F124" s="39">
        <f>IF('Integration'!E11="","",'Integration'!E11)</f>
        <v/>
      </c>
      <c r="G124" s="40">
        <f>IF('Integration'!F11="","",'Integration'!F11)</f>
        <v/>
      </c>
      <c r="H124" s="40">
        <f>IF('Integration'!G11="","",'Integration'!G11)</f>
        <v/>
      </c>
      <c r="I124" s="39">
        <f>IF('Integration'!H11="","",'Integration'!H11)</f>
        <v/>
      </c>
      <c r="J124" s="40">
        <f>IF('Integration'!I11="","",'Integration'!I11)</f>
        <v/>
      </c>
      <c r="K124" s="39">
        <f>IF('Integration'!J11="","",'Integration'!J11)</f>
        <v/>
      </c>
      <c r="L124" s="39">
        <f>IF('Integration'!K11="","",'Integration'!K11)</f>
        <v/>
      </c>
      <c r="M124" s="39">
        <f>IF('Integration'!L11="","",'Integration'!L11)</f>
        <v/>
      </c>
      <c r="N124" s="40">
        <f>IF('Integration'!M11="","",'Integration'!M11)</f>
        <v/>
      </c>
    </row>
    <row r="125">
      <c r="A125" s="37">
        <f>IF('ML Platform'!A3="","",'ML Platform'!A3)</f>
        <v/>
      </c>
      <c r="B125" s="37" t="inlineStr">
        <is>
          <t>ML Platform</t>
        </is>
      </c>
      <c r="C125" s="37">
        <f>IF('ML Platform'!B3="","",'ML Platform'!B3)</f>
        <v/>
      </c>
      <c r="D125" s="37">
        <f>IF('ML Platform'!C3="","",'ML Platform'!C3)</f>
        <v/>
      </c>
      <c r="E125" s="37">
        <f>IF('ML Platform'!D3="","",'ML Platform'!D3)</f>
        <v/>
      </c>
      <c r="F125" s="37">
        <f>IF('ML Platform'!E3="","",'ML Platform'!E3)</f>
        <v/>
      </c>
      <c r="G125" s="38">
        <f>IF('ML Platform'!F3="","",'ML Platform'!F3)</f>
        <v/>
      </c>
      <c r="H125" s="38">
        <f>IF('ML Platform'!G3="","",'ML Platform'!G3)</f>
        <v/>
      </c>
      <c r="I125" s="37">
        <f>IF('ML Platform'!H3="","",'ML Platform'!H3)</f>
        <v/>
      </c>
      <c r="J125" s="38">
        <f>IF('ML Platform'!I3="","",'ML Platform'!I3)</f>
        <v/>
      </c>
      <c r="K125" s="37">
        <f>IF('ML Platform'!J3="","",'ML Platform'!J3)</f>
        <v/>
      </c>
      <c r="L125" s="37">
        <f>IF('ML Platform'!K3="","",'ML Platform'!K3)</f>
        <v/>
      </c>
      <c r="M125" s="37">
        <f>IF('ML Platform'!L3="","",'ML Platform'!L3)</f>
        <v/>
      </c>
      <c r="N125" s="38">
        <f>IF('ML Platform'!M3="","",'ML Platform'!M3)</f>
        <v/>
      </c>
    </row>
    <row r="126">
      <c r="A126" s="39">
        <f>IF('ML Platform'!A4="","",'ML Platform'!A4)</f>
        <v/>
      </c>
      <c r="B126" s="39" t="inlineStr">
        <is>
          <t>ML Platform</t>
        </is>
      </c>
      <c r="C126" s="39">
        <f>IF('ML Platform'!B4="","",'ML Platform'!B4)</f>
        <v/>
      </c>
      <c r="D126" s="39">
        <f>IF('ML Platform'!C4="","",'ML Platform'!C4)</f>
        <v/>
      </c>
      <c r="E126" s="39">
        <f>IF('ML Platform'!D4="","",'ML Platform'!D4)</f>
        <v/>
      </c>
      <c r="F126" s="39">
        <f>IF('ML Platform'!E4="","",'ML Platform'!E4)</f>
        <v/>
      </c>
      <c r="G126" s="40">
        <f>IF('ML Platform'!F4="","",'ML Platform'!F4)</f>
        <v/>
      </c>
      <c r="H126" s="40">
        <f>IF('ML Platform'!G4="","",'ML Platform'!G4)</f>
        <v/>
      </c>
      <c r="I126" s="39">
        <f>IF('ML Platform'!H4="","",'ML Platform'!H4)</f>
        <v/>
      </c>
      <c r="J126" s="40">
        <f>IF('ML Platform'!I4="","",'ML Platform'!I4)</f>
        <v/>
      </c>
      <c r="K126" s="39">
        <f>IF('ML Platform'!J4="","",'ML Platform'!J4)</f>
        <v/>
      </c>
      <c r="L126" s="39">
        <f>IF('ML Platform'!K4="","",'ML Platform'!K4)</f>
        <v/>
      </c>
      <c r="M126" s="39">
        <f>IF('ML Platform'!L4="","",'ML Platform'!L4)</f>
        <v/>
      </c>
      <c r="N126" s="40">
        <f>IF('ML Platform'!M4="","",'ML Platform'!M4)</f>
        <v/>
      </c>
    </row>
    <row r="127">
      <c r="A127" s="37">
        <f>IF('ML Platform'!A5="","",'ML Platform'!A5)</f>
        <v/>
      </c>
      <c r="B127" s="37" t="inlineStr">
        <is>
          <t>ML Platform</t>
        </is>
      </c>
      <c r="C127" s="37">
        <f>IF('ML Platform'!B5="","",'ML Platform'!B5)</f>
        <v/>
      </c>
      <c r="D127" s="37">
        <f>IF('ML Platform'!C5="","",'ML Platform'!C5)</f>
        <v/>
      </c>
      <c r="E127" s="37">
        <f>IF('ML Platform'!D5="","",'ML Platform'!D5)</f>
        <v/>
      </c>
      <c r="F127" s="37">
        <f>IF('ML Platform'!E5="","",'ML Platform'!E5)</f>
        <v/>
      </c>
      <c r="G127" s="38">
        <f>IF('ML Platform'!F5="","",'ML Platform'!F5)</f>
        <v/>
      </c>
      <c r="H127" s="38">
        <f>IF('ML Platform'!G5="","",'ML Platform'!G5)</f>
        <v/>
      </c>
      <c r="I127" s="37">
        <f>IF('ML Platform'!H5="","",'ML Platform'!H5)</f>
        <v/>
      </c>
      <c r="J127" s="38">
        <f>IF('ML Platform'!I5="","",'ML Platform'!I5)</f>
        <v/>
      </c>
      <c r="K127" s="37">
        <f>IF('ML Platform'!J5="","",'ML Platform'!J5)</f>
        <v/>
      </c>
      <c r="L127" s="37">
        <f>IF('ML Platform'!K5="","",'ML Platform'!K5)</f>
        <v/>
      </c>
      <c r="M127" s="37">
        <f>IF('ML Platform'!L5="","",'ML Platform'!L5)</f>
        <v/>
      </c>
      <c r="N127" s="38">
        <f>IF('ML Platform'!M5="","",'ML Platform'!M5)</f>
        <v/>
      </c>
    </row>
    <row r="128">
      <c r="A128" s="39">
        <f>IF('ML Platform'!A6="","",'ML Platform'!A6)</f>
        <v/>
      </c>
      <c r="B128" s="39" t="inlineStr">
        <is>
          <t>ML Platform</t>
        </is>
      </c>
      <c r="C128" s="39">
        <f>IF('ML Platform'!B6="","",'ML Platform'!B6)</f>
        <v/>
      </c>
      <c r="D128" s="39">
        <f>IF('ML Platform'!C6="","",'ML Platform'!C6)</f>
        <v/>
      </c>
      <c r="E128" s="39">
        <f>IF('ML Platform'!D6="","",'ML Platform'!D6)</f>
        <v/>
      </c>
      <c r="F128" s="39">
        <f>IF('ML Platform'!E6="","",'ML Platform'!E6)</f>
        <v/>
      </c>
      <c r="G128" s="40">
        <f>IF('ML Platform'!F6="","",'ML Platform'!F6)</f>
        <v/>
      </c>
      <c r="H128" s="40">
        <f>IF('ML Platform'!G6="","",'ML Platform'!G6)</f>
        <v/>
      </c>
      <c r="I128" s="39">
        <f>IF('ML Platform'!H6="","",'ML Platform'!H6)</f>
        <v/>
      </c>
      <c r="J128" s="40">
        <f>IF('ML Platform'!I6="","",'ML Platform'!I6)</f>
        <v/>
      </c>
      <c r="K128" s="39">
        <f>IF('ML Platform'!J6="","",'ML Platform'!J6)</f>
        <v/>
      </c>
      <c r="L128" s="39">
        <f>IF('ML Platform'!K6="","",'ML Platform'!K6)</f>
        <v/>
      </c>
      <c r="M128" s="39">
        <f>IF('ML Platform'!L6="","",'ML Platform'!L6)</f>
        <v/>
      </c>
      <c r="N128" s="40">
        <f>IF('ML Platform'!M6="","",'ML Platform'!M6)</f>
        <v/>
      </c>
    </row>
    <row r="129">
      <c r="A129" s="37">
        <f>IF('ML Platform'!A7="","",'ML Platform'!A7)</f>
        <v/>
      </c>
      <c r="B129" s="37" t="inlineStr">
        <is>
          <t>ML Platform</t>
        </is>
      </c>
      <c r="C129" s="37">
        <f>IF('ML Platform'!B7="","",'ML Platform'!B7)</f>
        <v/>
      </c>
      <c r="D129" s="37">
        <f>IF('ML Platform'!C7="","",'ML Platform'!C7)</f>
        <v/>
      </c>
      <c r="E129" s="37">
        <f>IF('ML Platform'!D7="","",'ML Platform'!D7)</f>
        <v/>
      </c>
      <c r="F129" s="37">
        <f>IF('ML Platform'!E7="","",'ML Platform'!E7)</f>
        <v/>
      </c>
      <c r="G129" s="38">
        <f>IF('ML Platform'!F7="","",'ML Platform'!F7)</f>
        <v/>
      </c>
      <c r="H129" s="38">
        <f>IF('ML Platform'!G7="","",'ML Platform'!G7)</f>
        <v/>
      </c>
      <c r="I129" s="37">
        <f>IF('ML Platform'!H7="","",'ML Platform'!H7)</f>
        <v/>
      </c>
      <c r="J129" s="38">
        <f>IF('ML Platform'!I7="","",'ML Platform'!I7)</f>
        <v/>
      </c>
      <c r="K129" s="37">
        <f>IF('ML Platform'!J7="","",'ML Platform'!J7)</f>
        <v/>
      </c>
      <c r="L129" s="37">
        <f>IF('ML Platform'!K7="","",'ML Platform'!K7)</f>
        <v/>
      </c>
      <c r="M129" s="37">
        <f>IF('ML Platform'!L7="","",'ML Platform'!L7)</f>
        <v/>
      </c>
      <c r="N129" s="38">
        <f>IF('ML Platform'!M7="","",'ML Platform'!M7)</f>
        <v/>
      </c>
    </row>
    <row r="130">
      <c r="A130" s="39">
        <f>IF('ML Platform'!A8="","",'ML Platform'!A8)</f>
        <v/>
      </c>
      <c r="B130" s="39" t="inlineStr">
        <is>
          <t>ML Platform</t>
        </is>
      </c>
      <c r="C130" s="39">
        <f>IF('ML Platform'!B8="","",'ML Platform'!B8)</f>
        <v/>
      </c>
      <c r="D130" s="39">
        <f>IF('ML Platform'!C8="","",'ML Platform'!C8)</f>
        <v/>
      </c>
      <c r="E130" s="39">
        <f>IF('ML Platform'!D8="","",'ML Platform'!D8)</f>
        <v/>
      </c>
      <c r="F130" s="39">
        <f>IF('ML Platform'!E8="","",'ML Platform'!E8)</f>
        <v/>
      </c>
      <c r="G130" s="40">
        <f>IF('ML Platform'!F8="","",'ML Platform'!F8)</f>
        <v/>
      </c>
      <c r="H130" s="40">
        <f>IF('ML Platform'!G8="","",'ML Platform'!G8)</f>
        <v/>
      </c>
      <c r="I130" s="39">
        <f>IF('ML Platform'!H8="","",'ML Platform'!H8)</f>
        <v/>
      </c>
      <c r="J130" s="40">
        <f>IF('ML Platform'!I8="","",'ML Platform'!I8)</f>
        <v/>
      </c>
      <c r="K130" s="39">
        <f>IF('ML Platform'!J8="","",'ML Platform'!J8)</f>
        <v/>
      </c>
      <c r="L130" s="39">
        <f>IF('ML Platform'!K8="","",'ML Platform'!K8)</f>
        <v/>
      </c>
      <c r="M130" s="39">
        <f>IF('ML Platform'!L8="","",'ML Platform'!L8)</f>
        <v/>
      </c>
      <c r="N130" s="40">
        <f>IF('ML Platform'!M8="","",'ML Platform'!M8)</f>
        <v/>
      </c>
    </row>
    <row r="131">
      <c r="A131" s="37">
        <f>IF('ML Platform'!A9="","",'ML Platform'!A9)</f>
        <v/>
      </c>
      <c r="B131" s="37" t="inlineStr">
        <is>
          <t>ML Platform</t>
        </is>
      </c>
      <c r="C131" s="37">
        <f>IF('ML Platform'!B9="","",'ML Platform'!B9)</f>
        <v/>
      </c>
      <c r="D131" s="37">
        <f>IF('ML Platform'!C9="","",'ML Platform'!C9)</f>
        <v/>
      </c>
      <c r="E131" s="37">
        <f>IF('ML Platform'!D9="","",'ML Platform'!D9)</f>
        <v/>
      </c>
      <c r="F131" s="37">
        <f>IF('ML Platform'!E9="","",'ML Platform'!E9)</f>
        <v/>
      </c>
      <c r="G131" s="38">
        <f>IF('ML Platform'!F9="","",'ML Platform'!F9)</f>
        <v/>
      </c>
      <c r="H131" s="38">
        <f>IF('ML Platform'!G9="","",'ML Platform'!G9)</f>
        <v/>
      </c>
      <c r="I131" s="37">
        <f>IF('ML Platform'!H9="","",'ML Platform'!H9)</f>
        <v/>
      </c>
      <c r="J131" s="38">
        <f>IF('ML Platform'!I9="","",'ML Platform'!I9)</f>
        <v/>
      </c>
      <c r="K131" s="37">
        <f>IF('ML Platform'!J9="","",'ML Platform'!J9)</f>
        <v/>
      </c>
      <c r="L131" s="37">
        <f>IF('ML Platform'!K9="","",'ML Platform'!K9)</f>
        <v/>
      </c>
      <c r="M131" s="37">
        <f>IF('ML Platform'!L9="","",'ML Platform'!L9)</f>
        <v/>
      </c>
      <c r="N131" s="38">
        <f>IF('ML Platform'!M9="","",'ML Platform'!M9)</f>
        <v/>
      </c>
    </row>
    <row r="132">
      <c r="A132" s="39">
        <f>IF('ML Platform'!A10="","",'ML Platform'!A10)</f>
        <v/>
      </c>
      <c r="B132" s="39" t="inlineStr">
        <is>
          <t>ML Platform</t>
        </is>
      </c>
      <c r="C132" s="39">
        <f>IF('ML Platform'!B10="","",'ML Platform'!B10)</f>
        <v/>
      </c>
      <c r="D132" s="39">
        <f>IF('ML Platform'!C10="","",'ML Platform'!C10)</f>
        <v/>
      </c>
      <c r="E132" s="39">
        <f>IF('ML Platform'!D10="","",'ML Platform'!D10)</f>
        <v/>
      </c>
      <c r="F132" s="39">
        <f>IF('ML Platform'!E10="","",'ML Platform'!E10)</f>
        <v/>
      </c>
      <c r="G132" s="40">
        <f>IF('ML Platform'!F10="","",'ML Platform'!F10)</f>
        <v/>
      </c>
      <c r="H132" s="40">
        <f>IF('ML Platform'!G10="","",'ML Platform'!G10)</f>
        <v/>
      </c>
      <c r="I132" s="39">
        <f>IF('ML Platform'!H10="","",'ML Platform'!H10)</f>
        <v/>
      </c>
      <c r="J132" s="40">
        <f>IF('ML Platform'!I10="","",'ML Platform'!I10)</f>
        <v/>
      </c>
      <c r="K132" s="39">
        <f>IF('ML Platform'!J10="","",'ML Platform'!J10)</f>
        <v/>
      </c>
      <c r="L132" s="39">
        <f>IF('ML Platform'!K10="","",'ML Platform'!K10)</f>
        <v/>
      </c>
      <c r="M132" s="39">
        <f>IF('ML Platform'!L10="","",'ML Platform'!L10)</f>
        <v/>
      </c>
      <c r="N132" s="40">
        <f>IF('ML Platform'!M10="","",'ML Platform'!M10)</f>
        <v/>
      </c>
    </row>
    <row r="133">
      <c r="A133" s="37">
        <f>IF('ML Platform'!A11="","",'ML Platform'!A11)</f>
        <v/>
      </c>
      <c r="B133" s="37" t="inlineStr">
        <is>
          <t>ML Platform</t>
        </is>
      </c>
      <c r="C133" s="37">
        <f>IF('ML Platform'!B11="","",'ML Platform'!B11)</f>
        <v/>
      </c>
      <c r="D133" s="37">
        <f>IF('ML Platform'!C11="","",'ML Platform'!C11)</f>
        <v/>
      </c>
      <c r="E133" s="37">
        <f>IF('ML Platform'!D11="","",'ML Platform'!D11)</f>
        <v/>
      </c>
      <c r="F133" s="37">
        <f>IF('ML Platform'!E11="","",'ML Platform'!E11)</f>
        <v/>
      </c>
      <c r="G133" s="38">
        <f>IF('ML Platform'!F11="","",'ML Platform'!F11)</f>
        <v/>
      </c>
      <c r="H133" s="38">
        <f>IF('ML Platform'!G11="","",'ML Platform'!G11)</f>
        <v/>
      </c>
      <c r="I133" s="37">
        <f>IF('ML Platform'!H11="","",'ML Platform'!H11)</f>
        <v/>
      </c>
      <c r="J133" s="38">
        <f>IF('ML Platform'!I11="","",'ML Platform'!I11)</f>
        <v/>
      </c>
      <c r="K133" s="37">
        <f>IF('ML Platform'!J11="","",'ML Platform'!J11)</f>
        <v/>
      </c>
      <c r="L133" s="37">
        <f>IF('ML Platform'!K11="","",'ML Platform'!K11)</f>
        <v/>
      </c>
      <c r="M133" s="37">
        <f>IF('ML Platform'!L11="","",'ML Platform'!L11)</f>
        <v/>
      </c>
      <c r="N133" s="38">
        <f>IF('ML Platform'!M11="","",'ML Platform'!M11)</f>
        <v/>
      </c>
    </row>
    <row r="134">
      <c r="A134" s="39">
        <f>IF('ML Platform'!A12="","",'ML Platform'!A12)</f>
        <v/>
      </c>
      <c r="B134" s="39" t="inlineStr">
        <is>
          <t>ML Platform</t>
        </is>
      </c>
      <c r="C134" s="39">
        <f>IF('ML Platform'!B12="","",'ML Platform'!B12)</f>
        <v/>
      </c>
      <c r="D134" s="39">
        <f>IF('ML Platform'!C12="","",'ML Platform'!C12)</f>
        <v/>
      </c>
      <c r="E134" s="39">
        <f>IF('ML Platform'!D12="","",'ML Platform'!D12)</f>
        <v/>
      </c>
      <c r="F134" s="39">
        <f>IF('ML Platform'!E12="","",'ML Platform'!E12)</f>
        <v/>
      </c>
      <c r="G134" s="40">
        <f>IF('ML Platform'!F12="","",'ML Platform'!F12)</f>
        <v/>
      </c>
      <c r="H134" s="40">
        <f>IF('ML Platform'!G12="","",'ML Platform'!G12)</f>
        <v/>
      </c>
      <c r="I134" s="39">
        <f>IF('ML Platform'!H12="","",'ML Platform'!H12)</f>
        <v/>
      </c>
      <c r="J134" s="40">
        <f>IF('ML Platform'!I12="","",'ML Platform'!I12)</f>
        <v/>
      </c>
      <c r="K134" s="39">
        <f>IF('ML Platform'!J12="","",'ML Platform'!J12)</f>
        <v/>
      </c>
      <c r="L134" s="39">
        <f>IF('ML Platform'!K12="","",'ML Platform'!K12)</f>
        <v/>
      </c>
      <c r="M134" s="39">
        <f>IF('ML Platform'!L12="","",'ML Platform'!L12)</f>
        <v/>
      </c>
      <c r="N134" s="40">
        <f>IF('ML Platform'!M12="","",'ML Platform'!M12)</f>
        <v/>
      </c>
    </row>
    <row r="135">
      <c r="A135" s="37">
        <f>IF('ML Platform'!A13="","",'ML Platform'!A13)</f>
        <v/>
      </c>
      <c r="B135" s="37" t="inlineStr">
        <is>
          <t>ML Platform</t>
        </is>
      </c>
      <c r="C135" s="37">
        <f>IF('ML Platform'!B13="","",'ML Platform'!B13)</f>
        <v/>
      </c>
      <c r="D135" s="37">
        <f>IF('ML Platform'!C13="","",'ML Platform'!C13)</f>
        <v/>
      </c>
      <c r="E135" s="37">
        <f>IF('ML Platform'!D13="","",'ML Platform'!D13)</f>
        <v/>
      </c>
      <c r="F135" s="37">
        <f>IF('ML Platform'!E13="","",'ML Platform'!E13)</f>
        <v/>
      </c>
      <c r="G135" s="38">
        <f>IF('ML Platform'!F13="","",'ML Platform'!F13)</f>
        <v/>
      </c>
      <c r="H135" s="38">
        <f>IF('ML Platform'!G13="","",'ML Platform'!G13)</f>
        <v/>
      </c>
      <c r="I135" s="37">
        <f>IF('ML Platform'!H13="","",'ML Platform'!H13)</f>
        <v/>
      </c>
      <c r="J135" s="38">
        <f>IF('ML Platform'!I13="","",'ML Platform'!I13)</f>
        <v/>
      </c>
      <c r="K135" s="37">
        <f>IF('ML Platform'!J13="","",'ML Platform'!J13)</f>
        <v/>
      </c>
      <c r="L135" s="37">
        <f>IF('ML Platform'!K13="","",'ML Platform'!K13)</f>
        <v/>
      </c>
      <c r="M135" s="37">
        <f>IF('ML Platform'!L13="","",'ML Platform'!L13)</f>
        <v/>
      </c>
      <c r="N135" s="38">
        <f>IF('ML Platform'!M13="","",'ML Platform'!M13)</f>
        <v/>
      </c>
    </row>
    <row r="136">
      <c r="A136" s="39">
        <f>IF('ML Platform'!A14="","",'ML Platform'!A14)</f>
        <v/>
      </c>
      <c r="B136" s="39" t="inlineStr">
        <is>
          <t>ML Platform</t>
        </is>
      </c>
      <c r="C136" s="39">
        <f>IF('ML Platform'!B14="","",'ML Platform'!B14)</f>
        <v/>
      </c>
      <c r="D136" s="39">
        <f>IF('ML Platform'!C14="","",'ML Platform'!C14)</f>
        <v/>
      </c>
      <c r="E136" s="39">
        <f>IF('ML Platform'!D14="","",'ML Platform'!D14)</f>
        <v/>
      </c>
      <c r="F136" s="39">
        <f>IF('ML Platform'!E14="","",'ML Platform'!E14)</f>
        <v/>
      </c>
      <c r="G136" s="40">
        <f>IF('ML Platform'!F14="","",'ML Platform'!F14)</f>
        <v/>
      </c>
      <c r="H136" s="40">
        <f>IF('ML Platform'!G14="","",'ML Platform'!G14)</f>
        <v/>
      </c>
      <c r="I136" s="39">
        <f>IF('ML Platform'!H14="","",'ML Platform'!H14)</f>
        <v/>
      </c>
      <c r="J136" s="40">
        <f>IF('ML Platform'!I14="","",'ML Platform'!I14)</f>
        <v/>
      </c>
      <c r="K136" s="39">
        <f>IF('ML Platform'!J14="","",'ML Platform'!J14)</f>
        <v/>
      </c>
      <c r="L136" s="39">
        <f>IF('ML Platform'!K14="","",'ML Platform'!K14)</f>
        <v/>
      </c>
      <c r="M136" s="39">
        <f>IF('ML Platform'!L14="","",'ML Platform'!L14)</f>
        <v/>
      </c>
      <c r="N136" s="40">
        <f>IF('ML Platform'!M14="","",'ML Platform'!M14)</f>
        <v/>
      </c>
    </row>
    <row r="137">
      <c r="A137" s="37">
        <f>IF('ML Platform'!A15="","",'ML Platform'!A15)</f>
        <v/>
      </c>
      <c r="B137" s="37" t="inlineStr">
        <is>
          <t>ML Platform</t>
        </is>
      </c>
      <c r="C137" s="37">
        <f>IF('ML Platform'!B15="","",'ML Platform'!B15)</f>
        <v/>
      </c>
      <c r="D137" s="37">
        <f>IF('ML Platform'!C15="","",'ML Platform'!C15)</f>
        <v/>
      </c>
      <c r="E137" s="37">
        <f>IF('ML Platform'!D15="","",'ML Platform'!D15)</f>
        <v/>
      </c>
      <c r="F137" s="37">
        <f>IF('ML Platform'!E15="","",'ML Platform'!E15)</f>
        <v/>
      </c>
      <c r="G137" s="38">
        <f>IF('ML Platform'!F15="","",'ML Platform'!F15)</f>
        <v/>
      </c>
      <c r="H137" s="38">
        <f>IF('ML Platform'!G15="","",'ML Platform'!G15)</f>
        <v/>
      </c>
      <c r="I137" s="37">
        <f>IF('ML Platform'!H15="","",'ML Platform'!H15)</f>
        <v/>
      </c>
      <c r="J137" s="38">
        <f>IF('ML Platform'!I15="","",'ML Platform'!I15)</f>
        <v/>
      </c>
      <c r="K137" s="37">
        <f>IF('ML Platform'!J15="","",'ML Platform'!J15)</f>
        <v/>
      </c>
      <c r="L137" s="37">
        <f>IF('ML Platform'!K15="","",'ML Platform'!K15)</f>
        <v/>
      </c>
      <c r="M137" s="37">
        <f>IF('ML Platform'!L15="","",'ML Platform'!L15)</f>
        <v/>
      </c>
      <c r="N137" s="38">
        <f>IF('ML Platform'!M15="","",'ML Platform'!M15)</f>
        <v/>
      </c>
    </row>
    <row r="138">
      <c r="A138" s="39">
        <f>IF('ML Platform'!A16="","",'ML Platform'!A16)</f>
        <v/>
      </c>
      <c r="B138" s="39" t="inlineStr">
        <is>
          <t>ML Platform</t>
        </is>
      </c>
      <c r="C138" s="39">
        <f>IF('ML Platform'!B16="","",'ML Platform'!B16)</f>
        <v/>
      </c>
      <c r="D138" s="39">
        <f>IF('ML Platform'!C16="","",'ML Platform'!C16)</f>
        <v/>
      </c>
      <c r="E138" s="39">
        <f>IF('ML Platform'!D16="","",'ML Platform'!D16)</f>
        <v/>
      </c>
      <c r="F138" s="39">
        <f>IF('ML Platform'!E16="","",'ML Platform'!E16)</f>
        <v/>
      </c>
      <c r="G138" s="40">
        <f>IF('ML Platform'!F16="","",'ML Platform'!F16)</f>
        <v/>
      </c>
      <c r="H138" s="40">
        <f>IF('ML Platform'!G16="","",'ML Platform'!G16)</f>
        <v/>
      </c>
      <c r="I138" s="39">
        <f>IF('ML Platform'!H16="","",'ML Platform'!H16)</f>
        <v/>
      </c>
      <c r="J138" s="40">
        <f>IF('ML Platform'!I16="","",'ML Platform'!I16)</f>
        <v/>
      </c>
      <c r="K138" s="39">
        <f>IF('ML Platform'!J16="","",'ML Platform'!J16)</f>
        <v/>
      </c>
      <c r="L138" s="39">
        <f>IF('ML Platform'!K16="","",'ML Platform'!K16)</f>
        <v/>
      </c>
      <c r="M138" s="39">
        <f>IF('ML Platform'!L16="","",'ML Platform'!L16)</f>
        <v/>
      </c>
      <c r="N138" s="40">
        <f>IF('ML Platform'!M16="","",'ML Platform'!M16)</f>
        <v/>
      </c>
    </row>
    <row r="139">
      <c r="A139" s="37">
        <f>IF('ML Platform'!A17="","",'ML Platform'!A17)</f>
        <v/>
      </c>
      <c r="B139" s="37" t="inlineStr">
        <is>
          <t>ML Platform</t>
        </is>
      </c>
      <c r="C139" s="37">
        <f>IF('ML Platform'!B17="","",'ML Platform'!B17)</f>
        <v/>
      </c>
      <c r="D139" s="37">
        <f>IF('ML Platform'!C17="","",'ML Platform'!C17)</f>
        <v/>
      </c>
      <c r="E139" s="37">
        <f>IF('ML Platform'!D17="","",'ML Platform'!D17)</f>
        <v/>
      </c>
      <c r="F139" s="37">
        <f>IF('ML Platform'!E17="","",'ML Platform'!E17)</f>
        <v/>
      </c>
      <c r="G139" s="38">
        <f>IF('ML Platform'!F17="","",'ML Platform'!F17)</f>
        <v/>
      </c>
      <c r="H139" s="38">
        <f>IF('ML Platform'!G17="","",'ML Platform'!G17)</f>
        <v/>
      </c>
      <c r="I139" s="37">
        <f>IF('ML Platform'!H17="","",'ML Platform'!H17)</f>
        <v/>
      </c>
      <c r="J139" s="38">
        <f>IF('ML Platform'!I17="","",'ML Platform'!I17)</f>
        <v/>
      </c>
      <c r="K139" s="37">
        <f>IF('ML Platform'!J17="","",'ML Platform'!J17)</f>
        <v/>
      </c>
      <c r="L139" s="37">
        <f>IF('ML Platform'!K17="","",'ML Platform'!K17)</f>
        <v/>
      </c>
      <c r="M139" s="37">
        <f>IF('ML Platform'!L17="","",'ML Platform'!L17)</f>
        <v/>
      </c>
      <c r="N139" s="38">
        <f>IF('ML Platform'!M17="","",'ML Platform'!M17)</f>
        <v/>
      </c>
    </row>
    <row r="140">
      <c r="A140" s="39">
        <f>IF('ML Platform'!A18="","",'ML Platform'!A18)</f>
        <v/>
      </c>
      <c r="B140" s="39" t="inlineStr">
        <is>
          <t>ML Platform</t>
        </is>
      </c>
      <c r="C140" s="39">
        <f>IF('ML Platform'!B18="","",'ML Platform'!B18)</f>
        <v/>
      </c>
      <c r="D140" s="39">
        <f>IF('ML Platform'!C18="","",'ML Platform'!C18)</f>
        <v/>
      </c>
      <c r="E140" s="39">
        <f>IF('ML Platform'!D18="","",'ML Platform'!D18)</f>
        <v/>
      </c>
      <c r="F140" s="39">
        <f>IF('ML Platform'!E18="","",'ML Platform'!E18)</f>
        <v/>
      </c>
      <c r="G140" s="40">
        <f>IF('ML Platform'!F18="","",'ML Platform'!F18)</f>
        <v/>
      </c>
      <c r="H140" s="40">
        <f>IF('ML Platform'!G18="","",'ML Platform'!G18)</f>
        <v/>
      </c>
      <c r="I140" s="39">
        <f>IF('ML Platform'!H18="","",'ML Platform'!H18)</f>
        <v/>
      </c>
      <c r="J140" s="40">
        <f>IF('ML Platform'!I18="","",'ML Platform'!I18)</f>
        <v/>
      </c>
      <c r="K140" s="39">
        <f>IF('ML Platform'!J18="","",'ML Platform'!J18)</f>
        <v/>
      </c>
      <c r="L140" s="39">
        <f>IF('ML Platform'!K18="","",'ML Platform'!K18)</f>
        <v/>
      </c>
      <c r="M140" s="39">
        <f>IF('ML Platform'!L18="","",'ML Platform'!L18)</f>
        <v/>
      </c>
      <c r="N140" s="40">
        <f>IF('ML Platform'!M18="","",'ML Platform'!M18)</f>
        <v/>
      </c>
    </row>
    <row r="141">
      <c r="A141" s="37">
        <f>IF('ML Platform'!A19="","",'ML Platform'!A19)</f>
        <v/>
      </c>
      <c r="B141" s="37" t="inlineStr">
        <is>
          <t>ML Platform</t>
        </is>
      </c>
      <c r="C141" s="37">
        <f>IF('ML Platform'!B19="","",'ML Platform'!B19)</f>
        <v/>
      </c>
      <c r="D141" s="37">
        <f>IF('ML Platform'!C19="","",'ML Platform'!C19)</f>
        <v/>
      </c>
      <c r="E141" s="37">
        <f>IF('ML Platform'!D19="","",'ML Platform'!D19)</f>
        <v/>
      </c>
      <c r="F141" s="37">
        <f>IF('ML Platform'!E19="","",'ML Platform'!E19)</f>
        <v/>
      </c>
      <c r="G141" s="38">
        <f>IF('ML Platform'!F19="","",'ML Platform'!F19)</f>
        <v/>
      </c>
      <c r="H141" s="38">
        <f>IF('ML Platform'!G19="","",'ML Platform'!G19)</f>
        <v/>
      </c>
      <c r="I141" s="37">
        <f>IF('ML Platform'!H19="","",'ML Platform'!H19)</f>
        <v/>
      </c>
      <c r="J141" s="38">
        <f>IF('ML Platform'!I19="","",'ML Platform'!I19)</f>
        <v/>
      </c>
      <c r="K141" s="37">
        <f>IF('ML Platform'!J19="","",'ML Platform'!J19)</f>
        <v/>
      </c>
      <c r="L141" s="37">
        <f>IF('ML Platform'!K19="","",'ML Platform'!K19)</f>
        <v/>
      </c>
      <c r="M141" s="37">
        <f>IF('ML Platform'!L19="","",'ML Platform'!L19)</f>
        <v/>
      </c>
      <c r="N141" s="38">
        <f>IF('ML Platform'!M19="","",'ML Platform'!M19)</f>
        <v/>
      </c>
    </row>
    <row r="142">
      <c r="A142" s="39">
        <f>IF('ML Platform'!A20="","",'ML Platform'!A20)</f>
        <v/>
      </c>
      <c r="B142" s="39" t="inlineStr">
        <is>
          <t>ML Platform</t>
        </is>
      </c>
      <c r="C142" s="39">
        <f>IF('ML Platform'!B20="","",'ML Platform'!B20)</f>
        <v/>
      </c>
      <c r="D142" s="39">
        <f>IF('ML Platform'!C20="","",'ML Platform'!C20)</f>
        <v/>
      </c>
      <c r="E142" s="39">
        <f>IF('ML Platform'!D20="","",'ML Platform'!D20)</f>
        <v/>
      </c>
      <c r="F142" s="39">
        <f>IF('ML Platform'!E20="","",'ML Platform'!E20)</f>
        <v/>
      </c>
      <c r="G142" s="40">
        <f>IF('ML Platform'!F20="","",'ML Platform'!F20)</f>
        <v/>
      </c>
      <c r="H142" s="40">
        <f>IF('ML Platform'!G20="","",'ML Platform'!G20)</f>
        <v/>
      </c>
      <c r="I142" s="39">
        <f>IF('ML Platform'!H20="","",'ML Platform'!H20)</f>
        <v/>
      </c>
      <c r="J142" s="40">
        <f>IF('ML Platform'!I20="","",'ML Platform'!I20)</f>
        <v/>
      </c>
      <c r="K142" s="39">
        <f>IF('ML Platform'!J20="","",'ML Platform'!J20)</f>
        <v/>
      </c>
      <c r="L142" s="39">
        <f>IF('ML Platform'!K20="","",'ML Platform'!K20)</f>
        <v/>
      </c>
      <c r="M142" s="39">
        <f>IF('ML Platform'!L20="","",'ML Platform'!L20)</f>
        <v/>
      </c>
      <c r="N142" s="40">
        <f>IF('ML Platform'!M20="","",'ML Platform'!M20)</f>
        <v/>
      </c>
    </row>
    <row r="143">
      <c r="A143" s="37">
        <f>IF('ML Platform'!A21="","",'ML Platform'!A21)</f>
        <v/>
      </c>
      <c r="B143" s="37" t="inlineStr">
        <is>
          <t>ML Platform</t>
        </is>
      </c>
      <c r="C143" s="37">
        <f>IF('ML Platform'!B21="","",'ML Platform'!B21)</f>
        <v/>
      </c>
      <c r="D143" s="37">
        <f>IF('ML Platform'!C21="","",'ML Platform'!C21)</f>
        <v/>
      </c>
      <c r="E143" s="37">
        <f>IF('ML Platform'!D21="","",'ML Platform'!D21)</f>
        <v/>
      </c>
      <c r="F143" s="37">
        <f>IF('ML Platform'!E21="","",'ML Platform'!E21)</f>
        <v/>
      </c>
      <c r="G143" s="38">
        <f>IF('ML Platform'!F21="","",'ML Platform'!F21)</f>
        <v/>
      </c>
      <c r="H143" s="38">
        <f>IF('ML Platform'!G21="","",'ML Platform'!G21)</f>
        <v/>
      </c>
      <c r="I143" s="37">
        <f>IF('ML Platform'!H21="","",'ML Platform'!H21)</f>
        <v/>
      </c>
      <c r="J143" s="38">
        <f>IF('ML Platform'!I21="","",'ML Platform'!I21)</f>
        <v/>
      </c>
      <c r="K143" s="37">
        <f>IF('ML Platform'!J21="","",'ML Platform'!J21)</f>
        <v/>
      </c>
      <c r="L143" s="37">
        <f>IF('ML Platform'!K21="","",'ML Platform'!K21)</f>
        <v/>
      </c>
      <c r="M143" s="37">
        <f>IF('ML Platform'!L21="","",'ML Platform'!L21)</f>
        <v/>
      </c>
      <c r="N143" s="38">
        <f>IF('ML Platform'!M21="","",'ML Platform'!M21)</f>
        <v/>
      </c>
    </row>
    <row r="144">
      <c r="A144" s="39">
        <f>IF('ML Platform'!A22="","",'ML Platform'!A22)</f>
        <v/>
      </c>
      <c r="B144" s="39" t="inlineStr">
        <is>
          <t>ML Platform</t>
        </is>
      </c>
      <c r="C144" s="39">
        <f>IF('ML Platform'!B22="","",'ML Platform'!B22)</f>
        <v/>
      </c>
      <c r="D144" s="39">
        <f>IF('ML Platform'!C22="","",'ML Platform'!C22)</f>
        <v/>
      </c>
      <c r="E144" s="39">
        <f>IF('ML Platform'!D22="","",'ML Platform'!D22)</f>
        <v/>
      </c>
      <c r="F144" s="39">
        <f>IF('ML Platform'!E22="","",'ML Platform'!E22)</f>
        <v/>
      </c>
      <c r="G144" s="40">
        <f>IF('ML Platform'!F22="","",'ML Platform'!F22)</f>
        <v/>
      </c>
      <c r="H144" s="40">
        <f>IF('ML Platform'!G22="","",'ML Platform'!G22)</f>
        <v/>
      </c>
      <c r="I144" s="39">
        <f>IF('ML Platform'!H22="","",'ML Platform'!H22)</f>
        <v/>
      </c>
      <c r="J144" s="40">
        <f>IF('ML Platform'!I22="","",'ML Platform'!I22)</f>
        <v/>
      </c>
      <c r="K144" s="39">
        <f>IF('ML Platform'!J22="","",'ML Platform'!J22)</f>
        <v/>
      </c>
      <c r="L144" s="39">
        <f>IF('ML Platform'!K22="","",'ML Platform'!K22)</f>
        <v/>
      </c>
      <c r="M144" s="39">
        <f>IF('ML Platform'!L22="","",'ML Platform'!L22)</f>
        <v/>
      </c>
      <c r="N144" s="40">
        <f>IF('ML Platform'!M22="","",'ML Platform'!M22)</f>
        <v/>
      </c>
    </row>
    <row r="145">
      <c r="A145" s="37">
        <f>IF('ML Platform'!A23="","",'ML Platform'!A23)</f>
        <v/>
      </c>
      <c r="B145" s="37" t="inlineStr">
        <is>
          <t>ML Platform</t>
        </is>
      </c>
      <c r="C145" s="37">
        <f>IF('ML Platform'!B23="","",'ML Platform'!B23)</f>
        <v/>
      </c>
      <c r="D145" s="37">
        <f>IF('ML Platform'!C23="","",'ML Platform'!C23)</f>
        <v/>
      </c>
      <c r="E145" s="37">
        <f>IF('ML Platform'!D23="","",'ML Platform'!D23)</f>
        <v/>
      </c>
      <c r="F145" s="37">
        <f>IF('ML Platform'!E23="","",'ML Platform'!E23)</f>
        <v/>
      </c>
      <c r="G145" s="38">
        <f>IF('ML Platform'!F23="","",'ML Platform'!F23)</f>
        <v/>
      </c>
      <c r="H145" s="38">
        <f>IF('ML Platform'!G23="","",'ML Platform'!G23)</f>
        <v/>
      </c>
      <c r="I145" s="37">
        <f>IF('ML Platform'!H23="","",'ML Platform'!H23)</f>
        <v/>
      </c>
      <c r="J145" s="38">
        <f>IF('ML Platform'!I23="","",'ML Platform'!I23)</f>
        <v/>
      </c>
      <c r="K145" s="37">
        <f>IF('ML Platform'!J23="","",'ML Platform'!J23)</f>
        <v/>
      </c>
      <c r="L145" s="37">
        <f>IF('ML Platform'!K23="","",'ML Platform'!K23)</f>
        <v/>
      </c>
      <c r="M145" s="37">
        <f>IF('ML Platform'!L23="","",'ML Platform'!L23)</f>
        <v/>
      </c>
      <c r="N145" s="38">
        <f>IF('ML Platform'!M23="","",'ML Platform'!M23)</f>
        <v/>
      </c>
    </row>
    <row r="146">
      <c r="A146" s="39">
        <f>IF('ML Platform'!A24="","",'ML Platform'!A24)</f>
        <v/>
      </c>
      <c r="B146" s="39" t="inlineStr">
        <is>
          <t>ML Platform</t>
        </is>
      </c>
      <c r="C146" s="39">
        <f>IF('ML Platform'!B24="","",'ML Platform'!B24)</f>
        <v/>
      </c>
      <c r="D146" s="39">
        <f>IF('ML Platform'!C24="","",'ML Platform'!C24)</f>
        <v/>
      </c>
      <c r="E146" s="39">
        <f>IF('ML Platform'!D24="","",'ML Platform'!D24)</f>
        <v/>
      </c>
      <c r="F146" s="39">
        <f>IF('ML Platform'!E24="","",'ML Platform'!E24)</f>
        <v/>
      </c>
      <c r="G146" s="40">
        <f>IF('ML Platform'!F24="","",'ML Platform'!F24)</f>
        <v/>
      </c>
      <c r="H146" s="40">
        <f>IF('ML Platform'!G24="","",'ML Platform'!G24)</f>
        <v/>
      </c>
      <c r="I146" s="39">
        <f>IF('ML Platform'!H24="","",'ML Platform'!H24)</f>
        <v/>
      </c>
      <c r="J146" s="40">
        <f>IF('ML Platform'!I24="","",'ML Platform'!I24)</f>
        <v/>
      </c>
      <c r="K146" s="39">
        <f>IF('ML Platform'!J24="","",'ML Platform'!J24)</f>
        <v/>
      </c>
      <c r="L146" s="39">
        <f>IF('ML Platform'!K24="","",'ML Platform'!K24)</f>
        <v/>
      </c>
      <c r="M146" s="39">
        <f>IF('ML Platform'!L24="","",'ML Platform'!L24)</f>
        <v/>
      </c>
      <c r="N146" s="40">
        <f>IF('ML Platform'!M24="","",'ML Platform'!M24)</f>
        <v/>
      </c>
    </row>
    <row r="147">
      <c r="A147" s="37">
        <f>IF('ML Platform'!A25="","",'ML Platform'!A25)</f>
        <v/>
      </c>
      <c r="B147" s="37" t="inlineStr">
        <is>
          <t>ML Platform</t>
        </is>
      </c>
      <c r="C147" s="37">
        <f>IF('ML Platform'!B25="","",'ML Platform'!B25)</f>
        <v/>
      </c>
      <c r="D147" s="37">
        <f>IF('ML Platform'!C25="","",'ML Platform'!C25)</f>
        <v/>
      </c>
      <c r="E147" s="37">
        <f>IF('ML Platform'!D25="","",'ML Platform'!D25)</f>
        <v/>
      </c>
      <c r="F147" s="37">
        <f>IF('ML Platform'!E25="","",'ML Platform'!E25)</f>
        <v/>
      </c>
      <c r="G147" s="38">
        <f>IF('ML Platform'!F25="","",'ML Platform'!F25)</f>
        <v/>
      </c>
      <c r="H147" s="38">
        <f>IF('ML Platform'!G25="","",'ML Platform'!G25)</f>
        <v/>
      </c>
      <c r="I147" s="37">
        <f>IF('ML Platform'!H25="","",'ML Platform'!H25)</f>
        <v/>
      </c>
      <c r="J147" s="38">
        <f>IF('ML Platform'!I25="","",'ML Platform'!I25)</f>
        <v/>
      </c>
      <c r="K147" s="37">
        <f>IF('ML Platform'!J25="","",'ML Platform'!J25)</f>
        <v/>
      </c>
      <c r="L147" s="37">
        <f>IF('ML Platform'!K25="","",'ML Platform'!K25)</f>
        <v/>
      </c>
      <c r="M147" s="37">
        <f>IF('ML Platform'!L25="","",'ML Platform'!L25)</f>
        <v/>
      </c>
      <c r="N147" s="38">
        <f>IF('ML Platform'!M25="","",'ML Platform'!M25)</f>
        <v/>
      </c>
    </row>
    <row r="148">
      <c r="A148" s="39">
        <f>IF('ML Platform'!A26="","",'ML Platform'!A26)</f>
        <v/>
      </c>
      <c r="B148" s="39" t="inlineStr">
        <is>
          <t>ML Platform</t>
        </is>
      </c>
      <c r="C148" s="39">
        <f>IF('ML Platform'!B26="","",'ML Platform'!B26)</f>
        <v/>
      </c>
      <c r="D148" s="39">
        <f>IF('ML Platform'!C26="","",'ML Platform'!C26)</f>
        <v/>
      </c>
      <c r="E148" s="39">
        <f>IF('ML Platform'!D26="","",'ML Platform'!D26)</f>
        <v/>
      </c>
      <c r="F148" s="39">
        <f>IF('ML Platform'!E26="","",'ML Platform'!E26)</f>
        <v/>
      </c>
      <c r="G148" s="40">
        <f>IF('ML Platform'!F26="","",'ML Platform'!F26)</f>
        <v/>
      </c>
      <c r="H148" s="40">
        <f>IF('ML Platform'!G26="","",'ML Platform'!G26)</f>
        <v/>
      </c>
      <c r="I148" s="39">
        <f>IF('ML Platform'!H26="","",'ML Platform'!H26)</f>
        <v/>
      </c>
      <c r="J148" s="40">
        <f>IF('ML Platform'!I26="","",'ML Platform'!I26)</f>
        <v/>
      </c>
      <c r="K148" s="39">
        <f>IF('ML Platform'!J26="","",'ML Platform'!J26)</f>
        <v/>
      </c>
      <c r="L148" s="39">
        <f>IF('ML Platform'!K26="","",'ML Platform'!K26)</f>
        <v/>
      </c>
      <c r="M148" s="39">
        <f>IF('ML Platform'!L26="","",'ML Platform'!L26)</f>
        <v/>
      </c>
      <c r="N148" s="40">
        <f>IF('ML Platform'!M26="","",'ML Platform'!M26)</f>
        <v/>
      </c>
    </row>
    <row r="149">
      <c r="A149" s="37">
        <f>IF('Operations'!A3="","",'Operations'!A3)</f>
        <v/>
      </c>
      <c r="B149" s="37" t="inlineStr">
        <is>
          <t>Operations</t>
        </is>
      </c>
      <c r="C149" s="37">
        <f>IF('Operations'!B3="","",'Operations'!B3)</f>
        <v/>
      </c>
      <c r="D149" s="37">
        <f>IF('Operations'!C3="","",'Operations'!C3)</f>
        <v/>
      </c>
      <c r="E149" s="37">
        <f>IF('Operations'!D3="","",'Operations'!D3)</f>
        <v/>
      </c>
      <c r="F149" s="37">
        <f>IF('Operations'!E3="","",'Operations'!E3)</f>
        <v/>
      </c>
      <c r="G149" s="38">
        <f>IF('Operations'!F3="","",'Operations'!F3)</f>
        <v/>
      </c>
      <c r="H149" s="38">
        <f>IF('Operations'!G3="","",'Operations'!G3)</f>
        <v/>
      </c>
      <c r="I149" s="37">
        <f>IF('Operations'!H3="","",'Operations'!H3)</f>
        <v/>
      </c>
      <c r="J149" s="38">
        <f>IF('Operations'!I3="","",'Operations'!I3)</f>
        <v/>
      </c>
      <c r="K149" s="37">
        <f>IF('Operations'!J3="","",'Operations'!J3)</f>
        <v/>
      </c>
      <c r="L149" s="37">
        <f>IF('Operations'!K3="","",'Operations'!K3)</f>
        <v/>
      </c>
      <c r="M149" s="37">
        <f>IF('Operations'!L3="","",'Operations'!L3)</f>
        <v/>
      </c>
      <c r="N149" s="38">
        <f>IF('Operations'!M3="","",'Operations'!M3)</f>
        <v/>
      </c>
    </row>
    <row r="150">
      <c r="A150" s="39">
        <f>IF('Operations'!A4="","",'Operations'!A4)</f>
        <v/>
      </c>
      <c r="B150" s="39" t="inlineStr">
        <is>
          <t>Operations</t>
        </is>
      </c>
      <c r="C150" s="39">
        <f>IF('Operations'!B4="","",'Operations'!B4)</f>
        <v/>
      </c>
      <c r="D150" s="39">
        <f>IF('Operations'!C4="","",'Operations'!C4)</f>
        <v/>
      </c>
      <c r="E150" s="39">
        <f>IF('Operations'!D4="","",'Operations'!D4)</f>
        <v/>
      </c>
      <c r="F150" s="39">
        <f>IF('Operations'!E4="","",'Operations'!E4)</f>
        <v/>
      </c>
      <c r="G150" s="40">
        <f>IF('Operations'!F4="","",'Operations'!F4)</f>
        <v/>
      </c>
      <c r="H150" s="40">
        <f>IF('Operations'!G4="","",'Operations'!G4)</f>
        <v/>
      </c>
      <c r="I150" s="39">
        <f>IF('Operations'!H4="","",'Operations'!H4)</f>
        <v/>
      </c>
      <c r="J150" s="40">
        <f>IF('Operations'!I4="","",'Operations'!I4)</f>
        <v/>
      </c>
      <c r="K150" s="39">
        <f>IF('Operations'!J4="","",'Operations'!J4)</f>
        <v/>
      </c>
      <c r="L150" s="39">
        <f>IF('Operations'!K4="","",'Operations'!K4)</f>
        <v/>
      </c>
      <c r="M150" s="39">
        <f>IF('Operations'!L4="","",'Operations'!L4)</f>
        <v/>
      </c>
      <c r="N150" s="40">
        <f>IF('Operations'!M4="","",'Operations'!M4)</f>
        <v/>
      </c>
    </row>
    <row r="151">
      <c r="A151" s="37">
        <f>IF('Operations'!A5="","",'Operations'!A5)</f>
        <v/>
      </c>
      <c r="B151" s="37" t="inlineStr">
        <is>
          <t>Operations</t>
        </is>
      </c>
      <c r="C151" s="37">
        <f>IF('Operations'!B5="","",'Operations'!B5)</f>
        <v/>
      </c>
      <c r="D151" s="37">
        <f>IF('Operations'!C5="","",'Operations'!C5)</f>
        <v/>
      </c>
      <c r="E151" s="37">
        <f>IF('Operations'!D5="","",'Operations'!D5)</f>
        <v/>
      </c>
      <c r="F151" s="37">
        <f>IF('Operations'!E5="","",'Operations'!E5)</f>
        <v/>
      </c>
      <c r="G151" s="38">
        <f>IF('Operations'!F5="","",'Operations'!F5)</f>
        <v/>
      </c>
      <c r="H151" s="38">
        <f>IF('Operations'!G5="","",'Operations'!G5)</f>
        <v/>
      </c>
      <c r="I151" s="37">
        <f>IF('Operations'!H5="","",'Operations'!H5)</f>
        <v/>
      </c>
      <c r="J151" s="38">
        <f>IF('Operations'!I5="","",'Operations'!I5)</f>
        <v/>
      </c>
      <c r="K151" s="37">
        <f>IF('Operations'!J5="","",'Operations'!J5)</f>
        <v/>
      </c>
      <c r="L151" s="37">
        <f>IF('Operations'!K5="","",'Operations'!K5)</f>
        <v/>
      </c>
      <c r="M151" s="37">
        <f>IF('Operations'!L5="","",'Operations'!L5)</f>
        <v/>
      </c>
      <c r="N151" s="38">
        <f>IF('Operations'!M5="","",'Operations'!M5)</f>
        <v/>
      </c>
    </row>
    <row r="152">
      <c r="A152" s="39">
        <f>IF('Operations'!A6="","",'Operations'!A6)</f>
        <v/>
      </c>
      <c r="B152" s="39" t="inlineStr">
        <is>
          <t>Operations</t>
        </is>
      </c>
      <c r="C152" s="39">
        <f>IF('Operations'!B6="","",'Operations'!B6)</f>
        <v/>
      </c>
      <c r="D152" s="39">
        <f>IF('Operations'!C6="","",'Operations'!C6)</f>
        <v/>
      </c>
      <c r="E152" s="39">
        <f>IF('Operations'!D6="","",'Operations'!D6)</f>
        <v/>
      </c>
      <c r="F152" s="39">
        <f>IF('Operations'!E6="","",'Operations'!E6)</f>
        <v/>
      </c>
      <c r="G152" s="40">
        <f>IF('Operations'!F6="","",'Operations'!F6)</f>
        <v/>
      </c>
      <c r="H152" s="40">
        <f>IF('Operations'!G6="","",'Operations'!G6)</f>
        <v/>
      </c>
      <c r="I152" s="39">
        <f>IF('Operations'!H6="","",'Operations'!H6)</f>
        <v/>
      </c>
      <c r="J152" s="40">
        <f>IF('Operations'!I6="","",'Operations'!I6)</f>
        <v/>
      </c>
      <c r="K152" s="39">
        <f>IF('Operations'!J6="","",'Operations'!J6)</f>
        <v/>
      </c>
      <c r="L152" s="39">
        <f>IF('Operations'!K6="","",'Operations'!K6)</f>
        <v/>
      </c>
      <c r="M152" s="39">
        <f>IF('Operations'!L6="","",'Operations'!L6)</f>
        <v/>
      </c>
      <c r="N152" s="40">
        <f>IF('Operations'!M6="","",'Operations'!M6)</f>
        <v/>
      </c>
    </row>
    <row r="153">
      <c r="A153" s="37">
        <f>IF('Operations'!A7="","",'Operations'!A7)</f>
        <v/>
      </c>
      <c r="B153" s="37" t="inlineStr">
        <is>
          <t>Operations</t>
        </is>
      </c>
      <c r="C153" s="37">
        <f>IF('Operations'!B7="","",'Operations'!B7)</f>
        <v/>
      </c>
      <c r="D153" s="37">
        <f>IF('Operations'!C7="","",'Operations'!C7)</f>
        <v/>
      </c>
      <c r="E153" s="37">
        <f>IF('Operations'!D7="","",'Operations'!D7)</f>
        <v/>
      </c>
      <c r="F153" s="37">
        <f>IF('Operations'!E7="","",'Operations'!E7)</f>
        <v/>
      </c>
      <c r="G153" s="38">
        <f>IF('Operations'!F7="","",'Operations'!F7)</f>
        <v/>
      </c>
      <c r="H153" s="38">
        <f>IF('Operations'!G7="","",'Operations'!G7)</f>
        <v/>
      </c>
      <c r="I153" s="37">
        <f>IF('Operations'!H7="","",'Operations'!H7)</f>
        <v/>
      </c>
      <c r="J153" s="38">
        <f>IF('Operations'!I7="","",'Operations'!I7)</f>
        <v/>
      </c>
      <c r="K153" s="37">
        <f>IF('Operations'!J7="","",'Operations'!J7)</f>
        <v/>
      </c>
      <c r="L153" s="37">
        <f>IF('Operations'!K7="","",'Operations'!K7)</f>
        <v/>
      </c>
      <c r="M153" s="37">
        <f>IF('Operations'!L7="","",'Operations'!L7)</f>
        <v/>
      </c>
      <c r="N153" s="38">
        <f>IF('Operations'!M7="","",'Operations'!M7)</f>
        <v/>
      </c>
    </row>
    <row r="154">
      <c r="A154" s="39">
        <f>IF('Operations'!A8="","",'Operations'!A8)</f>
        <v/>
      </c>
      <c r="B154" s="39" t="inlineStr">
        <is>
          <t>Operations</t>
        </is>
      </c>
      <c r="C154" s="39">
        <f>IF('Operations'!B8="","",'Operations'!B8)</f>
        <v/>
      </c>
      <c r="D154" s="39">
        <f>IF('Operations'!C8="","",'Operations'!C8)</f>
        <v/>
      </c>
      <c r="E154" s="39">
        <f>IF('Operations'!D8="","",'Operations'!D8)</f>
        <v/>
      </c>
      <c r="F154" s="39">
        <f>IF('Operations'!E8="","",'Operations'!E8)</f>
        <v/>
      </c>
      <c r="G154" s="40">
        <f>IF('Operations'!F8="","",'Operations'!F8)</f>
        <v/>
      </c>
      <c r="H154" s="40">
        <f>IF('Operations'!G8="","",'Operations'!G8)</f>
        <v/>
      </c>
      <c r="I154" s="39">
        <f>IF('Operations'!H8="","",'Operations'!H8)</f>
        <v/>
      </c>
      <c r="J154" s="40">
        <f>IF('Operations'!I8="","",'Operations'!I8)</f>
        <v/>
      </c>
      <c r="K154" s="39">
        <f>IF('Operations'!J8="","",'Operations'!J8)</f>
        <v/>
      </c>
      <c r="L154" s="39">
        <f>IF('Operations'!K8="","",'Operations'!K8)</f>
        <v/>
      </c>
      <c r="M154" s="39">
        <f>IF('Operations'!L8="","",'Operations'!L8)</f>
        <v/>
      </c>
      <c r="N154" s="40">
        <f>IF('Operations'!M8="","",'Operations'!M8)</f>
        <v/>
      </c>
    </row>
    <row r="155">
      <c r="A155" s="37">
        <f>IF('Operations'!A9="","",'Operations'!A9)</f>
        <v/>
      </c>
      <c r="B155" s="37" t="inlineStr">
        <is>
          <t>Operations</t>
        </is>
      </c>
      <c r="C155" s="37">
        <f>IF('Operations'!B9="","",'Operations'!B9)</f>
        <v/>
      </c>
      <c r="D155" s="37">
        <f>IF('Operations'!C9="","",'Operations'!C9)</f>
        <v/>
      </c>
      <c r="E155" s="37">
        <f>IF('Operations'!D9="","",'Operations'!D9)</f>
        <v/>
      </c>
      <c r="F155" s="37">
        <f>IF('Operations'!E9="","",'Operations'!E9)</f>
        <v/>
      </c>
      <c r="G155" s="38">
        <f>IF('Operations'!F9="","",'Operations'!F9)</f>
        <v/>
      </c>
      <c r="H155" s="38">
        <f>IF('Operations'!G9="","",'Operations'!G9)</f>
        <v/>
      </c>
      <c r="I155" s="37">
        <f>IF('Operations'!H9="","",'Operations'!H9)</f>
        <v/>
      </c>
      <c r="J155" s="38">
        <f>IF('Operations'!I9="","",'Operations'!I9)</f>
        <v/>
      </c>
      <c r="K155" s="37">
        <f>IF('Operations'!J9="","",'Operations'!J9)</f>
        <v/>
      </c>
      <c r="L155" s="37">
        <f>IF('Operations'!K9="","",'Operations'!K9)</f>
        <v/>
      </c>
      <c r="M155" s="37">
        <f>IF('Operations'!L9="","",'Operations'!L9)</f>
        <v/>
      </c>
      <c r="N155" s="38">
        <f>IF('Operations'!M9="","",'Operations'!M9)</f>
        <v/>
      </c>
    </row>
    <row r="156">
      <c r="A156" s="39">
        <f>IF('Operations'!A10="","",'Operations'!A10)</f>
        <v/>
      </c>
      <c r="B156" s="39" t="inlineStr">
        <is>
          <t>Operations</t>
        </is>
      </c>
      <c r="C156" s="39">
        <f>IF('Operations'!B10="","",'Operations'!B10)</f>
        <v/>
      </c>
      <c r="D156" s="39">
        <f>IF('Operations'!C10="","",'Operations'!C10)</f>
        <v/>
      </c>
      <c r="E156" s="39">
        <f>IF('Operations'!D10="","",'Operations'!D10)</f>
        <v/>
      </c>
      <c r="F156" s="39">
        <f>IF('Operations'!E10="","",'Operations'!E10)</f>
        <v/>
      </c>
      <c r="G156" s="40">
        <f>IF('Operations'!F10="","",'Operations'!F10)</f>
        <v/>
      </c>
      <c r="H156" s="40">
        <f>IF('Operations'!G10="","",'Operations'!G10)</f>
        <v/>
      </c>
      <c r="I156" s="39">
        <f>IF('Operations'!H10="","",'Operations'!H10)</f>
        <v/>
      </c>
      <c r="J156" s="40">
        <f>IF('Operations'!I10="","",'Operations'!I10)</f>
        <v/>
      </c>
      <c r="K156" s="39">
        <f>IF('Operations'!J10="","",'Operations'!J10)</f>
        <v/>
      </c>
      <c r="L156" s="39">
        <f>IF('Operations'!K10="","",'Operations'!K10)</f>
        <v/>
      </c>
      <c r="M156" s="39">
        <f>IF('Operations'!L10="","",'Operations'!L10)</f>
        <v/>
      </c>
      <c r="N156" s="40">
        <f>IF('Operations'!M10="","",'Operations'!M10)</f>
        <v/>
      </c>
    </row>
    <row r="157">
      <c r="A157" s="37">
        <f>IF('Operations'!A11="","",'Operations'!A11)</f>
        <v/>
      </c>
      <c r="B157" s="37" t="inlineStr">
        <is>
          <t>Operations</t>
        </is>
      </c>
      <c r="C157" s="37">
        <f>IF('Operations'!B11="","",'Operations'!B11)</f>
        <v/>
      </c>
      <c r="D157" s="37">
        <f>IF('Operations'!C11="","",'Operations'!C11)</f>
        <v/>
      </c>
      <c r="E157" s="37">
        <f>IF('Operations'!D11="","",'Operations'!D11)</f>
        <v/>
      </c>
      <c r="F157" s="37">
        <f>IF('Operations'!E11="","",'Operations'!E11)</f>
        <v/>
      </c>
      <c r="G157" s="38">
        <f>IF('Operations'!F11="","",'Operations'!F11)</f>
        <v/>
      </c>
      <c r="H157" s="38">
        <f>IF('Operations'!G11="","",'Operations'!G11)</f>
        <v/>
      </c>
      <c r="I157" s="37">
        <f>IF('Operations'!H11="","",'Operations'!H11)</f>
        <v/>
      </c>
      <c r="J157" s="38">
        <f>IF('Operations'!I11="","",'Operations'!I11)</f>
        <v/>
      </c>
      <c r="K157" s="37">
        <f>IF('Operations'!J11="","",'Operations'!J11)</f>
        <v/>
      </c>
      <c r="L157" s="37">
        <f>IF('Operations'!K11="","",'Operations'!K11)</f>
        <v/>
      </c>
      <c r="M157" s="37">
        <f>IF('Operations'!L11="","",'Operations'!L11)</f>
        <v/>
      </c>
      <c r="N157" s="38">
        <f>IF('Operations'!M11="","",'Operations'!M11)</f>
        <v/>
      </c>
    </row>
    <row r="158">
      <c r="A158" s="39">
        <f>IF('Operations'!A12="","",'Operations'!A12)</f>
        <v/>
      </c>
      <c r="B158" s="39" t="inlineStr">
        <is>
          <t>Operations</t>
        </is>
      </c>
      <c r="C158" s="39">
        <f>IF('Operations'!B12="","",'Operations'!B12)</f>
        <v/>
      </c>
      <c r="D158" s="39">
        <f>IF('Operations'!C12="","",'Operations'!C12)</f>
        <v/>
      </c>
      <c r="E158" s="39">
        <f>IF('Operations'!D12="","",'Operations'!D12)</f>
        <v/>
      </c>
      <c r="F158" s="39">
        <f>IF('Operations'!E12="","",'Operations'!E12)</f>
        <v/>
      </c>
      <c r="G158" s="40">
        <f>IF('Operations'!F12="","",'Operations'!F12)</f>
        <v/>
      </c>
      <c r="H158" s="40">
        <f>IF('Operations'!G12="","",'Operations'!G12)</f>
        <v/>
      </c>
      <c r="I158" s="39">
        <f>IF('Operations'!H12="","",'Operations'!H12)</f>
        <v/>
      </c>
      <c r="J158" s="40">
        <f>IF('Operations'!I12="","",'Operations'!I12)</f>
        <v/>
      </c>
      <c r="K158" s="39">
        <f>IF('Operations'!J12="","",'Operations'!J12)</f>
        <v/>
      </c>
      <c r="L158" s="39">
        <f>IF('Operations'!K12="","",'Operations'!K12)</f>
        <v/>
      </c>
      <c r="M158" s="39">
        <f>IF('Operations'!L12="","",'Operations'!L12)</f>
        <v/>
      </c>
      <c r="N158" s="40">
        <f>IF('Operations'!M12="","",'Operations'!M12)</f>
        <v/>
      </c>
    </row>
    <row r="159">
      <c r="A159" s="37">
        <f>IF('Operations'!A13="","",'Operations'!A13)</f>
        <v/>
      </c>
      <c r="B159" s="37" t="inlineStr">
        <is>
          <t>Operations</t>
        </is>
      </c>
      <c r="C159" s="37">
        <f>IF('Operations'!B13="","",'Operations'!B13)</f>
        <v/>
      </c>
      <c r="D159" s="37">
        <f>IF('Operations'!C13="","",'Operations'!C13)</f>
        <v/>
      </c>
      <c r="E159" s="37">
        <f>IF('Operations'!D13="","",'Operations'!D13)</f>
        <v/>
      </c>
      <c r="F159" s="37">
        <f>IF('Operations'!E13="","",'Operations'!E13)</f>
        <v/>
      </c>
      <c r="G159" s="38">
        <f>IF('Operations'!F13="","",'Operations'!F13)</f>
        <v/>
      </c>
      <c r="H159" s="38">
        <f>IF('Operations'!G13="","",'Operations'!G13)</f>
        <v/>
      </c>
      <c r="I159" s="37">
        <f>IF('Operations'!H13="","",'Operations'!H13)</f>
        <v/>
      </c>
      <c r="J159" s="38">
        <f>IF('Operations'!I13="","",'Operations'!I13)</f>
        <v/>
      </c>
      <c r="K159" s="37">
        <f>IF('Operations'!J13="","",'Operations'!J13)</f>
        <v/>
      </c>
      <c r="L159" s="37">
        <f>IF('Operations'!K13="","",'Operations'!K13)</f>
        <v/>
      </c>
      <c r="M159" s="37">
        <f>IF('Operations'!L13="","",'Operations'!L13)</f>
        <v/>
      </c>
      <c r="N159" s="38">
        <f>IF('Operations'!M13="","",'Operations'!M13)</f>
        <v/>
      </c>
    </row>
    <row r="160">
      <c r="A160" s="39">
        <f>IF('Operations'!A14="","",'Operations'!A14)</f>
        <v/>
      </c>
      <c r="B160" s="39" t="inlineStr">
        <is>
          <t>Operations</t>
        </is>
      </c>
      <c r="C160" s="39">
        <f>IF('Operations'!B14="","",'Operations'!B14)</f>
        <v/>
      </c>
      <c r="D160" s="39">
        <f>IF('Operations'!C14="","",'Operations'!C14)</f>
        <v/>
      </c>
      <c r="E160" s="39">
        <f>IF('Operations'!D14="","",'Operations'!D14)</f>
        <v/>
      </c>
      <c r="F160" s="39">
        <f>IF('Operations'!E14="","",'Operations'!E14)</f>
        <v/>
      </c>
      <c r="G160" s="40">
        <f>IF('Operations'!F14="","",'Operations'!F14)</f>
        <v/>
      </c>
      <c r="H160" s="40">
        <f>IF('Operations'!G14="","",'Operations'!G14)</f>
        <v/>
      </c>
      <c r="I160" s="39">
        <f>IF('Operations'!H14="","",'Operations'!H14)</f>
        <v/>
      </c>
      <c r="J160" s="40">
        <f>IF('Operations'!I14="","",'Operations'!I14)</f>
        <v/>
      </c>
      <c r="K160" s="39">
        <f>IF('Operations'!J14="","",'Operations'!J14)</f>
        <v/>
      </c>
      <c r="L160" s="39">
        <f>IF('Operations'!K14="","",'Operations'!K14)</f>
        <v/>
      </c>
      <c r="M160" s="39">
        <f>IF('Operations'!L14="","",'Operations'!L14)</f>
        <v/>
      </c>
      <c r="N160" s="40">
        <f>IF('Operations'!M14="","",'Operations'!M14)</f>
        <v/>
      </c>
    </row>
    <row r="161">
      <c r="A161" s="37">
        <f>IF('Operations'!A15="","",'Operations'!A15)</f>
        <v/>
      </c>
      <c r="B161" s="37" t="inlineStr">
        <is>
          <t>Operations</t>
        </is>
      </c>
      <c r="C161" s="37">
        <f>IF('Operations'!B15="","",'Operations'!B15)</f>
        <v/>
      </c>
      <c r="D161" s="37">
        <f>IF('Operations'!C15="","",'Operations'!C15)</f>
        <v/>
      </c>
      <c r="E161" s="37">
        <f>IF('Operations'!D15="","",'Operations'!D15)</f>
        <v/>
      </c>
      <c r="F161" s="37">
        <f>IF('Operations'!E15="","",'Operations'!E15)</f>
        <v/>
      </c>
      <c r="G161" s="38">
        <f>IF('Operations'!F15="","",'Operations'!F15)</f>
        <v/>
      </c>
      <c r="H161" s="38">
        <f>IF('Operations'!G15="","",'Operations'!G15)</f>
        <v/>
      </c>
      <c r="I161" s="37">
        <f>IF('Operations'!H15="","",'Operations'!H15)</f>
        <v/>
      </c>
      <c r="J161" s="38">
        <f>IF('Operations'!I15="","",'Operations'!I15)</f>
        <v/>
      </c>
      <c r="K161" s="37">
        <f>IF('Operations'!J15="","",'Operations'!J15)</f>
        <v/>
      </c>
      <c r="L161" s="37">
        <f>IF('Operations'!K15="","",'Operations'!K15)</f>
        <v/>
      </c>
      <c r="M161" s="37">
        <f>IF('Operations'!L15="","",'Operations'!L15)</f>
        <v/>
      </c>
      <c r="N161" s="38">
        <f>IF('Operations'!M15="","",'Operations'!M15)</f>
        <v/>
      </c>
    </row>
    <row r="162">
      <c r="A162" s="39">
        <f>IF('Operations'!A16="","",'Operations'!A16)</f>
        <v/>
      </c>
      <c r="B162" s="39" t="inlineStr">
        <is>
          <t>Operations</t>
        </is>
      </c>
      <c r="C162" s="39">
        <f>IF('Operations'!B16="","",'Operations'!B16)</f>
        <v/>
      </c>
      <c r="D162" s="39">
        <f>IF('Operations'!C16="","",'Operations'!C16)</f>
        <v/>
      </c>
      <c r="E162" s="39">
        <f>IF('Operations'!D16="","",'Operations'!D16)</f>
        <v/>
      </c>
      <c r="F162" s="39">
        <f>IF('Operations'!E16="","",'Operations'!E16)</f>
        <v/>
      </c>
      <c r="G162" s="40">
        <f>IF('Operations'!F16="","",'Operations'!F16)</f>
        <v/>
      </c>
      <c r="H162" s="40">
        <f>IF('Operations'!G16="","",'Operations'!G16)</f>
        <v/>
      </c>
      <c r="I162" s="39">
        <f>IF('Operations'!H16="","",'Operations'!H16)</f>
        <v/>
      </c>
      <c r="J162" s="40">
        <f>IF('Operations'!I16="","",'Operations'!I16)</f>
        <v/>
      </c>
      <c r="K162" s="39">
        <f>IF('Operations'!J16="","",'Operations'!J16)</f>
        <v/>
      </c>
      <c r="L162" s="39">
        <f>IF('Operations'!K16="","",'Operations'!K16)</f>
        <v/>
      </c>
      <c r="M162" s="39">
        <f>IF('Operations'!L16="","",'Operations'!L16)</f>
        <v/>
      </c>
      <c r="N162" s="40">
        <f>IF('Operations'!M16="","",'Operations'!M16)</f>
        <v/>
      </c>
    </row>
    <row r="163">
      <c r="A163" s="37">
        <f>IF('Operations'!A17="","",'Operations'!A17)</f>
        <v/>
      </c>
      <c r="B163" s="37" t="inlineStr">
        <is>
          <t>Operations</t>
        </is>
      </c>
      <c r="C163" s="37">
        <f>IF('Operations'!B17="","",'Operations'!B17)</f>
        <v/>
      </c>
      <c r="D163" s="37">
        <f>IF('Operations'!C17="","",'Operations'!C17)</f>
        <v/>
      </c>
      <c r="E163" s="37">
        <f>IF('Operations'!D17="","",'Operations'!D17)</f>
        <v/>
      </c>
      <c r="F163" s="37">
        <f>IF('Operations'!E17="","",'Operations'!E17)</f>
        <v/>
      </c>
      <c r="G163" s="38">
        <f>IF('Operations'!F17="","",'Operations'!F17)</f>
        <v/>
      </c>
      <c r="H163" s="38">
        <f>IF('Operations'!G17="","",'Operations'!G17)</f>
        <v/>
      </c>
      <c r="I163" s="37">
        <f>IF('Operations'!H17="","",'Operations'!H17)</f>
        <v/>
      </c>
      <c r="J163" s="38">
        <f>IF('Operations'!I17="","",'Operations'!I17)</f>
        <v/>
      </c>
      <c r="K163" s="37">
        <f>IF('Operations'!J17="","",'Operations'!J17)</f>
        <v/>
      </c>
      <c r="L163" s="37">
        <f>IF('Operations'!K17="","",'Operations'!K17)</f>
        <v/>
      </c>
      <c r="M163" s="37">
        <f>IF('Operations'!L17="","",'Operations'!L17)</f>
        <v/>
      </c>
      <c r="N163" s="38">
        <f>IF('Operations'!M17="","",'Operations'!M17)</f>
        <v/>
      </c>
    </row>
    <row r="164">
      <c r="A164" s="39">
        <f>IF('Operations'!A18="","",'Operations'!A18)</f>
        <v/>
      </c>
      <c r="B164" s="39" t="inlineStr">
        <is>
          <t>Operations</t>
        </is>
      </c>
      <c r="C164" s="39">
        <f>IF('Operations'!B18="","",'Operations'!B18)</f>
        <v/>
      </c>
      <c r="D164" s="39">
        <f>IF('Operations'!C18="","",'Operations'!C18)</f>
        <v/>
      </c>
      <c r="E164" s="39">
        <f>IF('Operations'!D18="","",'Operations'!D18)</f>
        <v/>
      </c>
      <c r="F164" s="39">
        <f>IF('Operations'!E18="","",'Operations'!E18)</f>
        <v/>
      </c>
      <c r="G164" s="40">
        <f>IF('Operations'!F18="","",'Operations'!F18)</f>
        <v/>
      </c>
      <c r="H164" s="40">
        <f>IF('Operations'!G18="","",'Operations'!G18)</f>
        <v/>
      </c>
      <c r="I164" s="39">
        <f>IF('Operations'!H18="","",'Operations'!H18)</f>
        <v/>
      </c>
      <c r="J164" s="40">
        <f>IF('Operations'!I18="","",'Operations'!I18)</f>
        <v/>
      </c>
      <c r="K164" s="39">
        <f>IF('Operations'!J18="","",'Operations'!J18)</f>
        <v/>
      </c>
      <c r="L164" s="39">
        <f>IF('Operations'!K18="","",'Operations'!K18)</f>
        <v/>
      </c>
      <c r="M164" s="39">
        <f>IF('Operations'!L18="","",'Operations'!L18)</f>
        <v/>
      </c>
      <c r="N164" s="40">
        <f>IF('Operations'!M18="","",'Operations'!M18)</f>
        <v/>
      </c>
    </row>
    <row r="165">
      <c r="A165" s="37">
        <f>IF('Operations'!A19="","",'Operations'!A19)</f>
        <v/>
      </c>
      <c r="B165" s="37" t="inlineStr">
        <is>
          <t>Operations</t>
        </is>
      </c>
      <c r="C165" s="37">
        <f>IF('Operations'!B19="","",'Operations'!B19)</f>
        <v/>
      </c>
      <c r="D165" s="37">
        <f>IF('Operations'!C19="","",'Operations'!C19)</f>
        <v/>
      </c>
      <c r="E165" s="37">
        <f>IF('Operations'!D19="","",'Operations'!D19)</f>
        <v/>
      </c>
      <c r="F165" s="37">
        <f>IF('Operations'!E19="","",'Operations'!E19)</f>
        <v/>
      </c>
      <c r="G165" s="38">
        <f>IF('Operations'!F19="","",'Operations'!F19)</f>
        <v/>
      </c>
      <c r="H165" s="38">
        <f>IF('Operations'!G19="","",'Operations'!G19)</f>
        <v/>
      </c>
      <c r="I165" s="37">
        <f>IF('Operations'!H19="","",'Operations'!H19)</f>
        <v/>
      </c>
      <c r="J165" s="38">
        <f>IF('Operations'!I19="","",'Operations'!I19)</f>
        <v/>
      </c>
      <c r="K165" s="37">
        <f>IF('Operations'!J19="","",'Operations'!J19)</f>
        <v/>
      </c>
      <c r="L165" s="37">
        <f>IF('Operations'!K19="","",'Operations'!K19)</f>
        <v/>
      </c>
      <c r="M165" s="37">
        <f>IF('Operations'!L19="","",'Operations'!L19)</f>
        <v/>
      </c>
      <c r="N165" s="38">
        <f>IF('Operations'!M19="","",'Operations'!M19)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4:N1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Project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solution.name</t>
        </is>
      </c>
      <c r="B3" s="39" t="inlineStr">
        <is>
          <t>medcore-cds</t>
        </is>
      </c>
      <c r="C3" s="39" t="inlineStr">
        <is>
          <t>medcore-cds</t>
        </is>
      </c>
      <c r="D3" s="39" t="inlineStr">
        <is>
          <t>medcore-cds</t>
        </is>
      </c>
      <c r="E3" s="39" t="inlineStr">
        <is>
          <t>Solution identifier used for resource naming and tagging across all environments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lowercase alphanumeric hyphens only max 50 chars</t>
        </is>
      </c>
      <c r="I3" s="40" t="inlineStr">
        <is>
          <t>Public</t>
        </is>
      </c>
      <c r="J3" s="39" t="inlineStr">
        <is>
          <t>Cloud CoE</t>
        </is>
      </c>
      <c r="K3" s="39" t="inlineStr"/>
      <c r="L3" s="39" t="inlineStr"/>
      <c r="M3" s="40" t="inlineStr">
        <is>
          <t>2025-06-18</t>
        </is>
      </c>
    </row>
    <row r="4" ht="26" customHeight="1">
      <c r="A4" s="43" t="inlineStr">
        <is>
          <t>solution.region.primary</t>
        </is>
      </c>
      <c r="B4" s="37" t="inlineStr">
        <is>
          <t>us-east-1</t>
        </is>
      </c>
      <c r="C4" s="37" t="inlineStr">
        <is>
          <t>us-east-1</t>
        </is>
      </c>
      <c r="D4" s="37" t="inlineStr">
        <is>
          <t>us-west-2</t>
        </is>
      </c>
      <c r="E4" s="37" t="inlineStr">
        <is>
          <t>Primary AWS region for all active CDS Platform resources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Valid AWS region code</t>
        </is>
      </c>
      <c r="I4" s="38" t="inlineStr">
        <is>
          <t>Public</t>
        </is>
      </c>
      <c r="J4" s="37" t="inlineStr">
        <is>
          <t>Cloud CoE</t>
        </is>
      </c>
      <c r="K4" s="37" t="inlineStr"/>
      <c r="L4" s="37" t="inlineStr">
        <is>
          <t>DR region is us-west-2 passive standby per SOW multi-region design</t>
        </is>
      </c>
      <c r="M4" s="38" t="inlineStr">
        <is>
          <t>2025-06-18</t>
        </is>
      </c>
    </row>
    <row r="5" ht="26" customHeight="1">
      <c r="A5" s="42" t="inlineStr">
        <is>
          <t>solution.region.dr</t>
        </is>
      </c>
      <c r="B5" s="39" t="inlineStr">
        <is>
          <t>us-west-2</t>
        </is>
      </c>
      <c r="C5" s="39" t="inlineStr">
        <is>
          <t>us-west-2</t>
        </is>
      </c>
      <c r="D5" s="39" t="inlineStr">
        <is>
          <t>us-west-2</t>
        </is>
      </c>
      <c r="E5" s="39" t="inlineStr">
        <is>
          <t>Passive disaster recovery AWS region for CDS Platform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Valid AWS region code</t>
        </is>
      </c>
      <c r="I5" s="40" t="inlineStr">
        <is>
          <t>Public</t>
        </is>
      </c>
      <c r="J5" s="39" t="inlineStr">
        <is>
          <t>Cloud CoE</t>
        </is>
      </c>
      <c r="K5" s="39" t="inlineStr">
        <is>
          <t>solution.region.primary</t>
        </is>
      </c>
      <c r="L5" s="39" t="inlineStr">
        <is>
          <t>Route 53 health-check failover promotes DR region; RTO target ≤ 4 hours</t>
        </is>
      </c>
      <c r="M5" s="40" t="inlineStr">
        <is>
          <t>2025-06-18</t>
        </is>
      </c>
    </row>
    <row r="6" ht="26" customHeight="1">
      <c r="A6" s="43" t="inlineStr">
        <is>
          <t>solution.environment</t>
        </is>
      </c>
      <c r="B6" s="37" t="inlineStr">
        <is>
          <t>prod</t>
        </is>
      </c>
      <c r="C6" s="37" t="inlineStr">
        <is>
          <t>qa</t>
        </is>
      </c>
      <c r="D6" s="37" t="inlineStr">
        <is>
          <t>prod</t>
        </is>
      </c>
      <c r="E6" s="37" t="inlineStr">
        <is>
          <t>Deployment environment identifier used in all resource names and tags</t>
        </is>
      </c>
      <c r="F6" s="38" t="inlineStr">
        <is>
          <t>Yes</t>
        </is>
      </c>
      <c r="G6" s="38" t="inlineStr">
        <is>
          <t>String</t>
        </is>
      </c>
      <c r="H6" s="37" t="inlineStr">
        <is>
          <t>prod|staging|qa|dev</t>
        </is>
      </c>
      <c r="I6" s="38" t="inlineStr">
        <is>
          <t>Public</t>
        </is>
      </c>
      <c r="J6" s="37" t="inlineStr">
        <is>
          <t>Cloud CoE</t>
        </is>
      </c>
      <c r="K6" s="37" t="inlineStr"/>
      <c r="L6" s="37" t="inlineStr">
        <is>
          <t>DR environment mirrors production configuration</t>
        </is>
      </c>
      <c r="M6" s="38" t="inlineStr">
        <is>
          <t>2025-06-18</t>
        </is>
      </c>
    </row>
    <row r="7" ht="26" customHeight="1">
      <c r="A7" s="42" t="inlineStr">
        <is>
          <t>solution.account_id</t>
        </is>
      </c>
      <c r="B7" s="39" t="inlineStr">
        <is>
          <t>[aws-account-id]</t>
        </is>
      </c>
      <c r="C7" s="39" t="inlineStr">
        <is>
          <t>[aws-account-id]</t>
        </is>
      </c>
      <c r="D7" s="39" t="inlineStr">
        <is>
          <t>[aws-account-id]</t>
        </is>
      </c>
      <c r="E7" s="39" t="inlineStr">
        <is>
          <t>Dedicated AWS account ID under MedCore Clinical Applications OU</t>
        </is>
      </c>
      <c r="F7" s="40" t="inlineStr">
        <is>
          <t>Yes</t>
        </is>
      </c>
      <c r="G7" s="40" t="inlineStr">
        <is>
          <t>String</t>
        </is>
      </c>
      <c r="H7" s="39" t="inlineStr">
        <is>
          <t>12-digit numeric</t>
        </is>
      </c>
      <c r="I7" s="40" t="inlineStr">
        <is>
          <t>Confidential</t>
        </is>
      </c>
      <c r="J7" s="39" t="inlineStr">
        <is>
          <t>Cloud CoE</t>
        </is>
      </c>
      <c r="K7" s="39" t="inlineStr"/>
      <c r="L7" s="39" t="inlineStr">
        <is>
          <t>Dedicated CDS account under Clinical Applications OU per SOW scope</t>
        </is>
      </c>
      <c r="M7" s="40" t="inlineStr">
        <is>
          <t>2025-06-18</t>
        </is>
      </c>
    </row>
    <row r="8" ht="26" customHeight="1">
      <c r="A8" s="43" t="inlineStr">
        <is>
          <t>solution.opportunity_no</t>
        </is>
      </c>
      <c r="B8" s="37" t="inlineStr">
        <is>
          <t>OPP-2026-0047</t>
        </is>
      </c>
      <c r="C8" s="37" t="inlineStr">
        <is>
          <t>OPP-2026-0047</t>
        </is>
      </c>
      <c r="D8" s="37" t="inlineStr">
        <is>
          <t>OPP-2026-0047</t>
        </is>
      </c>
      <c r="E8" s="37" t="inlineStr">
        <is>
          <t>Amatra opportunity number for cost allocation and billing reference</t>
        </is>
      </c>
      <c r="F8" s="38" t="inlineStr">
        <is>
          <t>Yes</t>
        </is>
      </c>
      <c r="G8" s="38" t="inlineStr">
        <is>
          <t>String</t>
        </is>
      </c>
      <c r="H8" s="37" t="inlineStr">
        <is>
          <t>OPP-YYYY-NNNN format</t>
        </is>
      </c>
      <c r="I8" s="38" t="inlineStr">
        <is>
          <t>Public</t>
        </is>
      </c>
      <c r="J8" s="37" t="inlineStr">
        <is>
          <t>Cloud CoE</t>
        </is>
      </c>
      <c r="K8" s="37" t="inlineStr"/>
      <c r="L8" s="37" t="inlineStr">
        <is>
          <t>Referenced on all Amatra invoices per SOW Terms section</t>
        </is>
      </c>
      <c r="M8" s="38" t="inlineStr">
        <is>
          <t>2025-06-18</t>
        </is>
      </c>
    </row>
    <row r="9" ht="26" customHeight="1">
      <c r="A9" s="42" t="inlineStr">
        <is>
          <t>solution.phase</t>
        </is>
      </c>
      <c r="B9" s="39" t="inlineStr">
        <is>
          <t>phase1</t>
        </is>
      </c>
      <c r="C9" s="39" t="inlineStr">
        <is>
          <t>phase1</t>
        </is>
      </c>
      <c r="D9" s="39" t="inlineStr">
        <is>
          <t>phase1</t>
        </is>
      </c>
      <c r="E9" s="39" t="inlineStr">
        <is>
          <t>Current active delivery phase; updated at each phase go-live milestone</t>
        </is>
      </c>
      <c r="F9" s="40" t="inlineStr">
        <is>
          <t>Yes</t>
        </is>
      </c>
      <c r="G9" s="40" t="inlineStr">
        <is>
          <t>String</t>
        </is>
      </c>
      <c r="H9" s="39" t="inlineStr">
        <is>
          <t>phase1|phase2|phase3</t>
        </is>
      </c>
      <c r="I9" s="40" t="inlineStr">
        <is>
          <t>Public</t>
        </is>
      </c>
      <c r="J9" s="39" t="inlineStr">
        <is>
          <t>Cloud CoE</t>
        </is>
      </c>
      <c r="K9" s="39" t="inlineStr"/>
      <c r="L9" s="39" t="inlineStr">
        <is>
          <t>Phase 1 go-live target 2026-10-31; Phase 2 by 2027-02-28; Phase 3 by 2027-06-30</t>
        </is>
      </c>
      <c r="M9" s="40" t="inlineStr">
        <is>
          <t>2025-06-18</t>
        </is>
      </c>
    </row>
    <row r="10" ht="26" customHeight="1">
      <c r="A10" s="43" t="inlineStr">
        <is>
          <t>aws.organization_ou</t>
        </is>
      </c>
      <c r="B10" s="37" t="inlineStr">
        <is>
          <t>Clinical Applications OU</t>
        </is>
      </c>
      <c r="C10" s="37" t="inlineStr">
        <is>
          <t>Clinical Applications OU</t>
        </is>
      </c>
      <c r="D10" s="37" t="inlineStr">
        <is>
          <t>Clinical Applications OU</t>
        </is>
      </c>
      <c r="E10" s="37" t="inlineStr">
        <is>
          <t>AWS Organizations OU under which the CDS account is provisioned</t>
        </is>
      </c>
      <c r="F10" s="38" t="inlineStr">
        <is>
          <t>Yes</t>
        </is>
      </c>
      <c r="G10" s="38" t="inlineStr">
        <is>
          <t>String</t>
        </is>
      </c>
      <c r="H10" s="37" t="inlineStr">
        <is>
          <t>Valid OU name or ID</t>
        </is>
      </c>
      <c r="I10" s="38" t="inlineStr">
        <is>
          <t>Confidential</t>
        </is>
      </c>
      <c r="J10" s="37" t="inlineStr">
        <is>
          <t>Cloud CoE</t>
        </is>
      </c>
      <c r="K10" s="37" t="inlineStr">
        <is>
          <t>solution.account_id</t>
        </is>
      </c>
      <c r="L10" s="37" t="inlineStr">
        <is>
          <t>SCPs at OU level prevent PHI leaving US regions and block direct console changes in production</t>
        </is>
      </c>
      <c r="M10" s="38" t="inlineStr">
        <is>
          <t>2025-06-18</t>
        </is>
      </c>
    </row>
  </sheetData>
  <autoFilter ref="A2:M10"/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Networking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networking.vpc_cidr_primary</t>
        </is>
      </c>
      <c r="B3" s="39" t="inlineStr">
        <is>
          <t>10.10.0.0/16</t>
        </is>
      </c>
      <c r="C3" s="39" t="inlineStr">
        <is>
          <t>10.20.0.0/16</t>
        </is>
      </c>
      <c r="D3" s="39" t="inlineStr">
        <is>
          <t>10.11.0.0/16</t>
        </is>
      </c>
      <c r="E3" s="39" t="inlineStr">
        <is>
          <t>VPC CIDR block for the CDS Platform in the primary region (us-east-1)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Valid /16 CIDR block</t>
        </is>
      </c>
      <c r="I3" s="40" t="inlineStr">
        <is>
          <t>Confidential</t>
        </is>
      </c>
      <c r="J3" s="39" t="inlineStr">
        <is>
          <t>Network Team</t>
        </is>
      </c>
      <c r="K3" s="39" t="inlineStr"/>
      <c r="L3" s="39" t="inlineStr">
        <is>
          <t>All PHI traffic on private subnets; no public internet traversal for data paths per security design</t>
        </is>
      </c>
      <c r="M3" s="40" t="inlineStr">
        <is>
          <t>2025-06-18</t>
        </is>
      </c>
    </row>
    <row r="4" ht="26" customHeight="1">
      <c r="A4" s="43" t="inlineStr">
        <is>
          <t>networking.subnet_cidr_public_az1</t>
        </is>
      </c>
      <c r="B4" s="37" t="inlineStr">
        <is>
          <t>10.10.0.0/24</t>
        </is>
      </c>
      <c r="C4" s="37" t="inlineStr">
        <is>
          <t>10.20.0.0/24</t>
        </is>
      </c>
      <c r="D4" s="37" t="inlineStr">
        <is>
          <t>10.11.0.0/24</t>
        </is>
      </c>
      <c r="E4" s="37" t="inlineStr">
        <is>
          <t>Public subnet CIDR for AZ1 (ALB and NAT Gateway only; no application workloads)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Valid CIDR within VPC CIDR</t>
        </is>
      </c>
      <c r="I4" s="38" t="inlineStr">
        <is>
          <t>Confidential</t>
        </is>
      </c>
      <c r="J4" s="37" t="inlineStr">
        <is>
          <t>Network Team</t>
        </is>
      </c>
      <c r="K4" s="37" t="inlineStr">
        <is>
          <t>networking.vpc_cidr_primary</t>
        </is>
      </c>
      <c r="L4" s="37" t="inlineStr">
        <is>
          <t>Only ALBs and NAT Gateways deployed in public subnets per network segmentation design</t>
        </is>
      </c>
      <c r="M4" s="38" t="inlineStr">
        <is>
          <t>2025-06-18</t>
        </is>
      </c>
    </row>
    <row r="5" ht="26" customHeight="1">
      <c r="A5" s="42" t="inlineStr">
        <is>
          <t>networking.subnet_cidr_public_az2</t>
        </is>
      </c>
      <c r="B5" s="39" t="inlineStr">
        <is>
          <t>10.10.1.0/24</t>
        </is>
      </c>
      <c r="C5" s="39" t="inlineStr">
        <is>
          <t>10.20.1.0/24</t>
        </is>
      </c>
      <c r="D5" s="39" t="inlineStr">
        <is>
          <t>10.11.1.0/24</t>
        </is>
      </c>
      <c r="E5" s="39" t="inlineStr">
        <is>
          <t>Public subnet CIDR for AZ2 (ALB and NAT Gateway only; no application workloads)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Valid CIDR within VPC CIDR</t>
        </is>
      </c>
      <c r="I5" s="40" t="inlineStr">
        <is>
          <t>Confidential</t>
        </is>
      </c>
      <c r="J5" s="39" t="inlineStr">
        <is>
          <t>Network Team</t>
        </is>
      </c>
      <c r="K5" s="39" t="inlineStr">
        <is>
          <t>networking.vpc_cidr_primary</t>
        </is>
      </c>
      <c r="L5" s="39" t="inlineStr"/>
      <c r="M5" s="40" t="inlineStr">
        <is>
          <t>2025-06-18</t>
        </is>
      </c>
    </row>
    <row r="6" ht="26" customHeight="1">
      <c r="A6" s="43" t="inlineStr">
        <is>
          <t>networking.subnet_cidr_app_az1</t>
        </is>
      </c>
      <c r="B6" s="37" t="inlineStr">
        <is>
          <t>10.10.10.0/23</t>
        </is>
      </c>
      <c r="C6" s="37" t="inlineStr">
        <is>
          <t>10.20.10.0/23</t>
        </is>
      </c>
      <c r="D6" s="37" t="inlineStr">
        <is>
          <t>10.11.10.0/23</t>
        </is>
      </c>
      <c r="E6" s="37" t="inlineStr">
        <is>
          <t>Private application subnet CIDR for AZ1 hosting ECS Fargate tasks and VPC-attached Lambdas</t>
        </is>
      </c>
      <c r="F6" s="38" t="inlineStr">
        <is>
          <t>Yes</t>
        </is>
      </c>
      <c r="G6" s="38" t="inlineStr">
        <is>
          <t>String</t>
        </is>
      </c>
      <c r="H6" s="37" t="inlineStr">
        <is>
          <t>Valid CIDR within VPC CIDR</t>
        </is>
      </c>
      <c r="I6" s="38" t="inlineStr">
        <is>
          <t>Confidential</t>
        </is>
      </c>
      <c r="J6" s="37" t="inlineStr">
        <is>
          <t>Network Team</t>
        </is>
      </c>
      <c r="K6" s="37" t="inlineStr">
        <is>
          <t>networking.vpc_cidr_primary</t>
        </is>
      </c>
      <c r="L6" s="37" t="inlineStr">
        <is>
          <t>No direct internet routing; all egress via NAT Gateway or PrivateLink</t>
        </is>
      </c>
      <c r="M6" s="38" t="inlineStr">
        <is>
          <t>2025-06-18</t>
        </is>
      </c>
    </row>
    <row r="7" ht="26" customHeight="1">
      <c r="A7" s="42" t="inlineStr">
        <is>
          <t>networking.subnet_cidr_app_az2</t>
        </is>
      </c>
      <c r="B7" s="39" t="inlineStr">
        <is>
          <t>10.10.12.0/23</t>
        </is>
      </c>
      <c r="C7" s="39" t="inlineStr">
        <is>
          <t>10.20.12.0/23</t>
        </is>
      </c>
      <c r="D7" s="39" t="inlineStr">
        <is>
          <t>10.11.12.0/23</t>
        </is>
      </c>
      <c r="E7" s="39" t="inlineStr">
        <is>
          <t>Private application subnet CIDR for AZ2 hosting ECS Fargate tasks and VPC-attached Lambdas</t>
        </is>
      </c>
      <c r="F7" s="40" t="inlineStr">
        <is>
          <t>Yes</t>
        </is>
      </c>
      <c r="G7" s="40" t="inlineStr">
        <is>
          <t>String</t>
        </is>
      </c>
      <c r="H7" s="39" t="inlineStr">
        <is>
          <t>Valid CIDR within VPC CIDR</t>
        </is>
      </c>
      <c r="I7" s="40" t="inlineStr">
        <is>
          <t>Confidential</t>
        </is>
      </c>
      <c r="J7" s="39" t="inlineStr">
        <is>
          <t>Network Team</t>
        </is>
      </c>
      <c r="K7" s="39" t="inlineStr">
        <is>
          <t>networking.vpc_cidr_primary</t>
        </is>
      </c>
      <c r="L7" s="39" t="inlineStr"/>
      <c r="M7" s="40" t="inlineStr">
        <is>
          <t>2025-06-18</t>
        </is>
      </c>
    </row>
    <row r="8" ht="26" customHeight="1">
      <c r="A8" s="43" t="inlineStr">
        <is>
          <t>networking.subnet_cidr_app_az3</t>
        </is>
      </c>
      <c r="B8" s="37" t="inlineStr">
        <is>
          <t>10.10.14.0/23</t>
        </is>
      </c>
      <c r="C8" s="37" t="inlineStr">
        <is>
          <t>10.20.14.0/23</t>
        </is>
      </c>
      <c r="D8" s="37" t="inlineStr">
        <is>
          <t>10.11.14.0/23</t>
        </is>
      </c>
      <c r="E8" s="37" t="inlineStr">
        <is>
          <t>Private application subnet CIDR for AZ3 hosting ECS Fargate tasks and VPC-attached Lambdas</t>
        </is>
      </c>
      <c r="F8" s="38" t="inlineStr">
        <is>
          <t>Yes</t>
        </is>
      </c>
      <c r="G8" s="38" t="inlineStr">
        <is>
          <t>String</t>
        </is>
      </c>
      <c r="H8" s="37" t="inlineStr">
        <is>
          <t>Valid CIDR within VPC CIDR</t>
        </is>
      </c>
      <c r="I8" s="38" t="inlineStr">
        <is>
          <t>Confidential</t>
        </is>
      </c>
      <c r="J8" s="37" t="inlineStr">
        <is>
          <t>Network Team</t>
        </is>
      </c>
      <c r="K8" s="37" t="inlineStr">
        <is>
          <t>networking.vpc_cidr_primary</t>
        </is>
      </c>
      <c r="L8" s="37" t="inlineStr">
        <is>
          <t>Three AZs required for 99.95% availability SLA per high availability design</t>
        </is>
      </c>
      <c r="M8" s="38" t="inlineStr">
        <is>
          <t>2025-06-18</t>
        </is>
      </c>
    </row>
    <row r="9" ht="26" customHeight="1">
      <c r="A9" s="42" t="inlineStr">
        <is>
          <t>networking.subnet_cidr_data_az1</t>
        </is>
      </c>
      <c r="B9" s="39" t="inlineStr">
        <is>
          <t>10.10.20.0/24</t>
        </is>
      </c>
      <c r="C9" s="39" t="inlineStr">
        <is>
          <t>10.20.20.0/24</t>
        </is>
      </c>
      <c r="D9" s="39" t="inlineStr">
        <is>
          <t>10.11.20.0/24</t>
        </is>
      </c>
      <c r="E9" s="39" t="inlineStr">
        <is>
          <t>Private data subnet CIDR for AZ1 hosting RDS Aurora and ElastiCache Redis</t>
        </is>
      </c>
      <c r="F9" s="40" t="inlineStr">
        <is>
          <t>Yes</t>
        </is>
      </c>
      <c r="G9" s="40" t="inlineStr">
        <is>
          <t>String</t>
        </is>
      </c>
      <c r="H9" s="39" t="inlineStr">
        <is>
          <t>Valid CIDR within VPC CIDR</t>
        </is>
      </c>
      <c r="I9" s="40" t="inlineStr">
        <is>
          <t>Confidential</t>
        </is>
      </c>
      <c r="J9" s="39" t="inlineStr">
        <is>
          <t>Network Team</t>
        </is>
      </c>
      <c r="K9" s="39" t="inlineStr">
        <is>
          <t>networking.vpc_cidr_primary</t>
        </is>
      </c>
      <c r="L9" s="39" t="inlineStr">
        <is>
          <t>Data tier subnets allow inbound only from application tier Security Groups</t>
        </is>
      </c>
      <c r="M9" s="40" t="inlineStr">
        <is>
          <t>2025-06-18</t>
        </is>
      </c>
    </row>
    <row r="10" ht="26" customHeight="1">
      <c r="A10" s="43" t="inlineStr">
        <is>
          <t>networking.subnet_cidr_data_az2</t>
        </is>
      </c>
      <c r="B10" s="37" t="inlineStr">
        <is>
          <t>10.10.21.0/24</t>
        </is>
      </c>
      <c r="C10" s="37" t="inlineStr">
        <is>
          <t>10.20.21.0/24</t>
        </is>
      </c>
      <c r="D10" s="37" t="inlineStr">
        <is>
          <t>10.11.21.0/24</t>
        </is>
      </c>
      <c r="E10" s="37" t="inlineStr">
        <is>
          <t>Private data subnet CIDR for AZ2 hosting RDS Aurora replica and ElastiCache replica</t>
        </is>
      </c>
      <c r="F10" s="38" t="inlineStr">
        <is>
          <t>Yes</t>
        </is>
      </c>
      <c r="G10" s="38" t="inlineStr">
        <is>
          <t>String</t>
        </is>
      </c>
      <c r="H10" s="37" t="inlineStr">
        <is>
          <t>Valid CIDR within VPC CIDR</t>
        </is>
      </c>
      <c r="I10" s="38" t="inlineStr">
        <is>
          <t>Confidential</t>
        </is>
      </c>
      <c r="J10" s="37" t="inlineStr">
        <is>
          <t>Network Team</t>
        </is>
      </c>
      <c r="K10" s="37" t="inlineStr">
        <is>
          <t>networking.vpc_cidr_primary</t>
        </is>
      </c>
      <c r="L10" s="37" t="inlineStr"/>
      <c r="M10" s="38" t="inlineStr">
        <is>
          <t>2025-06-18</t>
        </is>
      </c>
    </row>
    <row r="11" ht="26" customHeight="1">
      <c r="A11" s="42" t="inlineStr">
        <is>
          <t>networking.nat_gateway_count</t>
        </is>
      </c>
      <c r="B11" s="39" t="inlineStr">
        <is>
          <t>2</t>
        </is>
      </c>
      <c r="C11" s="39" t="inlineStr">
        <is>
          <t>1</t>
        </is>
      </c>
      <c r="D11" s="39" t="inlineStr">
        <is>
          <t>2</t>
        </is>
      </c>
      <c r="E11" s="39" t="inlineStr">
        <is>
          <t>Number of NAT Gateway instances for outbound AWS control-plane calls</t>
        </is>
      </c>
      <c r="F11" s="40" t="inlineStr">
        <is>
          <t>Yes</t>
        </is>
      </c>
      <c r="G11" s="40" t="inlineStr">
        <is>
          <t>Integer</t>
        </is>
      </c>
      <c r="H11" s="39" t="inlineStr">
        <is>
          <t>1-3</t>
        </is>
      </c>
      <c r="I11" s="40" t="inlineStr">
        <is>
          <t>Public</t>
        </is>
      </c>
      <c r="J11" s="39" t="inlineStr">
        <is>
          <t>Network Team</t>
        </is>
      </c>
      <c r="K11" s="39" t="inlineStr">
        <is>
          <t>networking.vpc_cidr_primary</t>
        </is>
      </c>
      <c r="L11" s="39" t="inlineStr">
        <is>
          <t>One per AZ (us-east-1a and us-east-1b); PrivateLink eliminates NAT for PHI data paths</t>
        </is>
      </c>
      <c r="M11" s="40" t="inlineStr">
        <is>
          <t>2025-06-18</t>
        </is>
      </c>
    </row>
    <row r="12" ht="26" customHeight="1">
      <c r="A12" s="43" t="inlineStr">
        <is>
          <t>networking.direct_connect_bandwidth_gbps</t>
        </is>
      </c>
      <c r="B12" s="37" t="inlineStr">
        <is>
          <t>1</t>
        </is>
      </c>
      <c r="C12" s="37" t="inlineStr">
        <is>
          <t>0</t>
        </is>
      </c>
      <c r="D12" s="37" t="inlineStr">
        <is>
          <t>1</t>
        </is>
      </c>
      <c r="E12" s="37" t="inlineStr">
        <is>
          <t>Direct Connect hosted connection bandwidth in Gbps from MedCore Nashville DC to AWS us-east-1</t>
        </is>
      </c>
      <c r="F12" s="38" t="inlineStr">
        <is>
          <t>Yes</t>
        </is>
      </c>
      <c r="G12" s="38" t="inlineStr">
        <is>
          <t>Integer</t>
        </is>
      </c>
      <c r="H12" s="37" t="inlineStr">
        <is>
          <t>1-100</t>
        </is>
      </c>
      <c r="I12" s="38" t="inlineStr">
        <is>
          <t>Public</t>
        </is>
      </c>
      <c r="J12" s="37" t="inlineStr">
        <is>
          <t>Network Team</t>
        </is>
      </c>
      <c r="K12" s="37" t="inlineStr"/>
      <c r="L12" s="37" t="inlineStr">
        <is>
          <t>Must be provisioned by MedCore by Week 8 per SOW critical path dependency</t>
        </is>
      </c>
      <c r="M12" s="38" t="inlineStr">
        <is>
          <t>2025-06-18</t>
        </is>
      </c>
    </row>
    <row r="13" ht="26" customHeight="1">
      <c r="A13" s="42" t="inlineStr">
        <is>
          <t>networking.vpn_enabled</t>
        </is>
      </c>
      <c r="B13" s="39" t="inlineStr">
        <is>
          <t>true</t>
        </is>
      </c>
      <c r="C13" s="39" t="inlineStr">
        <is>
          <t>false</t>
        </is>
      </c>
      <c r="D13" s="39" t="inlineStr">
        <is>
          <t>true</t>
        </is>
      </c>
      <c r="E13" s="39" t="inlineStr">
        <is>
          <t>Enable site-to-site VPN as secondary failover path for Direct Connect</t>
        </is>
      </c>
      <c r="F13" s="40" t="inlineStr">
        <is>
          <t>Yes</t>
        </is>
      </c>
      <c r="G13" s="40" t="inlineStr">
        <is>
          <t>Boolean</t>
        </is>
      </c>
      <c r="H13" s="39" t="inlineStr">
        <is>
          <t>true|false</t>
        </is>
      </c>
      <c r="I13" s="40" t="inlineStr">
        <is>
          <t>Public</t>
        </is>
      </c>
      <c r="J13" s="39" t="inlineStr">
        <is>
          <t>Network Team</t>
        </is>
      </c>
      <c r="K13" s="39" t="inlineStr">
        <is>
          <t>networking.direct_connect_bandwidth_gbps</t>
        </is>
      </c>
      <c r="L13" s="39" t="inlineStr">
        <is>
          <t>IKEv2 with AES-256 encryption; maintains connectivity during any Direct Connect disruption</t>
        </is>
      </c>
      <c r="M13" s="40" t="inlineStr">
        <is>
          <t>2025-06-18</t>
        </is>
      </c>
    </row>
    <row r="14" ht="26" customHeight="1">
      <c r="A14" s="43" t="inlineStr">
        <is>
          <t>networking.alb_dashboard_id</t>
        </is>
      </c>
      <c r="B14" s="37" t="inlineStr">
        <is>
          <t>[alb-dashboard-id]</t>
        </is>
      </c>
      <c r="C14" s="37" t="inlineStr">
        <is>
          <t>[alb-dashboard-id]</t>
        </is>
      </c>
      <c r="D14" s="37" t="inlineStr">
        <is>
          <t>[alb-dashboard-id]</t>
        </is>
      </c>
      <c r="E14" s="37" t="inlineStr">
        <is>
          <t>Application Load Balancer ARN or ID for the clinical dashboard and API backend (multi-AZ)</t>
        </is>
      </c>
      <c r="F14" s="38" t="inlineStr">
        <is>
          <t>Yes</t>
        </is>
      </c>
      <c r="G14" s="38" t="inlineStr">
        <is>
          <t>String</t>
        </is>
      </c>
      <c r="H14" s="37" t="inlineStr">
        <is>
          <t>Valid ALB ARN or ID</t>
        </is>
      </c>
      <c r="I14" s="38" t="inlineStr">
        <is>
          <t>Confidential</t>
        </is>
      </c>
      <c r="J14" s="37" t="inlineStr">
        <is>
          <t>Network Team</t>
        </is>
      </c>
      <c r="K14" s="37" t="inlineStr">
        <is>
          <t>networking.vpc_cidr_primary</t>
        </is>
      </c>
      <c r="L14" s="37" t="inlineStr">
        <is>
          <t>HTTPS only; WAF attached; terminates TLS 1.2+ at edge per security design</t>
        </is>
      </c>
      <c r="M14" s="38" t="inlineStr">
        <is>
          <t>2025-06-18</t>
        </is>
      </c>
    </row>
    <row r="15" ht="26" customHeight="1">
      <c r="A15" s="42" t="inlineStr">
        <is>
          <t>networking.alb_fhir_inbound_id</t>
        </is>
      </c>
      <c r="B15" s="39" t="inlineStr">
        <is>
          <t>[alb-fhir-inbound-id]</t>
        </is>
      </c>
      <c r="C15" s="39" t="inlineStr">
        <is>
          <t>[alb-fhir-inbound-id]</t>
        </is>
      </c>
      <c r="D15" s="39" t="inlineStr">
        <is>
          <t>[alb-fhir-inbound-id]</t>
        </is>
      </c>
      <c r="E15" s="39" t="inlineStr">
        <is>
          <t>Application Load Balancer ARN or ID for the Epic FHIR R4 subscription inbound endpoint</t>
        </is>
      </c>
      <c r="F15" s="40" t="inlineStr">
        <is>
          <t>Yes</t>
        </is>
      </c>
      <c r="G15" s="40" t="inlineStr">
        <is>
          <t>String</t>
        </is>
      </c>
      <c r="H15" s="39" t="inlineStr">
        <is>
          <t>Valid ALB ARN or ID</t>
        </is>
      </c>
      <c r="I15" s="40" t="inlineStr">
        <is>
          <t>Confidential</t>
        </is>
      </c>
      <c r="J15" s="39" t="inlineStr">
        <is>
          <t>Network Team</t>
        </is>
      </c>
      <c r="K15" s="39" t="inlineStr">
        <is>
          <t>networking.vpc_cidr_primary</t>
        </is>
      </c>
      <c r="L15" s="39" t="inlineStr">
        <is>
          <t>Receives Epic FHIR subscription events over Direct Connect; WAF and rate limiting attached</t>
        </is>
      </c>
      <c r="M15" s="40" t="inlineStr">
        <is>
          <t>2025-06-18</t>
        </is>
      </c>
    </row>
    <row r="16" ht="26" customHeight="1">
      <c r="A16" s="43" t="inlineStr">
        <is>
          <t>networking.privatelink_endpoints_enabled</t>
        </is>
      </c>
      <c r="B16" s="37" t="inlineStr">
        <is>
          <t>true</t>
        </is>
      </c>
      <c r="C16" s="37" t="inlineStr">
        <is>
          <t>true</t>
        </is>
      </c>
      <c r="D16" s="37" t="inlineStr">
        <is>
          <t>true</t>
        </is>
      </c>
      <c r="E16" s="37" t="inlineStr">
        <is>
          <t>Enable VPC Interface Endpoints (PrivateLink) for all AWS managed service communications</t>
        </is>
      </c>
      <c r="F16" s="38" t="inlineStr">
        <is>
          <t>Yes</t>
        </is>
      </c>
      <c r="G16" s="38" t="inlineStr">
        <is>
          <t>Boolean</t>
        </is>
      </c>
      <c r="H16" s="37" t="inlineStr">
        <is>
          <t>true|false</t>
        </is>
      </c>
      <c r="I16" s="38" t="inlineStr">
        <is>
          <t>Public</t>
        </is>
      </c>
      <c r="J16" s="37" t="inlineStr">
        <is>
          <t>Network Team</t>
        </is>
      </c>
      <c r="K16" s="37" t="inlineStr"/>
      <c r="L16" s="37" t="inlineStr">
        <is>
          <t>Eliminates PHI egress to public internet; covers HealthLake + SageMaker + Bedrock + KMS + S3</t>
        </is>
      </c>
      <c r="M16" s="38" t="inlineStr">
        <is>
          <t>2025-06-18</t>
        </is>
      </c>
    </row>
  </sheetData>
  <autoFilter ref="A2:M16"/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Security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security.kms.healthlake_key_id</t>
        </is>
      </c>
      <c r="B3" s="39" t="inlineStr">
        <is>
          <t>[kms-healthlake-key-id]</t>
        </is>
      </c>
      <c r="C3" s="39" t="inlineStr">
        <is>
          <t>[kms-healthlake-key-id]</t>
        </is>
      </c>
      <c r="D3" s="39" t="inlineStr">
        <is>
          <t>[kms-healthlake-key-id]</t>
        </is>
      </c>
      <c r="E3" s="39" t="inlineStr">
        <is>
          <t>KMS CMK ARN for encrypting Amazon HealthLake PHI FHIR datastore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Valid KMS key ARN or alias</t>
        </is>
      </c>
      <c r="I3" s="40" t="inlineStr">
        <is>
          <t>Secret</t>
        </is>
      </c>
      <c r="J3" s="39" t="inlineStr">
        <is>
          <t>Security Team</t>
        </is>
      </c>
      <c r="K3" s="39" t="inlineStr"/>
      <c r="L3" s="39" t="inlineStr">
        <is>
          <t>Dedicated CMK per datastore for blast-radius isolation; annual auto-rotation; CISO holds admin</t>
        </is>
      </c>
      <c r="M3" s="40" t="inlineStr">
        <is>
          <t>2025-06-18</t>
        </is>
      </c>
    </row>
    <row r="4" ht="26" customHeight="1">
      <c r="A4" s="43" t="inlineStr">
        <is>
          <t>security.kms.aurora_key_id</t>
        </is>
      </c>
      <c r="B4" s="37" t="inlineStr">
        <is>
          <t>[kms-aurora-key-id]</t>
        </is>
      </c>
      <c r="C4" s="37" t="inlineStr">
        <is>
          <t>[kms-aurora-key-id]</t>
        </is>
      </c>
      <c r="D4" s="37" t="inlineStr">
        <is>
          <t>[kms-aurora-key-id]</t>
        </is>
      </c>
      <c r="E4" s="37" t="inlineStr">
        <is>
          <t>KMS CMK ARN for encrypting RDS Aurora PostgreSQL data at rest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Valid KMS key ARN or alias</t>
        </is>
      </c>
      <c r="I4" s="38" t="inlineStr">
        <is>
          <t>Secret</t>
        </is>
      </c>
      <c r="J4" s="37" t="inlineStr">
        <is>
          <t>Security Team</t>
        </is>
      </c>
      <c r="K4" s="37" t="inlineStr"/>
      <c r="L4" s="37" t="inlineStr">
        <is>
          <t>Separate CMK from HealthLake CMK; key deletion requires 30-day waiting period and CISO approval</t>
        </is>
      </c>
      <c r="M4" s="38" t="inlineStr">
        <is>
          <t>2025-06-18</t>
        </is>
      </c>
    </row>
    <row r="5" ht="26" customHeight="1">
      <c r="A5" s="42" t="inlineStr">
        <is>
          <t>security.kms.s3_datalake_key_id</t>
        </is>
      </c>
      <c r="B5" s="39" t="inlineStr">
        <is>
          <t>[kms-s3-datalake-key-id]</t>
        </is>
      </c>
      <c r="C5" s="39" t="inlineStr">
        <is>
          <t>[kms-s3-datalake-key-id]</t>
        </is>
      </c>
      <c r="D5" s="39" t="inlineStr">
        <is>
          <t>[kms-s3-datalake-key-id]</t>
        </is>
      </c>
      <c r="E5" s="39" t="inlineStr">
        <is>
          <t>KMS CMK ARN for encrypting S3 data lake buckets (HL7 event archive and ML artefacts)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Valid KMS key ARN or alias</t>
        </is>
      </c>
      <c r="I5" s="40" t="inlineStr">
        <is>
          <t>Secret</t>
        </is>
      </c>
      <c r="J5" s="39" t="inlineStr">
        <is>
          <t>Security Team</t>
        </is>
      </c>
      <c r="K5" s="39" t="inlineStr"/>
      <c r="L5" s="39" t="inlineStr">
        <is>
          <t>PHI classified as Restricted; separate CMK from audit bucket for blast-radius isolation</t>
        </is>
      </c>
      <c r="M5" s="40" t="inlineStr">
        <is>
          <t>2025-06-18</t>
        </is>
      </c>
    </row>
    <row r="6" ht="26" customHeight="1">
      <c r="A6" s="43" t="inlineStr">
        <is>
          <t>security.kms.s3_audit_key_id</t>
        </is>
      </c>
      <c r="B6" s="37" t="inlineStr">
        <is>
          <t>[kms-s3-audit-key-id]</t>
        </is>
      </c>
      <c r="C6" s="37" t="inlineStr">
        <is>
          <t>[kms-s3-audit-key-id]</t>
        </is>
      </c>
      <c r="D6" s="37" t="inlineStr">
        <is>
          <t>[kms-s3-audit-key-id]</t>
        </is>
      </c>
      <c r="E6" s="37" t="inlineStr">
        <is>
          <t>KMS CMK ARN for encrypting S3 CloudTrail audit log delivery bucket</t>
        </is>
      </c>
      <c r="F6" s="38" t="inlineStr">
        <is>
          <t>Yes</t>
        </is>
      </c>
      <c r="G6" s="38" t="inlineStr">
        <is>
          <t>String</t>
        </is>
      </c>
      <c r="H6" s="37" t="inlineStr">
        <is>
          <t>Valid KMS key ARN or alias</t>
        </is>
      </c>
      <c r="I6" s="38" t="inlineStr">
        <is>
          <t>Secret</t>
        </is>
      </c>
      <c r="J6" s="37" t="inlineStr">
        <is>
          <t>Security Team</t>
        </is>
      </c>
      <c r="K6" s="37" t="inlineStr"/>
      <c r="L6" s="37" t="inlineStr">
        <is>
          <t>7-year WORM retention via S3 Object Lock Compliance mode; HIPAA §164.312(b) requirement</t>
        </is>
      </c>
      <c r="M6" s="38" t="inlineStr">
        <is>
          <t>2025-06-18</t>
        </is>
      </c>
    </row>
    <row r="7" ht="26" customHeight="1">
      <c r="A7" s="42" t="inlineStr">
        <is>
          <t>security.kms.elasticache_key_id</t>
        </is>
      </c>
      <c r="B7" s="39" t="inlineStr">
        <is>
          <t>[kms-elasticache-key-id]</t>
        </is>
      </c>
      <c r="C7" s="39" t="inlineStr">
        <is>
          <t>[kms-elasticache-key-id]</t>
        </is>
      </c>
      <c r="D7" s="39" t="inlineStr">
        <is>
          <t>[kms-elasticache-key-id]</t>
        </is>
      </c>
      <c r="E7" s="39" t="inlineStr">
        <is>
          <t>KMS CMK ARN for encrypting ElastiCache Redis at rest</t>
        </is>
      </c>
      <c r="F7" s="40" t="inlineStr">
        <is>
          <t>Yes</t>
        </is>
      </c>
      <c r="G7" s="40" t="inlineStr">
        <is>
          <t>String</t>
        </is>
      </c>
      <c r="H7" s="39" t="inlineStr">
        <is>
          <t>Valid KMS key ARN or alias</t>
        </is>
      </c>
      <c r="I7" s="40" t="inlineStr">
        <is>
          <t>Secret</t>
        </is>
      </c>
      <c r="J7" s="39" t="inlineStr">
        <is>
          <t>Security Team</t>
        </is>
      </c>
      <c r="K7" s="39" t="inlineStr">
        <is>
          <t>cache.elasticache.cluster_id</t>
        </is>
      </c>
      <c r="L7" s="39" t="inlineStr">
        <is>
          <t>Patient feature vectors contain PHI-adjacent data; dedicated CMK per security design</t>
        </is>
      </c>
      <c r="M7" s="40" t="inlineStr">
        <is>
          <t>2025-06-18</t>
        </is>
      </c>
    </row>
    <row r="8" ht="26" customHeight="1">
      <c r="A8" s="43" t="inlineStr">
        <is>
          <t>security.kms.ebs_key_id</t>
        </is>
      </c>
      <c r="B8" s="37" t="inlineStr">
        <is>
          <t>[kms-ebs-key-id]</t>
        </is>
      </c>
      <c r="C8" s="37" t="inlineStr">
        <is>
          <t>[kms-ebs-key-id]</t>
        </is>
      </c>
      <c r="D8" s="37" t="inlineStr">
        <is>
          <t>[kms-ebs-key-id]</t>
        </is>
      </c>
      <c r="E8" s="37" t="inlineStr">
        <is>
          <t>KMS CMK ARN for encrypting EBS volumes attached to MSK brokers and SageMaker instances</t>
        </is>
      </c>
      <c r="F8" s="38" t="inlineStr">
        <is>
          <t>Yes</t>
        </is>
      </c>
      <c r="G8" s="38" t="inlineStr">
        <is>
          <t>String</t>
        </is>
      </c>
      <c r="H8" s="37" t="inlineStr">
        <is>
          <t>Valid KMS key ARN or alias</t>
        </is>
      </c>
      <c r="I8" s="38" t="inlineStr">
        <is>
          <t>Secret</t>
        </is>
      </c>
      <c r="J8" s="37" t="inlineStr">
        <is>
          <t>Security Team</t>
        </is>
      </c>
      <c r="K8" s="37" t="inlineStr"/>
      <c r="L8" s="37" t="inlineStr">
        <is>
          <t>Covers MSK broker EBS and SageMaker training job storage; annual auto-rotation enabled</t>
        </is>
      </c>
      <c r="M8" s="38" t="inlineStr">
        <is>
          <t>2025-06-18</t>
        </is>
      </c>
    </row>
    <row r="9" ht="26" customHeight="1">
      <c r="A9" s="42" t="inlineStr">
        <is>
          <t>security.kms.key_rotation_enabled</t>
        </is>
      </c>
      <c r="B9" s="39" t="inlineStr">
        <is>
          <t>true</t>
        </is>
      </c>
      <c r="C9" s="39" t="inlineStr">
        <is>
          <t>true</t>
        </is>
      </c>
      <c r="D9" s="39" t="inlineStr">
        <is>
          <t>true</t>
        </is>
      </c>
      <c r="E9" s="39" t="inlineStr">
        <is>
          <t>Enable automatic annual rotation for all KMS Customer Managed Keys</t>
        </is>
      </c>
      <c r="F9" s="40" t="inlineStr">
        <is>
          <t>Yes</t>
        </is>
      </c>
      <c r="G9" s="40" t="inlineStr">
        <is>
          <t>Boolean</t>
        </is>
      </c>
      <c r="H9" s="39" t="inlineStr">
        <is>
          <t>true|false</t>
        </is>
      </c>
      <c r="I9" s="40" t="inlineStr">
        <is>
          <t>Public</t>
        </is>
      </c>
      <c r="J9" s="39" t="inlineStr">
        <is>
          <t>Security Team</t>
        </is>
      </c>
      <c r="K9" s="39" t="inlineStr"/>
      <c r="L9" s="39" t="inlineStr">
        <is>
          <t>HIPAA and SOC 2 control; AWS Config rule generates non-compliant finding if rotation disabled</t>
        </is>
      </c>
      <c r="M9" s="40" t="inlineStr">
        <is>
          <t>2025-06-18</t>
        </is>
      </c>
    </row>
    <row r="10" ht="26" customHeight="1">
      <c r="A10" s="43" t="inlineStr">
        <is>
          <t>security.cognito.user_pool_id</t>
        </is>
      </c>
      <c r="B10" s="37" t="inlineStr">
        <is>
          <t>[cognito-user-pool-id]</t>
        </is>
      </c>
      <c r="C10" s="37" t="inlineStr">
        <is>
          <t>[cognito-user-pool-id]</t>
        </is>
      </c>
      <c r="D10" s="37" t="inlineStr">
        <is>
          <t>[cognito-user-pool-id]</t>
        </is>
      </c>
      <c r="E10" s="37" t="inlineStr">
        <is>
          <t>Amazon Cognito User Pool ID for SAML 2.0 federation and RBAC enforcement</t>
        </is>
      </c>
      <c r="F10" s="38" t="inlineStr">
        <is>
          <t>Yes</t>
        </is>
      </c>
      <c r="G10" s="38" t="inlineStr">
        <is>
          <t>String</t>
        </is>
      </c>
      <c r="H10" s="37" t="inlineStr">
        <is>
          <t>Valid Cognito User Pool ID format</t>
        </is>
      </c>
      <c r="I10" s="38" t="inlineStr">
        <is>
          <t>Confidential</t>
        </is>
      </c>
      <c r="J10" s="37" t="inlineStr">
        <is>
          <t>Security Team</t>
        </is>
      </c>
      <c r="K10" s="37" t="inlineStr"/>
      <c r="L10" s="37" t="inlineStr">
        <is>
          <t>Federated to Azure AD via SAML 2.0; enforces 4 clinical role types per IAM design</t>
        </is>
      </c>
      <c r="M10" s="38" t="inlineStr">
        <is>
          <t>2025-06-18</t>
        </is>
      </c>
    </row>
    <row r="11" ht="26" customHeight="1">
      <c r="A11" s="42" t="inlineStr">
        <is>
          <t>security.cognito.client_id</t>
        </is>
      </c>
      <c r="B11" s="39" t="inlineStr">
        <is>
          <t>[cognito-app-client-id]</t>
        </is>
      </c>
      <c r="C11" s="39" t="inlineStr">
        <is>
          <t>[cognito-app-client-id]</t>
        </is>
      </c>
      <c r="D11" s="39" t="inlineStr">
        <is>
          <t>[cognito-app-client-id]</t>
        </is>
      </c>
      <c r="E11" s="39" t="inlineStr">
        <is>
          <t>Cognito App Client ID for the clinical dashboard SPA OAuth 2.0 flow</t>
        </is>
      </c>
      <c r="F11" s="40" t="inlineStr">
        <is>
          <t>Yes</t>
        </is>
      </c>
      <c r="G11" s="40" t="inlineStr">
        <is>
          <t>String</t>
        </is>
      </c>
      <c r="H11" s="39" t="inlineStr">
        <is>
          <t>Alphanumeric Cognito client ID</t>
        </is>
      </c>
      <c r="I11" s="40" t="inlineStr">
        <is>
          <t>Confidential</t>
        </is>
      </c>
      <c r="J11" s="39" t="inlineStr">
        <is>
          <t>Security Team</t>
        </is>
      </c>
      <c r="K11" s="39" t="inlineStr">
        <is>
          <t>security.cognito.user_pool_id</t>
        </is>
      </c>
      <c r="L11" s="39" t="inlineStr">
        <is>
          <t>JWT issued to this client; validated by Lambda authorizer on all API Gateway calls</t>
        </is>
      </c>
      <c r="M11" s="40" t="inlineStr">
        <is>
          <t>2025-06-18</t>
        </is>
      </c>
    </row>
    <row r="12" ht="26" customHeight="1">
      <c r="A12" s="43" t="inlineStr">
        <is>
          <t>security.saml.azure_ad_metadata_url</t>
        </is>
      </c>
      <c r="B12" s="37" t="inlineStr">
        <is>
          <t>[azure-ad-saml-metadata-url]</t>
        </is>
      </c>
      <c r="C12" s="37" t="inlineStr">
        <is>
          <t>[azure-ad-saml-metadata-url]</t>
        </is>
      </c>
      <c r="D12" s="37" t="inlineStr">
        <is>
          <t>[azure-ad-saml-metadata-url]</t>
        </is>
      </c>
      <c r="E12" s="37" t="inlineStr">
        <is>
          <t>Azure Active Directory SAML 2.0 IdP metadata endpoint URL for Cognito federation</t>
        </is>
      </c>
      <c r="F12" s="38" t="inlineStr">
        <is>
          <t>Yes</t>
        </is>
      </c>
      <c r="G12" s="38" t="inlineStr">
        <is>
          <t>String</t>
        </is>
      </c>
      <c r="H12" s="37" t="inlineStr">
        <is>
          <t>Valid HTTPS URL</t>
        </is>
      </c>
      <c r="I12" s="38" t="inlineStr">
        <is>
          <t>Confidential</t>
        </is>
      </c>
      <c r="J12" s="37" t="inlineStr">
        <is>
          <t>Security Team</t>
        </is>
      </c>
      <c r="K12" s="37" t="inlineStr">
        <is>
          <t>security.cognito.user_pool_id</t>
        </is>
      </c>
      <c r="L12" s="37" t="inlineStr">
        <is>
          <t>MedCore identity admin must provide SAML metadata by Week 10 per SOW dependency schedule</t>
        </is>
      </c>
      <c r="M12" s="38" t="inlineStr">
        <is>
          <t>2025-06-18</t>
        </is>
      </c>
    </row>
    <row r="13" ht="26" customHeight="1">
      <c r="A13" s="42" t="inlineStr">
        <is>
          <t>security.mfa_enabled</t>
        </is>
      </c>
      <c r="B13" s="39" t="inlineStr">
        <is>
          <t>true</t>
        </is>
      </c>
      <c r="C13" s="39" t="inlineStr">
        <is>
          <t>false</t>
        </is>
      </c>
      <c r="D13" s="39" t="inlineStr">
        <is>
          <t>true</t>
        </is>
      </c>
      <c r="E13" s="39" t="inlineStr">
        <is>
          <t>Require multi-factor authentication; enforced at Azure AD layer per MedCore policy</t>
        </is>
      </c>
      <c r="F13" s="40" t="inlineStr">
        <is>
          <t>Yes</t>
        </is>
      </c>
      <c r="G13" s="40" t="inlineStr">
        <is>
          <t>Boolean</t>
        </is>
      </c>
      <c r="H13" s="39" t="inlineStr">
        <is>
          <t>true|false</t>
        </is>
      </c>
      <c r="I13" s="40" t="inlineStr">
        <is>
          <t>Public</t>
        </is>
      </c>
      <c r="J13" s="39" t="inlineStr">
        <is>
          <t>Security Team</t>
        </is>
      </c>
      <c r="K13" s="39" t="inlineStr">
        <is>
          <t>security.saml.azure_ad_metadata_url</t>
        </is>
      </c>
      <c r="L13" s="39" t="inlineStr">
        <is>
          <t>MFA enforced by Azure AD (Microsoft Authenticator); Amatra does not modify Azure AD MFA config</t>
        </is>
      </c>
      <c r="M13" s="40" t="inlineStr">
        <is>
          <t>2025-06-18</t>
        </is>
      </c>
    </row>
    <row r="14" ht="26" customHeight="1">
      <c r="A14" s="43" t="inlineStr">
        <is>
          <t>security.cloudtrail_trail_arn</t>
        </is>
      </c>
      <c r="B14" s="37" t="inlineStr">
        <is>
          <t>[cloudtrail-trail-arn]</t>
        </is>
      </c>
      <c r="C14" s="37" t="inlineStr">
        <is>
          <t>[cloudtrail-trail-arn]</t>
        </is>
      </c>
      <c r="D14" s="37" t="inlineStr">
        <is>
          <t>[cloudtrail-trail-arn]</t>
        </is>
      </c>
      <c r="E14" s="37" t="inlineStr">
        <is>
          <t>ARN of the organization-level CloudTrail trail for PHI audit logging</t>
        </is>
      </c>
      <c r="F14" s="38" t="inlineStr">
        <is>
          <t>Yes</t>
        </is>
      </c>
      <c r="G14" s="38" t="inlineStr">
        <is>
          <t>String</t>
        </is>
      </c>
      <c r="H14" s="37" t="inlineStr">
        <is>
          <t>Valid CloudTrail trail ARN</t>
        </is>
      </c>
      <c r="I14" s="38" t="inlineStr">
        <is>
          <t>Confidential</t>
        </is>
      </c>
      <c r="J14" s="37" t="inlineStr">
        <is>
          <t>Security Team</t>
        </is>
      </c>
      <c r="K14" s="37" t="inlineStr">
        <is>
          <t>storage.s3.audit_bucket_name</t>
        </is>
      </c>
      <c r="L14" s="37" t="inlineStr">
        <is>
          <t>7-year WORM retention; log file validation enabled; disabling generates Critical Security Hub finding</t>
        </is>
      </c>
      <c r="M14" s="38" t="inlineStr">
        <is>
          <t>2025-06-18</t>
        </is>
      </c>
    </row>
    <row r="15" ht="26" customHeight="1">
      <c r="A15" s="42" t="inlineStr">
        <is>
          <t>security.audit_log_retention_years</t>
        </is>
      </c>
      <c r="B15" s="39" t="inlineStr">
        <is>
          <t>7</t>
        </is>
      </c>
      <c r="C15" s="39" t="inlineStr">
        <is>
          <t>1</t>
        </is>
      </c>
      <c r="D15" s="39" t="inlineStr">
        <is>
          <t>7</t>
        </is>
      </c>
      <c r="E15" s="39" t="inlineStr">
        <is>
          <t>Audit log retention period in years for CloudTrail PHI access events per HIPAA minimum</t>
        </is>
      </c>
      <c r="F15" s="40" t="inlineStr">
        <is>
          <t>Yes</t>
        </is>
      </c>
      <c r="G15" s="40" t="inlineStr">
        <is>
          <t>Integer</t>
        </is>
      </c>
      <c r="H15" s="39" t="inlineStr">
        <is>
          <t>1-10</t>
        </is>
      </c>
      <c r="I15" s="40" t="inlineStr">
        <is>
          <t>Public</t>
        </is>
      </c>
      <c r="J15" s="39" t="inlineStr">
        <is>
          <t>Security Team</t>
        </is>
      </c>
      <c r="K15" s="39" t="inlineStr">
        <is>
          <t>security.cloudtrail_trail_arn</t>
        </is>
      </c>
      <c r="L15" s="39" t="inlineStr">
        <is>
          <t>HIPAA §164.312(b) requires 7-year retention; S3 Object Lock Compliance mode enforces immutability</t>
        </is>
      </c>
      <c r="M15" s="40" t="inlineStr">
        <is>
          <t>2025-06-18</t>
        </is>
      </c>
    </row>
    <row r="16" ht="26" customHeight="1">
      <c r="A16" s="43" t="inlineStr">
        <is>
          <t>security.cloudwatch_log_retention_days</t>
        </is>
      </c>
      <c r="B16" s="37" t="inlineStr">
        <is>
          <t>90</t>
        </is>
      </c>
      <c r="C16" s="37" t="inlineStr">
        <is>
          <t>30</t>
        </is>
      </c>
      <c r="D16" s="37" t="inlineStr">
        <is>
          <t>90</t>
        </is>
      </c>
      <c r="E16" s="37" t="inlineStr">
        <is>
          <t>CloudWatch Logs retention period in days for application and infrastructure logs</t>
        </is>
      </c>
      <c r="F16" s="38" t="inlineStr">
        <is>
          <t>Yes</t>
        </is>
      </c>
      <c r="G16" s="38" t="inlineStr">
        <is>
          <t>Integer</t>
        </is>
      </c>
      <c r="H16" s="37" t="inlineStr">
        <is>
          <t>1-3653</t>
        </is>
      </c>
      <c r="I16" s="38" t="inlineStr">
        <is>
          <t>Public</t>
        </is>
      </c>
      <c r="J16" s="37" t="inlineStr">
        <is>
          <t>Operations</t>
        </is>
      </c>
      <c r="K16" s="37" t="inlineStr"/>
      <c r="L16" s="37" t="inlineStr">
        <is>
          <t>90-day hot retention; older logs archived to S3 Glacier for cost optimization</t>
        </is>
      </c>
      <c r="M16" s="38" t="inlineStr">
        <is>
          <t>2025-06-18</t>
        </is>
      </c>
    </row>
    <row r="17" ht="26" customHeight="1">
      <c r="A17" s="42" t="inlineStr">
        <is>
          <t>security.waf_enabled</t>
        </is>
      </c>
      <c r="B17" s="39" t="inlineStr">
        <is>
          <t>true</t>
        </is>
      </c>
      <c r="C17" s="39" t="inlineStr">
        <is>
          <t>false</t>
        </is>
      </c>
      <c r="D17" s="39" t="inlineStr">
        <is>
          <t>true</t>
        </is>
      </c>
      <c r="E17" s="39" t="inlineStr">
        <is>
          <t>Enable AWS WAF on all ALBs and API Gateway endpoints</t>
        </is>
      </c>
      <c r="F17" s="40" t="inlineStr">
        <is>
          <t>Yes</t>
        </is>
      </c>
      <c r="G17" s="40" t="inlineStr">
        <is>
          <t>Boolean</t>
        </is>
      </c>
      <c r="H17" s="39" t="inlineStr">
        <is>
          <t>true|false</t>
        </is>
      </c>
      <c r="I17" s="40" t="inlineStr">
        <is>
          <t>Public</t>
        </is>
      </c>
      <c r="J17" s="39" t="inlineStr">
        <is>
          <t>Security Team</t>
        </is>
      </c>
      <c r="K17" s="39" t="inlineStr">
        <is>
          <t>networking.alb_dashboard_id</t>
        </is>
      </c>
      <c r="L17" s="39" t="inlineStr">
        <is>
          <t>OWASP Top 10 + AWS managed rules + healthcare-specific rule set; WAF logs retained 90 days</t>
        </is>
      </c>
      <c r="M17" s="40" t="inlineStr">
        <is>
          <t>2025-06-18</t>
        </is>
      </c>
    </row>
    <row r="18" ht="26" customHeight="1">
      <c r="A18" s="43" t="inlineStr">
        <is>
          <t>security.guardduty_enabled</t>
        </is>
      </c>
      <c r="B18" s="37" t="inlineStr">
        <is>
          <t>true</t>
        </is>
      </c>
      <c r="C18" s="37" t="inlineStr">
        <is>
          <t>true</t>
        </is>
      </c>
      <c r="D18" s="37" t="inlineStr">
        <is>
          <t>true</t>
        </is>
      </c>
      <c r="E18" s="37" t="inlineStr">
        <is>
          <t>Enable Amazon GuardDuty threat detection across the Clinical Applications OU</t>
        </is>
      </c>
      <c r="F18" s="38" t="inlineStr">
        <is>
          <t>Yes</t>
        </is>
      </c>
      <c r="G18" s="38" t="inlineStr">
        <is>
          <t>Boolean</t>
        </is>
      </c>
      <c r="H18" s="37" t="inlineStr">
        <is>
          <t>true|false</t>
        </is>
      </c>
      <c r="I18" s="38" t="inlineStr">
        <is>
          <t>Public</t>
        </is>
      </c>
      <c r="J18" s="37" t="inlineStr">
        <is>
          <t>Security Team</t>
        </is>
      </c>
      <c r="K18" s="37" t="inlineStr"/>
      <c r="L18" s="37" t="inlineStr">
        <is>
          <t>Continuous ML-driven threat detection; High/Critical findings page CISO on-call via PagerDuty</t>
        </is>
      </c>
      <c r="M18" s="38" t="inlineStr">
        <is>
          <t>2025-06-18</t>
        </is>
      </c>
    </row>
    <row r="19" ht="26" customHeight="1">
      <c r="A19" s="42" t="inlineStr">
        <is>
          <t>security.config_enabled</t>
        </is>
      </c>
      <c r="B19" s="39" t="inlineStr">
        <is>
          <t>true</t>
        </is>
      </c>
      <c r="C19" s="39" t="inlineStr">
        <is>
          <t>true</t>
        </is>
      </c>
      <c r="D19" s="39" t="inlineStr">
        <is>
          <t>true</t>
        </is>
      </c>
      <c r="E19" s="39" t="inlineStr">
        <is>
          <t>Enable AWS Config with HIPAA rule set for continuous compliance monitoring</t>
        </is>
      </c>
      <c r="F19" s="40" t="inlineStr">
        <is>
          <t>Yes</t>
        </is>
      </c>
      <c r="G19" s="40" t="inlineStr">
        <is>
          <t>Boolean</t>
        </is>
      </c>
      <c r="H19" s="39" t="inlineStr">
        <is>
          <t>true|false</t>
        </is>
      </c>
      <c r="I19" s="40" t="inlineStr">
        <is>
          <t>Public</t>
        </is>
      </c>
      <c r="J19" s="39" t="inlineStr">
        <is>
          <t>Security Team</t>
        </is>
      </c>
      <c r="K19" s="39" t="inlineStr"/>
      <c r="L19" s="39" t="inlineStr">
        <is>
          <t>HIPAA configuration drift detected within 15 minutes; Critical findings remediated in 24h per SLA</t>
        </is>
      </c>
      <c r="M19" s="40" t="inlineStr">
        <is>
          <t>2025-06-18</t>
        </is>
      </c>
    </row>
    <row r="20" ht="26" customHeight="1">
      <c r="A20" s="43" t="inlineStr">
        <is>
          <t>security.security_hub_enabled</t>
        </is>
      </c>
      <c r="B20" s="37" t="inlineStr">
        <is>
          <t>true</t>
        </is>
      </c>
      <c r="C20" s="37" t="inlineStr">
        <is>
          <t>true</t>
        </is>
      </c>
      <c r="D20" s="37" t="inlineStr">
        <is>
          <t>true</t>
        </is>
      </c>
      <c r="E20" s="37" t="inlineStr">
        <is>
          <t>Enable AWS Security Hub for aggregated compliance and security findings</t>
        </is>
      </c>
      <c r="F20" s="38" t="inlineStr">
        <is>
          <t>Yes</t>
        </is>
      </c>
      <c r="G20" s="38" t="inlineStr">
        <is>
          <t>Boolean</t>
        </is>
      </c>
      <c r="H20" s="37" t="inlineStr">
        <is>
          <t>true|false</t>
        </is>
      </c>
      <c r="I20" s="38" t="inlineStr">
        <is>
          <t>Public</t>
        </is>
      </c>
      <c r="J20" s="37" t="inlineStr">
        <is>
          <t>Security Team</t>
        </is>
      </c>
      <c r="K20" s="37" t="inlineStr">
        <is>
          <t>security.config_enabled</t>
        </is>
      </c>
      <c r="L20" s="37" t="inlineStr">
        <is>
          <t>Aggregates GuardDuty + Config + Inspector + Macie findings; CISO audit pane for SOC 2 Type II</t>
        </is>
      </c>
      <c r="M20" s="38" t="inlineStr">
        <is>
          <t>2025-06-18</t>
        </is>
      </c>
    </row>
    <row r="21" ht="26" customHeight="1">
      <c r="A21" s="42" t="inlineStr">
        <is>
          <t>security.macie_enabled</t>
        </is>
      </c>
      <c r="B21" s="39" t="inlineStr">
        <is>
          <t>true</t>
        </is>
      </c>
      <c r="C21" s="39" t="inlineStr">
        <is>
          <t>false</t>
        </is>
      </c>
      <c r="D21" s="39" t="inlineStr">
        <is>
          <t>true</t>
        </is>
      </c>
      <c r="E21" s="39" t="inlineStr">
        <is>
          <t>Enable Amazon Macie for automated PHI data classification in S3 buckets</t>
        </is>
      </c>
      <c r="F21" s="40" t="inlineStr">
        <is>
          <t>Yes</t>
        </is>
      </c>
      <c r="G21" s="40" t="inlineStr">
        <is>
          <t>Boolean</t>
        </is>
      </c>
      <c r="H21" s="39" t="inlineStr">
        <is>
          <t>true|false</t>
        </is>
      </c>
      <c r="I21" s="40" t="inlineStr">
        <is>
          <t>Public</t>
        </is>
      </c>
      <c r="J21" s="39" t="inlineStr">
        <is>
          <t>Security Team</t>
        </is>
      </c>
      <c r="K21" s="39" t="inlineStr">
        <is>
          <t>storage.s3.datalake_bucket_name</t>
        </is>
      </c>
      <c r="L21" s="39" t="inlineStr">
        <is>
          <t>Alerts if PHI found in non-production or non-encrypted buckets; SOC 2 CC6 detective control</t>
        </is>
      </c>
      <c r="M21" s="40" t="inlineStr">
        <is>
          <t>2025-06-18</t>
        </is>
      </c>
    </row>
    <row r="22" ht="26" customHeight="1">
      <c r="A22" s="43" t="inlineStr">
        <is>
          <t>security.secrets_manager.aurora_secret_arn</t>
        </is>
      </c>
      <c r="B22" s="37" t="inlineStr">
        <is>
          <t>[aurora-secret-arn]</t>
        </is>
      </c>
      <c r="C22" s="37" t="inlineStr">
        <is>
          <t>[aurora-secret-arn]</t>
        </is>
      </c>
      <c r="D22" s="37" t="inlineStr">
        <is>
          <t>[aurora-secret-arn]</t>
        </is>
      </c>
      <c r="E22" s="37" t="inlineStr">
        <is>
          <t>ARN of the Secrets Manager secret storing Aurora PostgreSQL credentials</t>
        </is>
      </c>
      <c r="F22" s="38" t="inlineStr">
        <is>
          <t>Yes</t>
        </is>
      </c>
      <c r="G22" s="38" t="inlineStr">
        <is>
          <t>String</t>
        </is>
      </c>
      <c r="H22" s="37" t="inlineStr">
        <is>
          <t>Valid Secrets Manager ARN</t>
        </is>
      </c>
      <c r="I22" s="38" t="inlineStr">
        <is>
          <t>Secret</t>
        </is>
      </c>
      <c r="J22" s="37" t="inlineStr">
        <is>
          <t>Security Team</t>
        </is>
      </c>
      <c r="K22" s="37" t="inlineStr">
        <is>
          <t>database.aurora.cluster_identifier</t>
        </is>
      </c>
      <c r="L22" s="37" t="inlineStr">
        <is>
          <t>30-day automatic rotation via built-in RDS Lambda; every GetSecretValue call logged to CloudTrail</t>
        </is>
      </c>
      <c r="M22" s="38" t="inlineStr">
        <is>
          <t>2025-06-18</t>
        </is>
      </c>
    </row>
    <row r="23" ht="26" customHeight="1">
      <c r="A23" s="42" t="inlineStr">
        <is>
          <t>security.secrets_manager.epic_oauth_secret_arn</t>
        </is>
      </c>
      <c r="B23" s="39" t="inlineStr">
        <is>
          <t>[epic-oauth-secret-arn]</t>
        </is>
      </c>
      <c r="C23" s="39" t="inlineStr">
        <is>
          <t>[epic-oauth-secret-arn]</t>
        </is>
      </c>
      <c r="D23" s="39" t="inlineStr">
        <is>
          <t>[epic-oauth-secret-arn]</t>
        </is>
      </c>
      <c r="E23" s="39" t="inlineStr">
        <is>
          <t>ARN of the Secrets Manager secret storing Epic FHIR R4 SMART on FHIR OAuth 2.0 client credentials</t>
        </is>
      </c>
      <c r="F23" s="40" t="inlineStr">
        <is>
          <t>Yes</t>
        </is>
      </c>
      <c r="G23" s="40" t="inlineStr">
        <is>
          <t>String</t>
        </is>
      </c>
      <c r="H23" s="39" t="inlineStr">
        <is>
          <t>Valid Secrets Manager ARN</t>
        </is>
      </c>
      <c r="I23" s="40" t="inlineStr">
        <is>
          <t>Secret</t>
        </is>
      </c>
      <c r="J23" s="39" t="inlineStr">
        <is>
          <t>Security Team</t>
        </is>
      </c>
      <c r="K23" s="39" t="inlineStr">
        <is>
          <t>integration.epic.fhir_base_url</t>
        </is>
      </c>
      <c r="L23" s="39" t="inlineStr">
        <is>
          <t>Rotated per Epic 90-day OAuth token expiry; automatic re-issuance configured in rotation Lambda</t>
        </is>
      </c>
      <c r="M23" s="40" t="inlineStr">
        <is>
          <t>2025-06-18</t>
        </is>
      </c>
    </row>
    <row r="24" ht="26" customHeight="1">
      <c r="A24" s="43" t="inlineStr">
        <is>
          <t>security.secrets_manager.mirth_api_key_arn</t>
        </is>
      </c>
      <c r="B24" s="37" t="inlineStr">
        <is>
          <t>[mirth-api-key-arn]</t>
        </is>
      </c>
      <c r="C24" s="37" t="inlineStr">
        <is>
          <t>[mirth-api-key-arn]</t>
        </is>
      </c>
      <c r="D24" s="37" t="inlineStr">
        <is>
          <t>[mirth-api-key-arn]</t>
        </is>
      </c>
      <c r="E24" s="37" t="inlineStr">
        <is>
          <t>ARN of the Secrets Manager secret storing Mirth Connect integration API key</t>
        </is>
      </c>
      <c r="F24" s="38" t="inlineStr">
        <is>
          <t>Yes</t>
        </is>
      </c>
      <c r="G24" s="38" t="inlineStr">
        <is>
          <t>String</t>
        </is>
      </c>
      <c r="H24" s="37" t="inlineStr">
        <is>
          <t>Valid Secrets Manager ARN</t>
        </is>
      </c>
      <c r="I24" s="38" t="inlineStr">
        <is>
          <t>Secret</t>
        </is>
      </c>
      <c r="J24" s="37" t="inlineStr">
        <is>
          <t>Security Team</t>
        </is>
      </c>
      <c r="K24" s="37" t="inlineStr">
        <is>
          <t>integration.mirth.endpoint_url</t>
        </is>
      </c>
      <c r="L24" s="37" t="inlineStr">
        <is>
          <t>30-day automatic rotation; never stored in Lambda environment variables or IaC configuration files</t>
        </is>
      </c>
      <c r="M24" s="38" t="inlineStr">
        <is>
          <t>2025-06-18</t>
        </is>
      </c>
    </row>
    <row r="25" ht="26" customHeight="1">
      <c r="A25" s="42" t="inlineStr">
        <is>
          <t>security.secrets_manager.datadog_api_key_arn</t>
        </is>
      </c>
      <c r="B25" s="39" t="inlineStr">
        <is>
          <t>[datadog-api-key-arn]</t>
        </is>
      </c>
      <c r="C25" s="39" t="inlineStr">
        <is>
          <t>[datadog-api-key-arn]</t>
        </is>
      </c>
      <c r="D25" s="39" t="inlineStr">
        <is>
          <t>[datadog-api-key-arn]</t>
        </is>
      </c>
      <c r="E25" s="39" t="inlineStr">
        <is>
          <t>ARN of the Secrets Manager secret storing Datadog APM API key</t>
        </is>
      </c>
      <c r="F25" s="40" t="inlineStr">
        <is>
          <t>Yes</t>
        </is>
      </c>
      <c r="G25" s="40" t="inlineStr">
        <is>
          <t>String</t>
        </is>
      </c>
      <c r="H25" s="39" t="inlineStr">
        <is>
          <t>Valid Secrets Manager ARN</t>
        </is>
      </c>
      <c r="I25" s="40" t="inlineStr">
        <is>
          <t>Secret</t>
        </is>
      </c>
      <c r="J25" s="39" t="inlineStr">
        <is>
          <t>Security Team</t>
        </is>
      </c>
      <c r="K25" s="39" t="inlineStr">
        <is>
          <t>monitoring.datadog.site</t>
        </is>
      </c>
      <c r="L25" s="39" t="inlineStr">
        <is>
          <t>Rotated annually; injected into ECS task definition at deploy time via Secrets Manager integration</t>
        </is>
      </c>
      <c r="M25" s="40" t="inlineStr">
        <is>
          <t>2025-06-18</t>
        </is>
      </c>
    </row>
    <row r="26" ht="26" customHeight="1">
      <c r="A26" s="43" t="inlineStr">
        <is>
          <t>security.iam.access_analyzer_enabled</t>
        </is>
      </c>
      <c r="B26" s="37" t="inlineStr">
        <is>
          <t>true</t>
        </is>
      </c>
      <c r="C26" s="37" t="inlineStr">
        <is>
          <t>true</t>
        </is>
      </c>
      <c r="D26" s="37" t="inlineStr">
        <is>
          <t>true</t>
        </is>
      </c>
      <c r="E26" s="37" t="inlineStr">
        <is>
          <t>Enable IAM Access Analyzer to detect overly permissive resource policies</t>
        </is>
      </c>
      <c r="F26" s="38" t="inlineStr">
        <is>
          <t>Yes</t>
        </is>
      </c>
      <c r="G26" s="38" t="inlineStr">
        <is>
          <t>Boolean</t>
        </is>
      </c>
      <c r="H26" s="37" t="inlineStr">
        <is>
          <t>true|false</t>
        </is>
      </c>
      <c r="I26" s="38" t="inlineStr">
        <is>
          <t>Public</t>
        </is>
      </c>
      <c r="J26" s="37" t="inlineStr">
        <is>
          <t>Security Team</t>
        </is>
      </c>
      <c r="K26" s="37" t="inlineStr"/>
      <c r="L26" s="37" t="inlineStr">
        <is>
          <t>Continuously identifies IAM policies granting unintended cross-account or public access</t>
        </is>
      </c>
      <c r="M26" s="38" t="inlineStr">
        <is>
          <t>2025-06-18</t>
        </is>
      </c>
    </row>
    <row r="27" ht="26" customHeight="1">
      <c r="A27" s="42" t="inlineStr">
        <is>
          <t>security.tls_minimum_version</t>
        </is>
      </c>
      <c r="B27" s="39" t="inlineStr">
        <is>
          <t>TLSv1.2</t>
        </is>
      </c>
      <c r="C27" s="39" t="inlineStr">
        <is>
          <t>TLSv1.2</t>
        </is>
      </c>
      <c r="D27" s="39" t="inlineStr">
        <is>
          <t>TLSv1.2</t>
        </is>
      </c>
      <c r="E27" s="39" t="inlineStr">
        <is>
          <t>Minimum TLS version enforced on all ALB listeners and API Gateway endpoints</t>
        </is>
      </c>
      <c r="F27" s="40" t="inlineStr">
        <is>
          <t>Yes</t>
        </is>
      </c>
      <c r="G27" s="40" t="inlineStr">
        <is>
          <t>String</t>
        </is>
      </c>
      <c r="H27" s="39" t="inlineStr">
        <is>
          <t>TLSv1.2|TLSv1.3</t>
        </is>
      </c>
      <c r="I27" s="40" t="inlineStr">
        <is>
          <t>Public</t>
        </is>
      </c>
      <c r="J27" s="39" t="inlineStr">
        <is>
          <t>Security Team</t>
        </is>
      </c>
      <c r="K27" s="39" t="inlineStr"/>
      <c r="L27" s="39" t="inlineStr">
        <is>
          <t>HIPAA §164.312(e) mandate; HTTP redirected to HTTPS with 301 on all ALB listeners</t>
        </is>
      </c>
      <c r="M27" s="40" t="inlineStr">
        <is>
          <t>2025-06-18</t>
        </is>
      </c>
    </row>
  </sheetData>
  <autoFilter ref="A2:M27"/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Compute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compute.ecs.cluster_name</t>
        </is>
      </c>
      <c r="B3" s="39" t="inlineStr">
        <is>
          <t>medcore-cds-prod-cluster</t>
        </is>
      </c>
      <c r="C3" s="39" t="inlineStr">
        <is>
          <t>medcore-cds-qa-cluster</t>
        </is>
      </c>
      <c r="D3" s="39" t="inlineStr">
        <is>
          <t>medcore-cds-prod-cluster</t>
        </is>
      </c>
      <c r="E3" s="39" t="inlineStr">
        <is>
          <t>ECS cluster name for dashboard and API backend Fargate tasks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medcore-cds-{env}-cluster pattern</t>
        </is>
      </c>
      <c r="I3" s="40" t="inlineStr">
        <is>
          <t>Public</t>
        </is>
      </c>
      <c r="J3" s="39" t="inlineStr">
        <is>
          <t>Cloud CoE</t>
        </is>
      </c>
      <c r="K3" s="39" t="inlineStr">
        <is>
          <t>solution.environment</t>
        </is>
      </c>
      <c r="L3" s="39" t="inlineStr"/>
      <c r="M3" s="40" t="inlineStr">
        <is>
          <t>2025-06-18</t>
        </is>
      </c>
    </row>
    <row r="4" ht="26" customHeight="1">
      <c r="A4" s="43" t="inlineStr">
        <is>
          <t>compute.ecs.task_cpu</t>
        </is>
      </c>
      <c r="B4" s="37" t="inlineStr">
        <is>
          <t>2048</t>
        </is>
      </c>
      <c r="C4" s="37" t="inlineStr">
        <is>
          <t>1024</t>
        </is>
      </c>
      <c r="D4" s="37" t="inlineStr">
        <is>
          <t>2048</t>
        </is>
      </c>
      <c r="E4" s="37" t="inlineStr">
        <is>
          <t>CPU units allocated per ECS Fargate task (1024 = 1 vCPU)</t>
        </is>
      </c>
      <c r="F4" s="38" t="inlineStr">
        <is>
          <t>Yes</t>
        </is>
      </c>
      <c r="G4" s="38" t="inlineStr">
        <is>
          <t>Integer</t>
        </is>
      </c>
      <c r="H4" s="37" t="inlineStr">
        <is>
          <t>256|512|1024|2048|4096</t>
        </is>
      </c>
      <c r="I4" s="38" t="inlineStr">
        <is>
          <t>Public</t>
        </is>
      </c>
      <c r="J4" s="37" t="inlineStr">
        <is>
          <t>Development</t>
        </is>
      </c>
      <c r="K4" s="37" t="inlineStr"/>
      <c r="L4" s="37" t="inlineStr">
        <is>
          <t>2 vCPU per task per detailed design compute sizing; scale to 4096 if P95 latency elevated</t>
        </is>
      </c>
      <c r="M4" s="38" t="inlineStr">
        <is>
          <t>2025-06-18</t>
        </is>
      </c>
    </row>
    <row r="5" ht="26" customHeight="1">
      <c r="A5" s="42" t="inlineStr">
        <is>
          <t>compute.ecs.task_memory_mb</t>
        </is>
      </c>
      <c r="B5" s="39" t="inlineStr">
        <is>
          <t>4096</t>
        </is>
      </c>
      <c r="C5" s="39" t="inlineStr">
        <is>
          <t>2048</t>
        </is>
      </c>
      <c r="D5" s="39" t="inlineStr">
        <is>
          <t>4096</t>
        </is>
      </c>
      <c r="E5" s="39" t="inlineStr">
        <is>
          <t>Memory in MB allocated per ECS Fargate task</t>
        </is>
      </c>
      <c r="F5" s="40" t="inlineStr">
        <is>
          <t>Yes</t>
        </is>
      </c>
      <c r="G5" s="40" t="inlineStr">
        <is>
          <t>Integer</t>
        </is>
      </c>
      <c r="H5" s="39" t="inlineStr">
        <is>
          <t>512|1024|2048|4096|8192|16384</t>
        </is>
      </c>
      <c r="I5" s="40" t="inlineStr">
        <is>
          <t>Public</t>
        </is>
      </c>
      <c r="J5" s="39" t="inlineStr">
        <is>
          <t>Development</t>
        </is>
      </c>
      <c r="K5" s="39" t="inlineStr">
        <is>
          <t>compute.ecs.task_cpu</t>
        </is>
      </c>
      <c r="L5" s="39" t="inlineStr">
        <is>
          <t>Must be a valid Fargate CPU/memory combination per AWS documentation</t>
        </is>
      </c>
      <c r="M5" s="40" t="inlineStr">
        <is>
          <t>2025-06-18</t>
        </is>
      </c>
    </row>
    <row r="6" ht="26" customHeight="1">
      <c r="A6" s="43" t="inlineStr">
        <is>
          <t>compute.ecs.scaling_min</t>
        </is>
      </c>
      <c r="B6" s="37" t="inlineStr">
        <is>
          <t>4</t>
        </is>
      </c>
      <c r="C6" s="37" t="inlineStr">
        <is>
          <t>2</t>
        </is>
      </c>
      <c r="D6" s="37" t="inlineStr">
        <is>
          <t>4</t>
        </is>
      </c>
      <c r="E6" s="37" t="inlineStr">
        <is>
          <t>Minimum ECS Fargate task count across all AZs for dashboard and API tiers</t>
        </is>
      </c>
      <c r="F6" s="38" t="inlineStr">
        <is>
          <t>Yes</t>
        </is>
      </c>
      <c r="G6" s="38" t="inlineStr">
        <is>
          <t>Integer</t>
        </is>
      </c>
      <c r="H6" s="37" t="inlineStr">
        <is>
          <t>1-100</t>
        </is>
      </c>
      <c r="I6" s="38" t="inlineStr">
        <is>
          <t>Public</t>
        </is>
      </c>
      <c r="J6" s="37" t="inlineStr">
        <is>
          <t>Operations</t>
        </is>
      </c>
      <c r="K6" s="37" t="inlineStr"/>
      <c r="L6" s="37" t="inlineStr">
        <is>
          <t>Minimum 4 tasks ensures at least 2 per AZ across 2 AZs; supports 99.95% availability SLA</t>
        </is>
      </c>
      <c r="M6" s="38" t="inlineStr">
        <is>
          <t>2025-06-18</t>
        </is>
      </c>
    </row>
    <row r="7" ht="26" customHeight="1">
      <c r="A7" s="42" t="inlineStr">
        <is>
          <t>compute.ecs.scaling_max</t>
        </is>
      </c>
      <c r="B7" s="39" t="inlineStr">
        <is>
          <t>12</t>
        </is>
      </c>
      <c r="C7" s="39" t="inlineStr">
        <is>
          <t>4</t>
        </is>
      </c>
      <c r="D7" s="39" t="inlineStr">
        <is>
          <t>12</t>
        </is>
      </c>
      <c r="E7" s="39" t="inlineStr">
        <is>
          <t>Maximum ECS Fargate task count for auto-scaling ceiling</t>
        </is>
      </c>
      <c r="F7" s="40" t="inlineStr">
        <is>
          <t>Yes</t>
        </is>
      </c>
      <c r="G7" s="40" t="inlineStr">
        <is>
          <t>Integer</t>
        </is>
      </c>
      <c r="H7" s="39" t="inlineStr">
        <is>
          <t>1-200</t>
        </is>
      </c>
      <c r="I7" s="40" t="inlineStr">
        <is>
          <t>Public</t>
        </is>
      </c>
      <c r="J7" s="39" t="inlineStr">
        <is>
          <t>Operations</t>
        </is>
      </c>
      <c r="K7" s="39" t="inlineStr">
        <is>
          <t>compute.ecs.scaling_min</t>
        </is>
      </c>
      <c r="L7" s="39" t="inlineStr">
        <is>
          <t>Ceiling sized for 18-hospital concurrent peak; scale-out on ALB request count metric</t>
        </is>
      </c>
      <c r="M7" s="40" t="inlineStr">
        <is>
          <t>2025-06-18</t>
        </is>
      </c>
    </row>
    <row r="8" ht="26" customHeight="1">
      <c r="A8" s="43" t="inlineStr">
        <is>
          <t>compute.lambda.fhir_connector.memory_mb</t>
        </is>
      </c>
      <c r="B8" s="37" t="inlineStr">
        <is>
          <t>1024</t>
        </is>
      </c>
      <c r="C8" s="37" t="inlineStr">
        <is>
          <t>512</t>
        </is>
      </c>
      <c r="D8" s="37" t="inlineStr">
        <is>
          <t>1024</t>
        </is>
      </c>
      <c r="E8" s="37" t="inlineStr">
        <is>
          <t>Memory in MB for Epic FHIR R4 connector Lambda function</t>
        </is>
      </c>
      <c r="F8" s="38" t="inlineStr">
        <is>
          <t>Yes</t>
        </is>
      </c>
      <c r="G8" s="38" t="inlineStr">
        <is>
          <t>Integer</t>
        </is>
      </c>
      <c r="H8" s="37" t="inlineStr">
        <is>
          <t>128-10240</t>
        </is>
      </c>
      <c r="I8" s="38" t="inlineStr">
        <is>
          <t>Public</t>
        </is>
      </c>
      <c r="J8" s="37" t="inlineStr">
        <is>
          <t>Development</t>
        </is>
      </c>
      <c r="K8" s="37" t="inlineStr"/>
      <c r="L8" s="37" t="inlineStr">
        <is>
          <t>Sized for JSON parsing and Kinesis produce operations; increase if P99 latency exceeds 500ms</t>
        </is>
      </c>
      <c r="M8" s="38" t="inlineStr">
        <is>
          <t>2025-06-18</t>
        </is>
      </c>
    </row>
    <row r="9" ht="26" customHeight="1">
      <c r="A9" s="42" t="inlineStr">
        <is>
          <t>compute.lambda.fhir_connector.timeout_seconds</t>
        </is>
      </c>
      <c r="B9" s="39" t="inlineStr">
        <is>
          <t>30</t>
        </is>
      </c>
      <c r="C9" s="39" t="inlineStr">
        <is>
          <t>30</t>
        </is>
      </c>
      <c r="D9" s="39" t="inlineStr">
        <is>
          <t>30</t>
        </is>
      </c>
      <c r="E9" s="39" t="inlineStr">
        <is>
          <t>Timeout in seconds for Epic FHIR R4 connector Lambda function</t>
        </is>
      </c>
      <c r="F9" s="40" t="inlineStr">
        <is>
          <t>Yes</t>
        </is>
      </c>
      <c r="G9" s="40" t="inlineStr">
        <is>
          <t>Integer</t>
        </is>
      </c>
      <c r="H9" s="39" t="inlineStr">
        <is>
          <t>1-900</t>
        </is>
      </c>
      <c r="I9" s="40" t="inlineStr">
        <is>
          <t>Public</t>
        </is>
      </c>
      <c r="J9" s="39" t="inlineStr">
        <is>
          <t>Development</t>
        </is>
      </c>
      <c r="K9" s="39" t="inlineStr">
        <is>
          <t>compute.lambda.fhir_connector.memory_mb</t>
        </is>
      </c>
      <c r="L9" s="39" t="inlineStr">
        <is>
          <t>Must complete within 30s including schema validation and Kinesis produce</t>
        </is>
      </c>
      <c r="M9" s="40" t="inlineStr">
        <is>
          <t>2025-06-18</t>
        </is>
      </c>
    </row>
    <row r="10" ht="26" customHeight="1">
      <c r="A10" s="43" t="inlineStr">
        <is>
          <t>compute.lambda.hl7_adapter.memory_mb</t>
        </is>
      </c>
      <c r="B10" s="37" t="inlineStr">
        <is>
          <t>1024</t>
        </is>
      </c>
      <c r="C10" s="37" t="inlineStr">
        <is>
          <t>512</t>
        </is>
      </c>
      <c r="D10" s="37" t="inlineStr">
        <is>
          <t>1024</t>
        </is>
      </c>
      <c r="E10" s="37" t="inlineStr">
        <is>
          <t>Memory in MB for HL7 v2.3 Mirth Connect adapter Lambda function</t>
        </is>
      </c>
      <c r="F10" s="38" t="inlineStr">
        <is>
          <t>Yes</t>
        </is>
      </c>
      <c r="G10" s="38" t="inlineStr">
        <is>
          <t>Integer</t>
        </is>
      </c>
      <c r="H10" s="37" t="inlineStr">
        <is>
          <t>128-10240</t>
        </is>
      </c>
      <c r="I10" s="38" t="inlineStr">
        <is>
          <t>Public</t>
        </is>
      </c>
      <c r="J10" s="37" t="inlineStr">
        <is>
          <t>Development</t>
        </is>
      </c>
      <c r="K10" s="37" t="inlineStr"/>
      <c r="L10" s="37" t="inlineStr">
        <is>
          <t>Processes ADT and ORU message types from Mirth Connect via PrivateLink</t>
        </is>
      </c>
      <c r="M10" s="38" t="inlineStr">
        <is>
          <t>2025-06-18</t>
        </is>
      </c>
    </row>
    <row r="11" ht="26" customHeight="1">
      <c r="A11" s="42" t="inlineStr">
        <is>
          <t>compute.lambda.hl7_adapter.timeout_seconds</t>
        </is>
      </c>
      <c r="B11" s="39" t="inlineStr">
        <is>
          <t>30</t>
        </is>
      </c>
      <c r="C11" s="39" t="inlineStr">
        <is>
          <t>30</t>
        </is>
      </c>
      <c r="D11" s="39" t="inlineStr">
        <is>
          <t>30</t>
        </is>
      </c>
      <c r="E11" s="39" t="inlineStr">
        <is>
          <t>Timeout in seconds for HL7 v2.3 Mirth Connect adapter Lambda function</t>
        </is>
      </c>
      <c r="F11" s="40" t="inlineStr">
        <is>
          <t>Yes</t>
        </is>
      </c>
      <c r="G11" s="40" t="inlineStr">
        <is>
          <t>Integer</t>
        </is>
      </c>
      <c r="H11" s="39" t="inlineStr">
        <is>
          <t>1-900</t>
        </is>
      </c>
      <c r="I11" s="40" t="inlineStr">
        <is>
          <t>Public</t>
        </is>
      </c>
      <c r="J11" s="39" t="inlineStr">
        <is>
          <t>Development</t>
        </is>
      </c>
      <c r="K11" s="39" t="inlineStr">
        <is>
          <t>compute.lambda.hl7_adapter.memory_mb</t>
        </is>
      </c>
      <c r="L11" s="39" t="inlineStr">
        <is>
          <t>Must complete within 30s including HL7 segment parsing and Kinesis produce</t>
        </is>
      </c>
      <c r="M11" s="40" t="inlineStr">
        <is>
          <t>2025-06-18</t>
        </is>
      </c>
    </row>
    <row r="12" ht="26" customHeight="1">
      <c r="A12" s="43" t="inlineStr">
        <is>
          <t>compute.lambda.inference_orchestrator.memory_mb</t>
        </is>
      </c>
      <c r="B12" s="37" t="inlineStr">
        <is>
          <t>2048</t>
        </is>
      </c>
      <c r="C12" s="37" t="inlineStr">
        <is>
          <t>1024</t>
        </is>
      </c>
      <c r="D12" s="37" t="inlineStr">
        <is>
          <t>2048</t>
        </is>
      </c>
      <c r="E12" s="37" t="inlineStr">
        <is>
          <t>Memory in MB for inference orchestrator Lambda (retrieves features and invokes SageMaker endpoints)</t>
        </is>
      </c>
      <c r="F12" s="38" t="inlineStr">
        <is>
          <t>Yes</t>
        </is>
      </c>
      <c r="G12" s="38" t="inlineStr">
        <is>
          <t>Integer</t>
        </is>
      </c>
      <c r="H12" s="37" t="inlineStr">
        <is>
          <t>128-10240</t>
        </is>
      </c>
      <c r="I12" s="38" t="inlineStr">
        <is>
          <t>Public</t>
        </is>
      </c>
      <c r="J12" s="37" t="inlineStr">
        <is>
          <t>Development</t>
        </is>
      </c>
      <c r="K12" s="37" t="inlineStr"/>
      <c r="L12" s="37" t="inlineStr">
        <is>
          <t>Must accommodate ElastiCache read + SageMaker invoke + Bedrock invoke within 3-second budget</t>
        </is>
      </c>
      <c r="M12" s="38" t="inlineStr">
        <is>
          <t>2025-06-18</t>
        </is>
      </c>
    </row>
    <row r="13" ht="26" customHeight="1">
      <c r="A13" s="42" t="inlineStr">
        <is>
          <t>compute.lambda.alert_router.memory_mb</t>
        </is>
      </c>
      <c r="B13" s="39" t="inlineStr">
        <is>
          <t>512</t>
        </is>
      </c>
      <c r="C13" s="39" t="inlineStr">
        <is>
          <t>256</t>
        </is>
      </c>
      <c r="D13" s="39" t="inlineStr">
        <is>
          <t>512</t>
        </is>
      </c>
      <c r="E13" s="39" t="inlineStr">
        <is>
          <t>Memory in MB for alert routing Lambda (EventBridge to SNS and Epic CDS Hooks write-back)</t>
        </is>
      </c>
      <c r="F13" s="40" t="inlineStr">
        <is>
          <t>Yes</t>
        </is>
      </c>
      <c r="G13" s="40" t="inlineStr">
        <is>
          <t>Integer</t>
        </is>
      </c>
      <c r="H13" s="39" t="inlineStr">
        <is>
          <t>128-10240</t>
        </is>
      </c>
      <c r="I13" s="40" t="inlineStr">
        <is>
          <t>Public</t>
        </is>
      </c>
      <c r="J13" s="39" t="inlineStr">
        <is>
          <t>Development</t>
        </is>
      </c>
      <c r="K13" s="39" t="inlineStr">
        <is>
          <t>cache.elasticache.cluster_id</t>
        </is>
      </c>
      <c r="L13" s="39" t="inlineStr">
        <is>
          <t>Handles duplicate suppression via Redis and alert persistence to RDS Aurora</t>
        </is>
      </c>
      <c r="M13" s="40" t="inlineStr">
        <is>
          <t>2025-06-18</t>
        </is>
      </c>
    </row>
    <row r="14" ht="26" customHeight="1">
      <c r="A14" s="43" t="inlineStr">
        <is>
          <t>compute.sagemaker.sepsis_endpoint.instance_type</t>
        </is>
      </c>
      <c r="B14" s="37" t="inlineStr">
        <is>
          <t>ml.m5.xlarge</t>
        </is>
      </c>
      <c r="C14" s="37" t="inlineStr">
        <is>
          <t>ml.m5.large</t>
        </is>
      </c>
      <c r="D14" s="37" t="inlineStr">
        <is>
          <t>ml.m5.xlarge</t>
        </is>
      </c>
      <c r="E14" s="37" t="inlineStr">
        <is>
          <t>SageMaker real-time inference endpoint instance type for sepsis risk model</t>
        </is>
      </c>
      <c r="F14" s="38" t="inlineStr">
        <is>
          <t>Yes</t>
        </is>
      </c>
      <c r="G14" s="38" t="inlineStr">
        <is>
          <t>String</t>
        </is>
      </c>
      <c r="H14" s="37" t="inlineStr">
        <is>
          <t>Valid SageMaker instance type</t>
        </is>
      </c>
      <c r="I14" s="38" t="inlineStr">
        <is>
          <t>Public</t>
        </is>
      </c>
      <c r="J14" s="37" t="inlineStr">
        <is>
          <t>Cloud CoE</t>
        </is>
      </c>
      <c r="K14" s="37" t="inlineStr">
        <is>
          <t>compute.sagemaker.sepsis_endpoint.min_instances</t>
        </is>
      </c>
      <c r="L14" s="37" t="inlineStr">
        <is>
          <t>Upgrade to ml.m5.2xlarge if CPU exceeds 70% at peak load per monitoring thresholds</t>
        </is>
      </c>
      <c r="M14" s="38" t="inlineStr">
        <is>
          <t>2025-06-18</t>
        </is>
      </c>
    </row>
    <row r="15" ht="26" customHeight="1">
      <c r="A15" s="42" t="inlineStr">
        <is>
          <t>compute.sagemaker.sepsis_endpoint.min_instances</t>
        </is>
      </c>
      <c r="B15" s="39" t="inlineStr">
        <is>
          <t>2</t>
        </is>
      </c>
      <c r="C15" s="39" t="inlineStr">
        <is>
          <t>1</t>
        </is>
      </c>
      <c r="D15" s="39" t="inlineStr">
        <is>
          <t>2</t>
        </is>
      </c>
      <c r="E15" s="39" t="inlineStr">
        <is>
          <t>Minimum instance count for sepsis SageMaker endpoint; ensures multi-AZ coverage</t>
        </is>
      </c>
      <c r="F15" s="40" t="inlineStr">
        <is>
          <t>Yes</t>
        </is>
      </c>
      <c r="G15" s="40" t="inlineStr">
        <is>
          <t>Integer</t>
        </is>
      </c>
      <c r="H15" s="39" t="inlineStr">
        <is>
          <t>1-10</t>
        </is>
      </c>
      <c r="I15" s="40" t="inlineStr">
        <is>
          <t>Public</t>
        </is>
      </c>
      <c r="J15" s="39" t="inlineStr">
        <is>
          <t>Cloud CoE</t>
        </is>
      </c>
      <c r="K15" s="39" t="inlineStr"/>
      <c r="L15" s="39" t="inlineStr">
        <is>
          <t>Minimum 2 required for 99.95% availability SLA; auto-scales up to 6 at peak load</t>
        </is>
      </c>
      <c r="M15" s="40" t="inlineStr">
        <is>
          <t>2025-06-18</t>
        </is>
      </c>
    </row>
    <row r="16" ht="26" customHeight="1">
      <c r="A16" s="43" t="inlineStr">
        <is>
          <t>compute.sagemaker.sepsis_endpoint.max_instances</t>
        </is>
      </c>
      <c r="B16" s="37" t="inlineStr">
        <is>
          <t>6</t>
        </is>
      </c>
      <c r="C16" s="37" t="inlineStr">
        <is>
          <t>2</t>
        </is>
      </c>
      <c r="D16" s="37" t="inlineStr">
        <is>
          <t>6</t>
        </is>
      </c>
      <c r="E16" s="37" t="inlineStr">
        <is>
          <t>Maximum instance count for sepsis SageMaker endpoint auto-scaling policy</t>
        </is>
      </c>
      <c r="F16" s="38" t="inlineStr">
        <is>
          <t>Yes</t>
        </is>
      </c>
      <c r="G16" s="38" t="inlineStr">
        <is>
          <t>Integer</t>
        </is>
      </c>
      <c r="H16" s="37" t="inlineStr">
        <is>
          <t>1-100</t>
        </is>
      </c>
      <c r="I16" s="38" t="inlineStr">
        <is>
          <t>Public</t>
        </is>
      </c>
      <c r="J16" s="37" t="inlineStr">
        <is>
          <t>Cloud CoE</t>
        </is>
      </c>
      <c r="K16" s="37" t="inlineStr">
        <is>
          <t>compute.sagemaker.sepsis_endpoint.min_instances</t>
        </is>
      </c>
      <c r="L16" s="37" t="inlineStr">
        <is>
          <t>Scale-out on SageMakerVariantInvocationsPerInstance metric at 70% CPU threshold</t>
        </is>
      </c>
      <c r="M16" s="38" t="inlineStr">
        <is>
          <t>2025-06-18</t>
        </is>
      </c>
    </row>
    <row r="17" ht="26" customHeight="1">
      <c r="A17" s="42" t="inlineStr">
        <is>
          <t>compute.sagemaker.readmission_endpoint.instance_type</t>
        </is>
      </c>
      <c r="B17" s="39" t="inlineStr">
        <is>
          <t>ml.m5.xlarge</t>
        </is>
      </c>
      <c r="C17" s="39" t="inlineStr">
        <is>
          <t>ml.m5.large</t>
        </is>
      </c>
      <c r="D17" s="39" t="inlineStr">
        <is>
          <t>ml.m5.xlarge</t>
        </is>
      </c>
      <c r="E17" s="39" t="inlineStr">
        <is>
          <t>SageMaker real-time inference endpoint instance type for 30-day readmission model (Phase 2)</t>
        </is>
      </c>
      <c r="F17" s="40" t="inlineStr">
        <is>
          <t>Yes</t>
        </is>
      </c>
      <c r="G17" s="40" t="inlineStr">
        <is>
          <t>String</t>
        </is>
      </c>
      <c r="H17" s="39" t="inlineStr">
        <is>
          <t>Valid SageMaker instance type</t>
        </is>
      </c>
      <c r="I17" s="40" t="inlineStr">
        <is>
          <t>Public</t>
        </is>
      </c>
      <c r="J17" s="39" t="inlineStr">
        <is>
          <t>Cloud CoE</t>
        </is>
      </c>
      <c r="K17" s="39" t="inlineStr">
        <is>
          <t>compute.sagemaker.readmission_endpoint.min_instances</t>
        </is>
      </c>
      <c r="L17" s="39" t="inlineStr">
        <is>
          <t>Phase 2 model; deployed by 2027-02-28 per SOW milestone M6</t>
        </is>
      </c>
      <c r="M17" s="40" t="inlineStr">
        <is>
          <t>2025-06-18</t>
        </is>
      </c>
    </row>
    <row r="18" ht="26" customHeight="1">
      <c r="A18" s="43" t="inlineStr">
        <is>
          <t>compute.sagemaker.readmission_endpoint.min_instances</t>
        </is>
      </c>
      <c r="B18" s="37" t="inlineStr">
        <is>
          <t>2</t>
        </is>
      </c>
      <c r="C18" s="37" t="inlineStr">
        <is>
          <t>1</t>
        </is>
      </c>
      <c r="D18" s="37" t="inlineStr">
        <is>
          <t>2</t>
        </is>
      </c>
      <c r="E18" s="37" t="inlineStr">
        <is>
          <t>Minimum instance count for readmission SageMaker endpoint</t>
        </is>
      </c>
      <c r="F18" s="38" t="inlineStr">
        <is>
          <t>Yes</t>
        </is>
      </c>
      <c r="G18" s="38" t="inlineStr">
        <is>
          <t>Integer</t>
        </is>
      </c>
      <c r="H18" s="37" t="inlineStr">
        <is>
          <t>1-10</t>
        </is>
      </c>
      <c r="I18" s="38" t="inlineStr">
        <is>
          <t>Public</t>
        </is>
      </c>
      <c r="J18" s="37" t="inlineStr">
        <is>
          <t>Cloud CoE</t>
        </is>
      </c>
      <c r="K18" s="37" t="inlineStr"/>
      <c r="L18" s="37" t="inlineStr">
        <is>
          <t>Phase 2 deployment; same sizing pattern as sepsis endpoint</t>
        </is>
      </c>
      <c r="M18" s="38" t="inlineStr">
        <is>
          <t>2025-06-18</t>
        </is>
      </c>
    </row>
    <row r="19" ht="26" customHeight="1">
      <c r="A19" s="42" t="inlineStr">
        <is>
          <t>compute.sagemaker.rapid_response_endpoint.instance_type</t>
        </is>
      </c>
      <c r="B19" s="39" t="inlineStr">
        <is>
          <t>ml.m5.xlarge</t>
        </is>
      </c>
      <c r="C19" s="39" t="inlineStr">
        <is>
          <t>ml.m5.large</t>
        </is>
      </c>
      <c r="D19" s="39" t="inlineStr">
        <is>
          <t>ml.m5.xlarge</t>
        </is>
      </c>
      <c r="E19" s="39" t="inlineStr">
        <is>
          <t>SageMaker real-time inference endpoint instance type for rapid-response / early deterioration model (Phase 2)</t>
        </is>
      </c>
      <c r="F19" s="40" t="inlineStr">
        <is>
          <t>Yes</t>
        </is>
      </c>
      <c r="G19" s="40" t="inlineStr">
        <is>
          <t>String</t>
        </is>
      </c>
      <c r="H19" s="39" t="inlineStr">
        <is>
          <t>Valid SageMaker instance type</t>
        </is>
      </c>
      <c r="I19" s="40" t="inlineStr">
        <is>
          <t>Public</t>
        </is>
      </c>
      <c r="J19" s="39" t="inlineStr">
        <is>
          <t>Cloud CoE</t>
        </is>
      </c>
      <c r="K19" s="39" t="inlineStr">
        <is>
          <t>compute.sagemaker.rapid_response_endpoint.min_instances</t>
        </is>
      </c>
      <c r="L19" s="39" t="inlineStr">
        <is>
          <t>Phase 2 model; deployed by 2027-02-28 per SOW milestone M6</t>
        </is>
      </c>
      <c r="M19" s="40" t="inlineStr">
        <is>
          <t>2025-06-18</t>
        </is>
      </c>
    </row>
    <row r="20" ht="26" customHeight="1">
      <c r="A20" s="43" t="inlineStr">
        <is>
          <t>compute.sagemaker.rapid_response_endpoint.min_instances</t>
        </is>
      </c>
      <c r="B20" s="37" t="inlineStr">
        <is>
          <t>2</t>
        </is>
      </c>
      <c r="C20" s="37" t="inlineStr">
        <is>
          <t>1</t>
        </is>
      </c>
      <c r="D20" s="37" t="inlineStr">
        <is>
          <t>2</t>
        </is>
      </c>
      <c r="E20" s="37" t="inlineStr">
        <is>
          <t>Minimum instance count for rapid-response SageMaker endpoint</t>
        </is>
      </c>
      <c r="F20" s="38" t="inlineStr">
        <is>
          <t>Yes</t>
        </is>
      </c>
      <c r="G20" s="38" t="inlineStr">
        <is>
          <t>Integer</t>
        </is>
      </c>
      <c r="H20" s="37" t="inlineStr">
        <is>
          <t>1-10</t>
        </is>
      </c>
      <c r="I20" s="38" t="inlineStr">
        <is>
          <t>Public</t>
        </is>
      </c>
      <c r="J20" s="37" t="inlineStr">
        <is>
          <t>Cloud CoE</t>
        </is>
      </c>
      <c r="K20" s="37" t="inlineStr"/>
      <c r="L20" s="37" t="inlineStr">
        <is>
          <t>Phase 2 deployment; same HA sizing pattern as sepsis endpoint</t>
        </is>
      </c>
      <c r="M20" s="38" t="inlineStr">
        <is>
          <t>2025-06-18</t>
        </is>
      </c>
    </row>
    <row r="21" ht="26" customHeight="1">
      <c r="A21" s="42" t="inlineStr">
        <is>
          <t>compute.sagemaker.training.instance_type</t>
        </is>
      </c>
      <c r="B21" s="39" t="inlineStr">
        <is>
          <t>ml.p3.2xlarge</t>
        </is>
      </c>
      <c r="C21" s="39" t="inlineStr">
        <is>
          <t>ml.m5.xlarge</t>
        </is>
      </c>
      <c r="D21" s="39" t="inlineStr">
        <is>
          <t>ml.p3.2xlarge</t>
        </is>
      </c>
      <c r="E21" s="39" t="inlineStr">
        <is>
          <t>SageMaker training job instance type for weekly model retraining pipelines</t>
        </is>
      </c>
      <c r="F21" s="40" t="inlineStr">
        <is>
          <t>Yes</t>
        </is>
      </c>
      <c r="G21" s="40" t="inlineStr">
        <is>
          <t>String</t>
        </is>
      </c>
      <c r="H21" s="39" t="inlineStr">
        <is>
          <t>Valid SageMaker instance type</t>
        </is>
      </c>
      <c r="I21" s="40" t="inlineStr">
        <is>
          <t>Public</t>
        </is>
      </c>
      <c r="J21" s="39" t="inlineStr">
        <is>
          <t>Cloud CoE</t>
        </is>
      </c>
      <c r="K21" s="39" t="inlineStr"/>
      <c r="L21" s="39" t="inlineStr">
        <is>
          <t>On-demand only; no standing instances; Spot training available for non-critical retraining runs</t>
        </is>
      </c>
      <c r="M21" s="40" t="inlineStr">
        <is>
          <t>2025-06-18</t>
        </is>
      </c>
    </row>
  </sheetData>
  <autoFilter ref="A2:M21"/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Storage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storage.s3.datalake_bucket_name</t>
        </is>
      </c>
      <c r="B3" s="39" t="inlineStr">
        <is>
          <t>[s3-datalake-bucket-name]</t>
        </is>
      </c>
      <c r="C3" s="39" t="inlineStr">
        <is>
          <t>[s3-datalake-bucket-name]</t>
        </is>
      </c>
      <c r="D3" s="39" t="inlineStr">
        <is>
          <t>[s3-datalake-bucket-name]</t>
        </is>
      </c>
      <c r="E3" s="39" t="inlineStr">
        <is>
          <t>S3 bucket name for PHI data lake (HL7 event archives and ML model artefacts)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Globally unique; medcore-cds-{env}-datalake-{account-id} pattern</t>
        </is>
      </c>
      <c r="I3" s="40" t="inlineStr">
        <is>
          <t>Confidential</t>
        </is>
      </c>
      <c r="J3" s="39" t="inlineStr">
        <is>
          <t>Operations</t>
        </is>
      </c>
      <c r="K3" s="39" t="inlineStr">
        <is>
          <t>solution.account_id</t>
        </is>
      </c>
      <c r="L3" s="39" t="inlineStr">
        <is>
          <t>Cross-region replication to us-west-2 in real-time; KMS encrypted; Macie PHI classification scans</t>
        </is>
      </c>
      <c r="M3" s="40" t="inlineStr">
        <is>
          <t>2025-06-18</t>
        </is>
      </c>
    </row>
    <row r="4" ht="26" customHeight="1">
      <c r="A4" s="43" t="inlineStr">
        <is>
          <t>storage.s3.audit_bucket_name</t>
        </is>
      </c>
      <c r="B4" s="37" t="inlineStr">
        <is>
          <t>[s3-audit-bucket-name]</t>
        </is>
      </c>
      <c r="C4" s="37" t="inlineStr">
        <is>
          <t>[s3-audit-bucket-name]</t>
        </is>
      </c>
      <c r="D4" s="37" t="inlineStr">
        <is>
          <t>[s3-audit-bucket-name]</t>
        </is>
      </c>
      <c r="E4" s="37" t="inlineStr">
        <is>
          <t>S3 bucket name for CloudTrail PHI audit log delivery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Globally unique; medcore-cds-{env}-audit-{account-id} pattern</t>
        </is>
      </c>
      <c r="I4" s="38" t="inlineStr">
        <is>
          <t>Confidential</t>
        </is>
      </c>
      <c r="J4" s="37" t="inlineStr">
        <is>
          <t>Security Team</t>
        </is>
      </c>
      <c r="K4" s="37" t="inlineStr">
        <is>
          <t>security.cloudtrail_trail_arn</t>
        </is>
      </c>
      <c r="L4" s="37" t="inlineStr">
        <is>
          <t>S3 Object Lock Compliance mode; 7-year WORM retention; HIPAA §164.312(b) compliance bucket</t>
        </is>
      </c>
      <c r="M4" s="38" t="inlineStr">
        <is>
          <t>2025-06-18</t>
        </is>
      </c>
    </row>
    <row r="5" ht="26" customHeight="1">
      <c r="A5" s="42" t="inlineStr">
        <is>
          <t>storage.s3.model_artefacts_bucket_name</t>
        </is>
      </c>
      <c r="B5" s="39" t="inlineStr">
        <is>
          <t>[s3-model-artefacts-bucket-name]</t>
        </is>
      </c>
      <c r="C5" s="39" t="inlineStr">
        <is>
          <t>[s3-model-artefacts-bucket-name]</t>
        </is>
      </c>
      <c r="D5" s="39" t="inlineStr">
        <is>
          <t>[s3-model-artefacts-bucket-name]</t>
        </is>
      </c>
      <c r="E5" s="39" t="inlineStr">
        <is>
          <t>S3 bucket name for SageMaker model artefacts and training job outputs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Globally unique; medcore-cds-{env}-models-{account-id} pattern</t>
        </is>
      </c>
      <c r="I5" s="40" t="inlineStr">
        <is>
          <t>Confidential</t>
        </is>
      </c>
      <c r="J5" s="39" t="inlineStr">
        <is>
          <t>Cloud CoE</t>
        </is>
      </c>
      <c r="K5" s="39" t="inlineStr">
        <is>
          <t>solution.account_id</t>
        </is>
      </c>
      <c r="L5" s="39" t="inlineStr">
        <is>
          <t>SageMaker Model Registry references this bucket; versioning enabled; KMS encrypted</t>
        </is>
      </c>
      <c r="M5" s="40" t="inlineStr">
        <is>
          <t>2025-06-18</t>
        </is>
      </c>
    </row>
    <row r="6" ht="26" customHeight="1">
      <c r="A6" s="43" t="inlineStr">
        <is>
          <t>storage.s3.object_lock_retention_years</t>
        </is>
      </c>
      <c r="B6" s="37" t="inlineStr">
        <is>
          <t>7</t>
        </is>
      </c>
      <c r="C6" s="37" t="inlineStr">
        <is>
          <t>0</t>
        </is>
      </c>
      <c r="D6" s="37" t="inlineStr">
        <is>
          <t>7</t>
        </is>
      </c>
      <c r="E6" s="37" t="inlineStr">
        <is>
          <t>S3 Object Lock compliance retention period in years for the audit log bucket</t>
        </is>
      </c>
      <c r="F6" s="38" t="inlineStr">
        <is>
          <t>Yes</t>
        </is>
      </c>
      <c r="G6" s="38" t="inlineStr">
        <is>
          <t>Integer</t>
        </is>
      </c>
      <c r="H6" s="37" t="inlineStr">
        <is>
          <t>1-100</t>
        </is>
      </c>
      <c r="I6" s="38" t="inlineStr">
        <is>
          <t>Public</t>
        </is>
      </c>
      <c r="J6" s="37" t="inlineStr">
        <is>
          <t>Security Team</t>
        </is>
      </c>
      <c r="K6" s="37" t="inlineStr">
        <is>
          <t>storage.s3.audit_bucket_name</t>
        </is>
      </c>
      <c r="L6" s="37" t="inlineStr">
        <is>
          <t>7-year WORM retention per HIPAA; Compliance mode prevents deletion even by bucket owner</t>
        </is>
      </c>
      <c r="M6" s="38" t="inlineStr">
        <is>
          <t>2025-06-18</t>
        </is>
      </c>
    </row>
    <row r="7" ht="26" customHeight="1">
      <c r="A7" s="42" t="inlineStr">
        <is>
          <t>storage.s3.cross_region_replication_enabled</t>
        </is>
      </c>
      <c r="B7" s="39" t="inlineStr">
        <is>
          <t>true</t>
        </is>
      </c>
      <c r="C7" s="39" t="inlineStr">
        <is>
          <t>false</t>
        </is>
      </c>
      <c r="D7" s="39" t="inlineStr">
        <is>
          <t>true</t>
        </is>
      </c>
      <c r="E7" s="39" t="inlineStr">
        <is>
          <t>Enable S3 cross-region replication from us-east-1 to us-west-2 for all data lake buckets</t>
        </is>
      </c>
      <c r="F7" s="40" t="inlineStr">
        <is>
          <t>Yes</t>
        </is>
      </c>
      <c r="G7" s="40" t="inlineStr">
        <is>
          <t>Boolean</t>
        </is>
      </c>
      <c r="H7" s="39" t="inlineStr">
        <is>
          <t>true|false</t>
        </is>
      </c>
      <c r="I7" s="40" t="inlineStr">
        <is>
          <t>Public</t>
        </is>
      </c>
      <c r="J7" s="39" t="inlineStr">
        <is>
          <t>Operations</t>
        </is>
      </c>
      <c r="K7" s="39" t="inlineStr">
        <is>
          <t>storage.s3.datalake_bucket_name</t>
        </is>
      </c>
      <c r="L7" s="39" t="inlineStr">
        <is>
          <t>Supports RPO ≤ 15 minutes target for multi-region DR; real-time replication in production</t>
        </is>
      </c>
      <c r="M7" s="40" t="inlineStr">
        <is>
          <t>2025-06-18</t>
        </is>
      </c>
    </row>
    <row r="8" ht="26" customHeight="1">
      <c r="A8" s="43" t="inlineStr">
        <is>
          <t>storage.healthlake.datastore_id</t>
        </is>
      </c>
      <c r="B8" s="37" t="inlineStr">
        <is>
          <t>[healthlake-datastore-id]</t>
        </is>
      </c>
      <c r="C8" s="37" t="inlineStr">
        <is>
          <t>[healthlake-datastore-id]</t>
        </is>
      </c>
      <c r="D8" s="37" t="inlineStr">
        <is>
          <t>[healthlake-datastore-id]</t>
        </is>
      </c>
      <c r="E8" s="37" t="inlineStr">
        <is>
          <t>Amazon HealthLake FHIR R4 datastore ID for PHI persistence and longitudinal patient records</t>
        </is>
      </c>
      <c r="F8" s="38" t="inlineStr">
        <is>
          <t>Yes</t>
        </is>
      </c>
      <c r="G8" s="38" t="inlineStr">
        <is>
          <t>String</t>
        </is>
      </c>
      <c r="H8" s="37" t="inlineStr">
        <is>
          <t>Valid HealthLake datastore ID</t>
        </is>
      </c>
      <c r="I8" s="38" t="inlineStr">
        <is>
          <t>Confidential</t>
        </is>
      </c>
      <c r="J8" s="37" t="inlineStr">
        <is>
          <t>Cloud CoE</t>
        </is>
      </c>
      <c r="K8" s="37" t="inlineStr"/>
      <c r="L8" s="37" t="inlineStr">
        <is>
          <t>HIPAA-eligible FHIR R4 datastore; daily FHIR export to S3 with Object Lock for 7-year retention</t>
        </is>
      </c>
      <c r="M8" s="38" t="inlineStr">
        <is>
          <t>2025-06-18</t>
        </is>
      </c>
    </row>
    <row r="9" ht="26" customHeight="1">
      <c r="A9" s="42" t="inlineStr">
        <is>
          <t>storage.healthlake.fhir_version</t>
        </is>
      </c>
      <c r="B9" s="39" t="inlineStr">
        <is>
          <t>R4</t>
        </is>
      </c>
      <c r="C9" s="39" t="inlineStr">
        <is>
          <t>R4</t>
        </is>
      </c>
      <c r="D9" s="39" t="inlineStr">
        <is>
          <t>R4</t>
        </is>
      </c>
      <c r="E9" s="39" t="inlineStr">
        <is>
          <t>FHIR version for Amazon HealthLake datastore configuration</t>
        </is>
      </c>
      <c r="F9" s="40" t="inlineStr">
        <is>
          <t>Yes</t>
        </is>
      </c>
      <c r="G9" s="40" t="inlineStr">
        <is>
          <t>String</t>
        </is>
      </c>
      <c r="H9" s="39" t="inlineStr">
        <is>
          <t>R4</t>
        </is>
      </c>
      <c r="I9" s="40" t="inlineStr">
        <is>
          <t>Public</t>
        </is>
      </c>
      <c r="J9" s="39" t="inlineStr">
        <is>
          <t>Cloud CoE</t>
        </is>
      </c>
      <c r="K9" s="39" t="inlineStr">
        <is>
          <t>storage.healthlake.datastore_id</t>
        </is>
      </c>
      <c r="L9" s="39" t="inlineStr">
        <is>
          <t>FHIR R4 required for Epic SMART on FHIR OAuth 2.0 integration per SOW scope</t>
        </is>
      </c>
      <c r="M9" s="40" t="inlineStr">
        <is>
          <t>2025-06-18</t>
        </is>
      </c>
    </row>
    <row r="10" ht="26" customHeight="1">
      <c r="A10" s="43" t="inlineStr">
        <is>
          <t>storage.healthlake.active_storage_tb</t>
        </is>
      </c>
      <c r="B10" s="37" t="inlineStr">
        <is>
          <t>1</t>
        </is>
      </c>
      <c r="C10" s="37" t="inlineStr">
        <is>
          <t>0.1</t>
        </is>
      </c>
      <c r="D10" s="37" t="inlineStr">
        <is>
          <t>1</t>
        </is>
      </c>
      <c r="E10" s="37" t="inlineStr">
        <is>
          <t>Expected active FHIR store storage in TB at full 18-hospital utilization</t>
        </is>
      </c>
      <c r="F10" s="38" t="inlineStr">
        <is>
          <t>Yes</t>
        </is>
      </c>
      <c r="G10" s="38" t="inlineStr">
        <is>
          <t>Number</t>
        </is>
      </c>
      <c r="H10" s="37" t="inlineStr">
        <is>
          <t>0.1-100.0</t>
        </is>
      </c>
      <c r="I10" s="38" t="inlineStr">
        <is>
          <t>Public</t>
        </is>
      </c>
      <c r="J10" s="37" t="inlineStr">
        <is>
          <t>Cloud CoE</t>
        </is>
      </c>
      <c r="K10" s="37" t="inlineStr">
        <is>
          <t>storage.healthlake.datastore_id</t>
        </is>
      </c>
      <c r="L10" s="37" t="inlineStr">
        <is>
          <t>1 TB active + 500 GB/month import per SOW scope parameters; review annually at full utilization</t>
        </is>
      </c>
      <c r="M10" s="38" t="inlineStr">
        <is>
          <t>2025-06-18</t>
        </is>
      </c>
    </row>
    <row r="11" ht="26" customHeight="1">
      <c r="A11" s="42" t="inlineStr">
        <is>
          <t>storage.healthlake.retention_years</t>
        </is>
      </c>
      <c r="B11" s="39" t="inlineStr">
        <is>
          <t>7</t>
        </is>
      </c>
      <c r="C11" s="39" t="inlineStr">
        <is>
          <t>1</t>
        </is>
      </c>
      <c r="D11" s="39" t="inlineStr">
        <is>
          <t>7</t>
        </is>
      </c>
      <c r="E11" s="39" t="inlineStr">
        <is>
          <t>Minimum retention period in years for HealthLake FHIR patient data</t>
        </is>
      </c>
      <c r="F11" s="40" t="inlineStr">
        <is>
          <t>Yes</t>
        </is>
      </c>
      <c r="G11" s="40" t="inlineStr">
        <is>
          <t>Integer</t>
        </is>
      </c>
      <c r="H11" s="39" t="inlineStr">
        <is>
          <t>1-10</t>
        </is>
      </c>
      <c r="I11" s="40" t="inlineStr">
        <is>
          <t>Public</t>
        </is>
      </c>
      <c r="J11" s="39" t="inlineStr">
        <is>
          <t>Security Team</t>
        </is>
      </c>
      <c r="K11" s="39" t="inlineStr">
        <is>
          <t>storage.healthlake.datastore_id</t>
        </is>
      </c>
      <c r="L11" s="39" t="inlineStr">
        <is>
          <t>HIPAA minimum 7-year retention; HealthLake exports backed up to S3 with Object Lock</t>
        </is>
      </c>
      <c r="M11" s="40" t="inlineStr">
        <is>
          <t>2025-06-18</t>
        </is>
      </c>
    </row>
    <row r="12" ht="26" customHeight="1">
      <c r="A12" s="43" t="inlineStr">
        <is>
          <t>storage.redshift.cluster_identifier</t>
        </is>
      </c>
      <c r="B12" s="37" t="inlineStr">
        <is>
          <t>medcore-cds-prod-redshift</t>
        </is>
      </c>
      <c r="C12" s="37" t="inlineStr">
        <is>
          <t>medcore-cds-qa-redshift</t>
        </is>
      </c>
      <c r="D12" s="37" t="inlineStr">
        <is>
          <t>medcore-cds-prod-redshift</t>
        </is>
      </c>
      <c r="E12" s="37" t="inlineStr">
        <is>
          <t>Amazon Redshift cluster identifier for longitudinal outcomes warehouse</t>
        </is>
      </c>
      <c r="F12" s="38" t="inlineStr">
        <is>
          <t>Yes</t>
        </is>
      </c>
      <c r="G12" s="38" t="inlineStr">
        <is>
          <t>String</t>
        </is>
      </c>
      <c r="H12" s="37" t="inlineStr">
        <is>
          <t>medcore-cds-{env}-redshift pattern</t>
        </is>
      </c>
      <c r="I12" s="38" t="inlineStr">
        <is>
          <t>Confidential</t>
        </is>
      </c>
      <c r="J12" s="37" t="inlineStr">
        <is>
          <t>Cloud CoE</t>
        </is>
      </c>
      <c r="K12" s="37" t="inlineStr">
        <is>
          <t>solution.environment</t>
        </is>
      </c>
      <c r="L12" s="37" t="inlineStr">
        <is>
          <t>ra3.xlplus single node; stores sepsis events and readmission instances for model performance monitoring</t>
        </is>
      </c>
      <c r="M12" s="38" t="inlineStr">
        <is>
          <t>2025-06-18</t>
        </is>
      </c>
    </row>
    <row r="13" ht="26" customHeight="1">
      <c r="A13" s="42" t="inlineStr">
        <is>
          <t>storage.redshift.node_type</t>
        </is>
      </c>
      <c r="B13" s="39" t="inlineStr">
        <is>
          <t>ra3.xlplus</t>
        </is>
      </c>
      <c r="C13" s="39" t="inlineStr">
        <is>
          <t>dc2.large</t>
        </is>
      </c>
      <c r="D13" s="39" t="inlineStr">
        <is>
          <t>ra3.xlplus</t>
        </is>
      </c>
      <c r="E13" s="39" t="inlineStr">
        <is>
          <t>Amazon Redshift node type for the outcomes analytics warehouse</t>
        </is>
      </c>
      <c r="F13" s="40" t="inlineStr">
        <is>
          <t>Yes</t>
        </is>
      </c>
      <c r="G13" s="40" t="inlineStr">
        <is>
          <t>String</t>
        </is>
      </c>
      <c r="H13" s="39" t="inlineStr">
        <is>
          <t>Valid Redshift node type</t>
        </is>
      </c>
      <c r="I13" s="40" t="inlineStr">
        <is>
          <t>Public</t>
        </is>
      </c>
      <c r="J13" s="39" t="inlineStr">
        <is>
          <t>Cloud CoE</t>
        </is>
      </c>
      <c r="K13" s="39" t="inlineStr">
        <is>
          <t>storage.redshift.cluster_identifier</t>
        </is>
      </c>
      <c r="L13" s="39" t="inlineStr">
        <is>
          <t>ra3.xlplus per detailed design compute sizing; Reserved Node pricing applied at steady state</t>
        </is>
      </c>
      <c r="M13" s="40" t="inlineStr">
        <is>
          <t>2025-06-18</t>
        </is>
      </c>
    </row>
    <row r="14" ht="26" customHeight="1">
      <c r="A14" s="43" t="inlineStr">
        <is>
          <t>storage.redshift.snapshot_retention_days</t>
        </is>
      </c>
      <c r="B14" s="37" t="inlineStr">
        <is>
          <t>7</t>
        </is>
      </c>
      <c r="C14" s="37" t="inlineStr">
        <is>
          <t>1</t>
        </is>
      </c>
      <c r="D14" s="37" t="inlineStr">
        <is>
          <t>7</t>
        </is>
      </c>
      <c r="E14" s="37" t="inlineStr">
        <is>
          <t>Automated snapshot retention in days for Redshift cluster</t>
        </is>
      </c>
      <c r="F14" s="38" t="inlineStr">
        <is>
          <t>Yes</t>
        </is>
      </c>
      <c r="G14" s="38" t="inlineStr">
        <is>
          <t>Integer</t>
        </is>
      </c>
      <c r="H14" s="37" t="inlineStr">
        <is>
          <t>1-35</t>
        </is>
      </c>
      <c r="I14" s="38" t="inlineStr">
        <is>
          <t>Public</t>
        </is>
      </c>
      <c r="J14" s="37" t="inlineStr">
        <is>
          <t>Cloud CoE</t>
        </is>
      </c>
      <c r="K14" s="37" t="inlineStr">
        <is>
          <t>storage.redshift.cluster_identifier</t>
        </is>
      </c>
      <c r="L14" s="37" t="inlineStr">
        <is>
          <t>Analytics only; no SLA impact on clinical workload; 7-day retention sufficient per data design</t>
        </is>
      </c>
      <c r="M14" s="38" t="inlineStr">
        <is>
          <t>2025-06-18</t>
        </is>
      </c>
    </row>
  </sheetData>
  <autoFilter ref="A2:M14"/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Database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database.aurora.cluster_identifier</t>
        </is>
      </c>
      <c r="B3" s="39" t="inlineStr">
        <is>
          <t>medcore-cds-prod-aurora-cluster</t>
        </is>
      </c>
      <c r="C3" s="39" t="inlineStr">
        <is>
          <t>medcore-cds-qa-aurora-cluster</t>
        </is>
      </c>
      <c r="D3" s="39" t="inlineStr">
        <is>
          <t>medcore-cds-prod-aurora-cluster</t>
        </is>
      </c>
      <c r="E3" s="39" t="inlineStr">
        <is>
          <t>RDS Aurora PostgreSQL cluster identifier for risk scores and alert history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medcore-cds-{env}-aurora-cluster pattern</t>
        </is>
      </c>
      <c r="I3" s="40" t="inlineStr">
        <is>
          <t>Confidential</t>
        </is>
      </c>
      <c r="J3" s="39" t="inlineStr">
        <is>
          <t>Database Team</t>
        </is>
      </c>
      <c r="K3" s="39" t="inlineStr">
        <is>
          <t>solution.environment</t>
        </is>
      </c>
      <c r="L3" s="39" t="inlineStr">
        <is>
          <t>Stores risk scores and alert history; PHI-adjacent data; KMS encrypted at rest</t>
        </is>
      </c>
      <c r="M3" s="40" t="inlineStr">
        <is>
          <t>2025-06-18</t>
        </is>
      </c>
    </row>
    <row r="4" ht="26" customHeight="1">
      <c r="A4" s="43" t="inlineStr">
        <is>
          <t>database.aurora.instance_type</t>
        </is>
      </c>
      <c r="B4" s="37" t="inlineStr">
        <is>
          <t>db.r6g.large</t>
        </is>
      </c>
      <c r="C4" s="37" t="inlineStr">
        <is>
          <t>db.r6g.medium</t>
        </is>
      </c>
      <c r="D4" s="37" t="inlineStr">
        <is>
          <t>db.r6g.large</t>
        </is>
      </c>
      <c r="E4" s="37" t="inlineStr">
        <is>
          <t>RDS Aurora PostgreSQL instance class for primary and replica nodes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Valid RDS instance class</t>
        </is>
      </c>
      <c r="I4" s="38" t="inlineStr">
        <is>
          <t>Public</t>
        </is>
      </c>
      <c r="J4" s="37" t="inlineStr">
        <is>
          <t>Database Team</t>
        </is>
      </c>
      <c r="K4" s="37" t="inlineStr">
        <is>
          <t>database.aurora.cluster_identifier</t>
        </is>
      </c>
      <c r="L4" s="37" t="inlineStr">
        <is>
          <t>db.r6g.large per detailed design compute sizing; scale up if replica lag exceeds 5 seconds</t>
        </is>
      </c>
      <c r="M4" s="38" t="inlineStr">
        <is>
          <t>2025-06-18</t>
        </is>
      </c>
    </row>
    <row r="5" ht="26" customHeight="1">
      <c r="A5" s="42" t="inlineStr">
        <is>
          <t>database.aurora.multi_az_enabled</t>
        </is>
      </c>
      <c r="B5" s="39" t="inlineStr">
        <is>
          <t>true</t>
        </is>
      </c>
      <c r="C5" s="39" t="inlineStr">
        <is>
          <t>false</t>
        </is>
      </c>
      <c r="D5" s="39" t="inlineStr">
        <is>
          <t>true</t>
        </is>
      </c>
      <c r="E5" s="39" t="inlineStr">
        <is>
          <t>Enable Multi-AZ replication for Aurora PostgreSQL primary instance</t>
        </is>
      </c>
      <c r="F5" s="40" t="inlineStr">
        <is>
          <t>Yes</t>
        </is>
      </c>
      <c r="G5" s="40" t="inlineStr">
        <is>
          <t>Boolean</t>
        </is>
      </c>
      <c r="H5" s="39" t="inlineStr">
        <is>
          <t>true|false</t>
        </is>
      </c>
      <c r="I5" s="40" t="inlineStr">
        <is>
          <t>Public</t>
        </is>
      </c>
      <c r="J5" s="39" t="inlineStr">
        <is>
          <t>Database Team</t>
        </is>
      </c>
      <c r="K5" s="39" t="inlineStr">
        <is>
          <t>database.aurora.cluster_identifier</t>
        </is>
      </c>
      <c r="L5" s="39" t="inlineStr">
        <is>
          <t>Must be true in production and DR to meet 99.95% availability SLA; 30-60s automatic failover</t>
        </is>
      </c>
      <c r="M5" s="40" t="inlineStr">
        <is>
          <t>2025-06-18</t>
        </is>
      </c>
    </row>
    <row r="6" ht="26" customHeight="1">
      <c r="A6" s="43" t="inlineStr">
        <is>
          <t>database.aurora.backup_retention_days</t>
        </is>
      </c>
      <c r="B6" s="37" t="inlineStr">
        <is>
          <t>35</t>
        </is>
      </c>
      <c r="C6" s="37" t="inlineStr">
        <is>
          <t>7</t>
        </is>
      </c>
      <c r="D6" s="37" t="inlineStr">
        <is>
          <t>35</t>
        </is>
      </c>
      <c r="E6" s="37" t="inlineStr">
        <is>
          <t>Automated snapshot retention period in days for Aurora PostgreSQL</t>
        </is>
      </c>
      <c r="F6" s="38" t="inlineStr">
        <is>
          <t>Yes</t>
        </is>
      </c>
      <c r="G6" s="38" t="inlineStr">
        <is>
          <t>Integer</t>
        </is>
      </c>
      <c r="H6" s="37" t="inlineStr">
        <is>
          <t>1-35</t>
        </is>
      </c>
      <c r="I6" s="38" t="inlineStr">
        <is>
          <t>Public</t>
        </is>
      </c>
      <c r="J6" s="37" t="inlineStr">
        <is>
          <t>Database Team</t>
        </is>
      </c>
      <c r="K6" s="37" t="inlineStr">
        <is>
          <t>database.aurora.cluster_identifier</t>
        </is>
      </c>
      <c r="L6" s="37" t="inlineStr">
        <is>
          <t>35-day maximum enables PITR for full audit window; HIPAA archive via S3 for 7-year minimum</t>
        </is>
      </c>
      <c r="M6" s="38" t="inlineStr">
        <is>
          <t>2025-06-18</t>
        </is>
      </c>
    </row>
    <row r="7" ht="26" customHeight="1">
      <c r="A7" s="42" t="inlineStr">
        <is>
          <t>database.aurora.db_name</t>
        </is>
      </c>
      <c r="B7" s="39" t="inlineStr">
        <is>
          <t>medcore_cds</t>
        </is>
      </c>
      <c r="C7" s="39" t="inlineStr">
        <is>
          <t>medcore_cds</t>
        </is>
      </c>
      <c r="D7" s="39" t="inlineStr">
        <is>
          <t>medcore_cds</t>
        </is>
      </c>
      <c r="E7" s="39" t="inlineStr">
        <is>
          <t>Database name within the Aurora PostgreSQL cluster</t>
        </is>
      </c>
      <c r="F7" s="40" t="inlineStr">
        <is>
          <t>Yes</t>
        </is>
      </c>
      <c r="G7" s="40" t="inlineStr">
        <is>
          <t>String</t>
        </is>
      </c>
      <c r="H7" s="39" t="inlineStr">
        <is>
          <t>Lowercase alphanumeric underscores</t>
        </is>
      </c>
      <c r="I7" s="40" t="inlineStr">
        <is>
          <t>Confidential</t>
        </is>
      </c>
      <c r="J7" s="39" t="inlineStr">
        <is>
          <t>Database Team</t>
        </is>
      </c>
      <c r="K7" s="39" t="inlineStr">
        <is>
          <t>database.aurora.cluster_identifier</t>
        </is>
      </c>
      <c r="L7" s="39" t="inlineStr"/>
      <c r="M7" s="40" t="inlineStr">
        <is>
          <t>2025-06-18</t>
        </is>
      </c>
    </row>
    <row r="8" ht="26" customHeight="1">
      <c r="A8" s="43" t="inlineStr">
        <is>
          <t>database.aurora.master_username</t>
        </is>
      </c>
      <c r="B8" s="37" t="inlineStr">
        <is>
          <t>[aurora-master-username]</t>
        </is>
      </c>
      <c r="C8" s="37" t="inlineStr">
        <is>
          <t>[aurora-master-username]</t>
        </is>
      </c>
      <c r="D8" s="37" t="inlineStr">
        <is>
          <t>[aurora-master-username]</t>
        </is>
      </c>
      <c r="E8" s="37" t="inlineStr">
        <is>
          <t>Aurora PostgreSQL master username stored in Secrets Manager; never in plaintext</t>
        </is>
      </c>
      <c r="F8" s="38" t="inlineStr">
        <is>
          <t>Yes</t>
        </is>
      </c>
      <c r="G8" s="38" t="inlineStr">
        <is>
          <t>String</t>
        </is>
      </c>
      <c r="H8" s="37" t="inlineStr">
        <is>
          <t>Valid PostgreSQL username</t>
        </is>
      </c>
      <c r="I8" s="38" t="inlineStr">
        <is>
          <t>Secret</t>
        </is>
      </c>
      <c r="J8" s="37" t="inlineStr">
        <is>
          <t>Database Team</t>
        </is>
      </c>
      <c r="K8" s="37" t="inlineStr">
        <is>
          <t>security.secrets_manager.aurora_secret_arn</t>
        </is>
      </c>
      <c r="L8" s="37" t="inlineStr">
        <is>
          <t>Rotated automatically every 30 days via Secrets Manager RDS rotation Lambda</t>
        </is>
      </c>
      <c r="M8" s="38" t="inlineStr">
        <is>
          <t>2025-06-18</t>
        </is>
      </c>
    </row>
    <row r="9" ht="26" customHeight="1">
      <c r="A9" s="42" t="inlineStr">
        <is>
          <t>database.aurora.master_password</t>
        </is>
      </c>
      <c r="B9" s="39" t="inlineStr">
        <is>
          <t>[aurora-master-password]</t>
        </is>
      </c>
      <c r="C9" s="39" t="inlineStr">
        <is>
          <t>[aurora-master-password]</t>
        </is>
      </c>
      <c r="D9" s="39" t="inlineStr">
        <is>
          <t>[aurora-master-password]</t>
        </is>
      </c>
      <c r="E9" s="39" t="inlineStr">
        <is>
          <t>Aurora PostgreSQL master password stored in Secrets Manager; never committed to IaC or code</t>
        </is>
      </c>
      <c r="F9" s="40" t="inlineStr">
        <is>
          <t>Yes</t>
        </is>
      </c>
      <c r="G9" s="40" t="inlineStr">
        <is>
          <t>String</t>
        </is>
      </c>
      <c r="H9" s="39" t="inlineStr">
        <is>
          <t>Min 16 chars with complexity requirements</t>
        </is>
      </c>
      <c r="I9" s="40" t="inlineStr">
        <is>
          <t>Secret</t>
        </is>
      </c>
      <c r="J9" s="39" t="inlineStr">
        <is>
          <t>Database Team</t>
        </is>
      </c>
      <c r="K9" s="39" t="inlineStr">
        <is>
          <t>security.secrets_manager.aurora_secret_arn</t>
        </is>
      </c>
      <c r="L9" s="39" t="inlineStr">
        <is>
          <t>30-day automatic rotation via Secrets Manager; never stored in environment variables or logs</t>
        </is>
      </c>
      <c r="M9" s="40" t="inlineStr">
        <is>
          <t>2025-06-18</t>
        </is>
      </c>
    </row>
    <row r="10" ht="26" customHeight="1">
      <c r="A10" s="43" t="inlineStr">
        <is>
          <t>database.aurora.ssl_mode</t>
        </is>
      </c>
      <c r="B10" s="37" t="inlineStr">
        <is>
          <t>require</t>
        </is>
      </c>
      <c r="C10" s="37" t="inlineStr">
        <is>
          <t>require</t>
        </is>
      </c>
      <c r="D10" s="37" t="inlineStr">
        <is>
          <t>require</t>
        </is>
      </c>
      <c r="E10" s="37" t="inlineStr">
        <is>
          <t>SSL enforcement mode for Aurora PostgreSQL client connections</t>
        </is>
      </c>
      <c r="F10" s="38" t="inlineStr">
        <is>
          <t>Yes</t>
        </is>
      </c>
      <c r="G10" s="38" t="inlineStr">
        <is>
          <t>String</t>
        </is>
      </c>
      <c r="H10" s="37" t="inlineStr">
        <is>
          <t>disable|allow|prefer|require|verify-ca|verify-full</t>
        </is>
      </c>
      <c r="I10" s="38" t="inlineStr">
        <is>
          <t>Confidential</t>
        </is>
      </c>
      <c r="J10" s="37" t="inlineStr">
        <is>
          <t>Security Team</t>
        </is>
      </c>
      <c r="K10" s="37" t="inlineStr">
        <is>
          <t>database.aurora.cluster_identifier</t>
        </is>
      </c>
      <c r="L10" s="37" t="inlineStr">
        <is>
          <t>HIPAA TLS 1.2+ mandate; all application connections must present valid SSL</t>
        </is>
      </c>
      <c r="M10" s="38" t="inlineStr">
        <is>
          <t>2025-06-18</t>
        </is>
      </c>
    </row>
    <row r="11" ht="26" customHeight="1">
      <c r="A11" s="42" t="inlineStr">
        <is>
          <t>database.aurora.deletion_protection</t>
        </is>
      </c>
      <c r="B11" s="39" t="inlineStr">
        <is>
          <t>true</t>
        </is>
      </c>
      <c r="C11" s="39" t="inlineStr">
        <is>
          <t>false</t>
        </is>
      </c>
      <c r="D11" s="39" t="inlineStr">
        <is>
          <t>true</t>
        </is>
      </c>
      <c r="E11" s="39" t="inlineStr">
        <is>
          <t>Enable deletion protection on Aurora cluster to prevent accidental drops</t>
        </is>
      </c>
      <c r="F11" s="40" t="inlineStr">
        <is>
          <t>Yes</t>
        </is>
      </c>
      <c r="G11" s="40" t="inlineStr">
        <is>
          <t>Boolean</t>
        </is>
      </c>
      <c r="H11" s="39" t="inlineStr">
        <is>
          <t>true|false</t>
        </is>
      </c>
      <c r="I11" s="40" t="inlineStr">
        <is>
          <t>Public</t>
        </is>
      </c>
      <c r="J11" s="39" t="inlineStr">
        <is>
          <t>Database Team</t>
        </is>
      </c>
      <c r="K11" s="39" t="inlineStr">
        <is>
          <t>database.aurora.cluster_identifier</t>
        </is>
      </c>
      <c r="L11" s="39" t="inlineStr">
        <is>
          <t>Must be true in production and DR; AWS Config rule enforces compliance</t>
        </is>
      </c>
      <c r="M11" s="40" t="inlineStr">
        <is>
          <t>2025-06-18</t>
        </is>
      </c>
    </row>
  </sheetData>
  <autoFilter ref="A2:M11"/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Cache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cache.elasticache.cluster_id</t>
        </is>
      </c>
      <c r="B3" s="39" t="inlineStr">
        <is>
          <t>medcore-cds-prod-redis</t>
        </is>
      </c>
      <c r="C3" s="39" t="inlineStr">
        <is>
          <t>medcore-cds-qa-redis</t>
        </is>
      </c>
      <c r="D3" s="39" t="inlineStr">
        <is>
          <t>medcore-cds-prod-redis</t>
        </is>
      </c>
      <c r="E3" s="39" t="inlineStr">
        <is>
          <t>ElastiCache Redis cluster identifier for patient context and feature vector caching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medcore-cds-{env}-redis pattern</t>
        </is>
      </c>
      <c r="I3" s="40" t="inlineStr">
        <is>
          <t>Confidential</t>
        </is>
      </c>
      <c r="J3" s="39" t="inlineStr">
        <is>
          <t>Infrastructure</t>
        </is>
      </c>
      <c r="K3" s="39" t="inlineStr">
        <is>
          <t>solution.environment</t>
        </is>
      </c>
      <c r="L3" s="39" t="inlineStr">
        <is>
          <t>Sub-3-second inference SLA requires sub-millisecond cache reads; target cache hit ratio ≥ 90%</t>
        </is>
      </c>
      <c r="M3" s="40" t="inlineStr">
        <is>
          <t>2025-06-18</t>
        </is>
      </c>
    </row>
    <row r="4" ht="26" customHeight="1">
      <c r="A4" s="43" t="inlineStr">
        <is>
          <t>cache.elasticache.node_type</t>
        </is>
      </c>
      <c r="B4" s="37" t="inlineStr">
        <is>
          <t>cache.r7g.large</t>
        </is>
      </c>
      <c r="C4" s="37" t="inlineStr">
        <is>
          <t>cache.r6g.medium</t>
        </is>
      </c>
      <c r="D4" s="37" t="inlineStr">
        <is>
          <t>cache.r7g.large</t>
        </is>
      </c>
      <c r="E4" s="37" t="inlineStr">
        <is>
          <t>ElastiCache Redis node instance type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Valid ElastiCache node type</t>
        </is>
      </c>
      <c r="I4" s="38" t="inlineStr">
        <is>
          <t>Public</t>
        </is>
      </c>
      <c r="J4" s="37" t="inlineStr">
        <is>
          <t>Infrastructure</t>
        </is>
      </c>
      <c r="K4" s="37" t="inlineStr">
        <is>
          <t>cache.elasticache.cluster_id</t>
        </is>
      </c>
      <c r="L4" s="37" t="inlineStr">
        <is>
          <t>r7g.large provides 13GB memory; right-size after 90 days of production cache hit ratio data</t>
        </is>
      </c>
      <c r="M4" s="38" t="inlineStr">
        <is>
          <t>2025-06-18</t>
        </is>
      </c>
    </row>
    <row r="5" ht="26" customHeight="1">
      <c r="A5" s="42" t="inlineStr">
        <is>
          <t>cache.elasticache.multi_az_enabled</t>
        </is>
      </c>
      <c r="B5" s="39" t="inlineStr">
        <is>
          <t>true</t>
        </is>
      </c>
      <c r="C5" s="39" t="inlineStr">
        <is>
          <t>false</t>
        </is>
      </c>
      <c r="D5" s="39" t="inlineStr">
        <is>
          <t>true</t>
        </is>
      </c>
      <c r="E5" s="39" t="inlineStr">
        <is>
          <t>Enable Multi-AZ replication with automatic failover for ElastiCache Redis</t>
        </is>
      </c>
      <c r="F5" s="40" t="inlineStr">
        <is>
          <t>Yes</t>
        </is>
      </c>
      <c r="G5" s="40" t="inlineStr">
        <is>
          <t>Boolean</t>
        </is>
      </c>
      <c r="H5" s="39" t="inlineStr">
        <is>
          <t>true|false</t>
        </is>
      </c>
      <c r="I5" s="40" t="inlineStr">
        <is>
          <t>Public</t>
        </is>
      </c>
      <c r="J5" s="39" t="inlineStr">
        <is>
          <t>Infrastructure</t>
        </is>
      </c>
      <c r="K5" s="39" t="inlineStr">
        <is>
          <t>cache.elasticache.cluster_id</t>
        </is>
      </c>
      <c r="L5" s="39" t="inlineStr">
        <is>
          <t>Primary (us-east-1a) + replica (us-east-1b); 60-second automatic failover on primary failure</t>
        </is>
      </c>
      <c r="M5" s="40" t="inlineStr">
        <is>
          <t>2025-06-18</t>
        </is>
      </c>
    </row>
    <row r="6" ht="26" customHeight="1">
      <c r="A6" s="43" t="inlineStr">
        <is>
          <t>cache.elasticache.at_rest_encryption</t>
        </is>
      </c>
      <c r="B6" s="37" t="inlineStr">
        <is>
          <t>true</t>
        </is>
      </c>
      <c r="C6" s="37" t="inlineStr">
        <is>
          <t>true</t>
        </is>
      </c>
      <c r="D6" s="37" t="inlineStr">
        <is>
          <t>true</t>
        </is>
      </c>
      <c r="E6" s="37" t="inlineStr">
        <is>
          <t>Enable encryption at rest for ElastiCache Redis using dedicated KMS CMK</t>
        </is>
      </c>
      <c r="F6" s="38" t="inlineStr">
        <is>
          <t>Yes</t>
        </is>
      </c>
      <c r="G6" s="38" t="inlineStr">
        <is>
          <t>Boolean</t>
        </is>
      </c>
      <c r="H6" s="37" t="inlineStr">
        <is>
          <t>true|false</t>
        </is>
      </c>
      <c r="I6" s="38" t="inlineStr">
        <is>
          <t>Public</t>
        </is>
      </c>
      <c r="J6" s="37" t="inlineStr">
        <is>
          <t>Security Team</t>
        </is>
      </c>
      <c r="K6" s="37" t="inlineStr">
        <is>
          <t>cache.elasticache.cluster_id, security.kms.elasticache_key_id</t>
        </is>
      </c>
      <c r="L6" s="37" t="inlineStr">
        <is>
          <t>HIPAA PHI protection mandate; separate CMK per data store for blast-radius isolation</t>
        </is>
      </c>
      <c r="M6" s="38" t="inlineStr">
        <is>
          <t>2025-06-18</t>
        </is>
      </c>
    </row>
    <row r="7" ht="26" customHeight="1">
      <c r="A7" s="42" t="inlineStr">
        <is>
          <t>cache.elasticache.ttl_patient_context_seconds</t>
        </is>
      </c>
      <c r="B7" s="39" t="inlineStr">
        <is>
          <t>14400</t>
        </is>
      </c>
      <c r="C7" s="39" t="inlineStr">
        <is>
          <t>14400</t>
        </is>
      </c>
      <c r="D7" s="39" t="inlineStr">
        <is>
          <t>14400</t>
        </is>
      </c>
      <c r="E7" s="39" t="inlineStr">
        <is>
          <t>TTL in seconds for patient feature vector entries in Redis (4 hours = maximum clinical review window)</t>
        </is>
      </c>
      <c r="F7" s="40" t="inlineStr">
        <is>
          <t>Yes</t>
        </is>
      </c>
      <c r="G7" s="40" t="inlineStr">
        <is>
          <t>Integer</t>
        </is>
      </c>
      <c r="H7" s="39" t="inlineStr">
        <is>
          <t>60-86400</t>
        </is>
      </c>
      <c r="I7" s="40" t="inlineStr">
        <is>
          <t>Public</t>
        </is>
      </c>
      <c r="J7" s="39" t="inlineStr">
        <is>
          <t>Development</t>
        </is>
      </c>
      <c r="K7" s="39" t="inlineStr">
        <is>
          <t>cache.elasticache.cluster_id</t>
        </is>
      </c>
      <c r="L7" s="39" t="inlineStr">
        <is>
          <t>4-hour TTL aligned to active inpatient clinical review window per data architecture design</t>
        </is>
      </c>
      <c r="M7" s="40" t="inlineStr">
        <is>
          <t>2025-06-18</t>
        </is>
      </c>
    </row>
    <row r="8" ht="26" customHeight="1">
      <c r="A8" s="43" t="inlineStr">
        <is>
          <t>cache.elasticache.duplicate_suppression_ttl_seconds</t>
        </is>
      </c>
      <c r="B8" s="37" t="inlineStr">
        <is>
          <t>1800</t>
        </is>
      </c>
      <c r="C8" s="37" t="inlineStr">
        <is>
          <t>1800</t>
        </is>
      </c>
      <c r="D8" s="37" t="inlineStr">
        <is>
          <t>1800</t>
        </is>
      </c>
      <c r="E8" s="37" t="inlineStr">
        <is>
          <t>TTL in seconds for alert duplicate suppression window in Redis (30 minutes per alert type)</t>
        </is>
      </c>
      <c r="F8" s="38" t="inlineStr">
        <is>
          <t>Yes</t>
        </is>
      </c>
      <c r="G8" s="38" t="inlineStr">
        <is>
          <t>Integer</t>
        </is>
      </c>
      <c r="H8" s="37" t="inlineStr">
        <is>
          <t>60-3600</t>
        </is>
      </c>
      <c r="I8" s="38" t="inlineStr">
        <is>
          <t>Public</t>
        </is>
      </c>
      <c r="J8" s="37" t="inlineStr">
        <is>
          <t>Development</t>
        </is>
      </c>
      <c r="K8" s="37" t="inlineStr">
        <is>
          <t>cache.elasticache.cluster_id</t>
        </is>
      </c>
      <c r="L8" s="37" t="inlineStr">
        <is>
          <t>Prevents repeated same-type alerts per patient within 30-minute window; configurable via SSM</t>
        </is>
      </c>
      <c r="M8" s="38" t="inlineStr">
        <is>
          <t>2025-06-18</t>
        </is>
      </c>
    </row>
  </sheetData>
  <autoFilter ref="A2:M8"/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Application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application.name</t>
        </is>
      </c>
      <c r="B3" s="39" t="inlineStr">
        <is>
          <t>medcore-cds</t>
        </is>
      </c>
      <c r="C3" s="39" t="inlineStr">
        <is>
          <t>medcore-cds</t>
        </is>
      </c>
      <c r="D3" s="39" t="inlineStr">
        <is>
          <t>medcore-cds</t>
        </is>
      </c>
      <c r="E3" s="39" t="inlineStr">
        <is>
          <t>Application identifier used for logging and monitoring across all tiers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Alphanumeric and hyphens max 50 chars</t>
        </is>
      </c>
      <c r="I3" s="40" t="inlineStr">
        <is>
          <t>Public</t>
        </is>
      </c>
      <c r="J3" s="39" t="inlineStr">
        <is>
          <t>Development</t>
        </is>
      </c>
      <c r="K3" s="39" t="inlineStr">
        <is>
          <t>solution.name</t>
        </is>
      </c>
      <c r="L3" s="39" t="inlineStr"/>
      <c r="M3" s="40" t="inlineStr">
        <is>
          <t>2025-06-18</t>
        </is>
      </c>
    </row>
    <row r="4" ht="26" customHeight="1">
      <c r="A4" s="43" t="inlineStr">
        <is>
          <t>application.version</t>
        </is>
      </c>
      <c r="B4" s="37" t="inlineStr">
        <is>
          <t>1.0.0</t>
        </is>
      </c>
      <c r="C4" s="37" t="inlineStr">
        <is>
          <t>1.0.0</t>
        </is>
      </c>
      <c r="D4" s="37" t="inlineStr">
        <is>
          <t>1.0.0</t>
        </is>
      </c>
      <c r="E4" s="37" t="inlineStr">
        <is>
          <t>Current application version; updated on each production deployment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Semantic versioning X.Y.Z</t>
        </is>
      </c>
      <c r="I4" s="38" t="inlineStr">
        <is>
          <t>Public</t>
        </is>
      </c>
      <c r="J4" s="37" t="inlineStr">
        <is>
          <t>Development</t>
        </is>
      </c>
      <c r="K4" s="37" t="inlineStr"/>
      <c r="L4" s="37" t="inlineStr">
        <is>
          <t>Follows blue/green deployment; version must match SageMaker Model Registry promoted version</t>
        </is>
      </c>
      <c r="M4" s="38" t="inlineStr">
        <is>
          <t>2025-06-18</t>
        </is>
      </c>
    </row>
    <row r="5" ht="26" customHeight="1">
      <c r="A5" s="42" t="inlineStr">
        <is>
          <t>application.log_level</t>
        </is>
      </c>
      <c r="B5" s="39" t="inlineStr">
        <is>
          <t>info</t>
        </is>
      </c>
      <c r="C5" s="39" t="inlineStr">
        <is>
          <t>debug</t>
        </is>
      </c>
      <c r="D5" s="39" t="inlineStr">
        <is>
          <t>info</t>
        </is>
      </c>
      <c r="E5" s="39" t="inlineStr">
        <is>
          <t>Logging verbosity for all ECS Fargate tasks and Lambda functions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debug|info|warn|error</t>
        </is>
      </c>
      <c r="I5" s="40" t="inlineStr">
        <is>
          <t>Public</t>
        </is>
      </c>
      <c r="J5" s="39" t="inlineStr">
        <is>
          <t>Operations</t>
        </is>
      </c>
      <c r="K5" s="39" t="inlineStr"/>
      <c r="L5" s="39" t="inlineStr">
        <is>
          <t>Production and DR use info; QA uses debug per SOW environment strategy</t>
        </is>
      </c>
      <c r="M5" s="40" t="inlineStr">
        <is>
          <t>2025-06-18</t>
        </is>
      </c>
    </row>
    <row r="6" ht="26" customHeight="1">
      <c r="A6" s="43" t="inlineStr">
        <is>
          <t>application.port</t>
        </is>
      </c>
      <c r="B6" s="37" t="inlineStr">
        <is>
          <t>8080</t>
        </is>
      </c>
      <c r="C6" s="37" t="inlineStr">
        <is>
          <t>8080</t>
        </is>
      </c>
      <c r="D6" s="37" t="inlineStr">
        <is>
          <t>8080</t>
        </is>
      </c>
      <c r="E6" s="37" t="inlineStr">
        <is>
          <t>Application server port for ECS Fargate clinical dashboard and API backend containers</t>
        </is>
      </c>
      <c r="F6" s="38" t="inlineStr">
        <is>
          <t>Yes</t>
        </is>
      </c>
      <c r="G6" s="38" t="inlineStr">
        <is>
          <t>Integer</t>
        </is>
      </c>
      <c r="H6" s="37" t="inlineStr">
        <is>
          <t>1024-65535</t>
        </is>
      </c>
      <c r="I6" s="38" t="inlineStr">
        <is>
          <t>Public</t>
        </is>
      </c>
      <c r="J6" s="37" t="inlineStr">
        <is>
          <t>Development</t>
        </is>
      </c>
      <c r="K6" s="37" t="inlineStr">
        <is>
          <t>networking.alb_dashboard_id</t>
        </is>
      </c>
      <c r="L6" s="37" t="inlineStr">
        <is>
          <t>ALB Security Group must allow inbound on this port from ALB only; no direct public access</t>
        </is>
      </c>
      <c r="M6" s="38" t="inlineStr">
        <is>
          <t>2025-06-18</t>
        </is>
      </c>
    </row>
    <row r="7" ht="26" customHeight="1">
      <c r="A7" s="42" t="inlineStr">
        <is>
          <t>application.timeout_seconds</t>
        </is>
      </c>
      <c r="B7" s="39" t="inlineStr">
        <is>
          <t>30</t>
        </is>
      </c>
      <c r="C7" s="39" t="inlineStr">
        <is>
          <t>30</t>
        </is>
      </c>
      <c r="D7" s="39" t="inlineStr">
        <is>
          <t>30</t>
        </is>
      </c>
      <c r="E7" s="39" t="inlineStr">
        <is>
          <t>HTTP request timeout in seconds for clinical dashboard API endpoints</t>
        </is>
      </c>
      <c r="F7" s="40" t="inlineStr">
        <is>
          <t>Yes</t>
        </is>
      </c>
      <c r="G7" s="40" t="inlineStr">
        <is>
          <t>Integer</t>
        </is>
      </c>
      <c r="H7" s="39" t="inlineStr">
        <is>
          <t>1-300</t>
        </is>
      </c>
      <c r="I7" s="40" t="inlineStr">
        <is>
          <t>Public</t>
        </is>
      </c>
      <c r="J7" s="39" t="inlineStr">
        <is>
          <t>Development</t>
        </is>
      </c>
      <c r="K7" s="39" t="inlineStr"/>
      <c r="L7" s="39" t="inlineStr">
        <is>
          <t>Must exceed inference latency budget; dashboard API timeout aligned to 3-second SLA</t>
        </is>
      </c>
      <c r="M7" s="40" t="inlineStr">
        <is>
          <t>2025-06-18</t>
        </is>
      </c>
    </row>
    <row r="8" ht="26" customHeight="1">
      <c r="A8" s="43" t="inlineStr">
        <is>
          <t>application.concurrency_max</t>
        </is>
      </c>
      <c r="B8" s="37" t="inlineStr">
        <is>
          <t>12</t>
        </is>
      </c>
      <c r="C8" s="37" t="inlineStr">
        <is>
          <t>4</t>
        </is>
      </c>
      <c r="D8" s="37" t="inlineStr">
        <is>
          <t>12</t>
        </is>
      </c>
      <c r="E8" s="37" t="inlineStr">
        <is>
          <t>Maximum ECS Fargate task count for dashboard and API backend auto-scaling ceiling</t>
        </is>
      </c>
      <c r="F8" s="38" t="inlineStr">
        <is>
          <t>Yes</t>
        </is>
      </c>
      <c r="G8" s="38" t="inlineStr">
        <is>
          <t>Integer</t>
        </is>
      </c>
      <c r="H8" s="37" t="inlineStr">
        <is>
          <t>1-100</t>
        </is>
      </c>
      <c r="I8" s="38" t="inlineStr">
        <is>
          <t>Public</t>
        </is>
      </c>
      <c r="J8" s="37" t="inlineStr">
        <is>
          <t>Development</t>
        </is>
      </c>
      <c r="K8" s="37" t="inlineStr">
        <is>
          <t>compute.ecs.scaling_min</t>
        </is>
      </c>
      <c r="L8" s="37" t="inlineStr">
        <is>
          <t>Ceiling sized for 18-hospital peak load; scale-out triggered on ALB request count per task</t>
        </is>
      </c>
      <c r="M8" s="38" t="inlineStr">
        <is>
          <t>2025-06-18</t>
        </is>
      </c>
    </row>
    <row r="9" ht="26" customHeight="1">
      <c r="A9" s="42" t="inlineStr">
        <is>
          <t>application.session_timeout_hours</t>
        </is>
      </c>
      <c r="B9" s="39" t="inlineStr">
        <is>
          <t>8</t>
        </is>
      </c>
      <c r="C9" s="39" t="inlineStr">
        <is>
          <t>8</t>
        </is>
      </c>
      <c r="D9" s="39" t="inlineStr">
        <is>
          <t>8</t>
        </is>
      </c>
      <c r="E9" s="39" t="inlineStr">
        <is>
          <t>Clinical dashboard session token expiry in hours aligned to clinical shift length</t>
        </is>
      </c>
      <c r="F9" s="40" t="inlineStr">
        <is>
          <t>Yes</t>
        </is>
      </c>
      <c r="G9" s="40" t="inlineStr">
        <is>
          <t>Integer</t>
        </is>
      </c>
      <c r="H9" s="39" t="inlineStr">
        <is>
          <t>1-24</t>
        </is>
      </c>
      <c r="I9" s="40" t="inlineStr">
        <is>
          <t>Public</t>
        </is>
      </c>
      <c r="J9" s="39" t="inlineStr">
        <is>
          <t>Security Team</t>
        </is>
      </c>
      <c r="K9" s="39" t="inlineStr">
        <is>
          <t>security.cognito.user_pool_id</t>
        </is>
      </c>
      <c r="L9" s="39" t="inlineStr">
        <is>
          <t>Cognito session expiry must match; aligned to Azure AD SAML re-authentication policy per security design</t>
        </is>
      </c>
      <c r="M9" s="40" t="inlineStr">
        <is>
          <t>2025-06-18</t>
        </is>
      </c>
    </row>
  </sheetData>
  <autoFilter ref="A2:M9"/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Monitoring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monitoring.cloudwatch.alarm_sns_topic</t>
        </is>
      </c>
      <c r="B3" s="39" t="inlineStr">
        <is>
          <t>[alarm-sns-topic-arn]</t>
        </is>
      </c>
      <c r="C3" s="39" t="inlineStr">
        <is>
          <t>[alarm-sns-topic-arn]</t>
        </is>
      </c>
      <c r="D3" s="39" t="inlineStr">
        <is>
          <t>[alarm-sns-topic-arn]</t>
        </is>
      </c>
      <c r="E3" s="39" t="inlineStr">
        <is>
          <t>SNS topic ARN for CloudWatch operational alarms routing to PagerDuty on-call rotation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Valid SNS ARN</t>
        </is>
      </c>
      <c r="I3" s="40" t="inlineStr">
        <is>
          <t>Confidential</t>
        </is>
      </c>
      <c r="J3" s="39" t="inlineStr">
        <is>
          <t>Operations</t>
        </is>
      </c>
      <c r="K3" s="39" t="inlineStr"/>
      <c r="L3" s="39" t="inlineStr">
        <is>
          <t>Critical alarms page on-call immediately; High alarms email with 4-hour SLA per monitoring design</t>
        </is>
      </c>
      <c r="M3" s="40" t="inlineStr">
        <is>
          <t>2025-06-18</t>
        </is>
      </c>
    </row>
    <row r="4" ht="26" customHeight="1">
      <c r="A4" s="43" t="inlineStr">
        <is>
          <t>monitoring.cloudwatch.dashboard_name</t>
        </is>
      </c>
      <c r="B4" s="37" t="inlineStr">
        <is>
          <t>medcore-cds-prod-health</t>
        </is>
      </c>
      <c r="C4" s="37" t="inlineStr">
        <is>
          <t>medcore-cds-qa-health</t>
        </is>
      </c>
      <c r="D4" s="37" t="inlineStr">
        <is>
          <t>medcore-cds-prod-health</t>
        </is>
      </c>
      <c r="E4" s="37" t="inlineStr">
        <is>
          <t>CloudWatch operational dashboard name for the CDS Platform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Non-empty string</t>
        </is>
      </c>
      <c r="I4" s="38" t="inlineStr">
        <is>
          <t>Public</t>
        </is>
      </c>
      <c r="J4" s="37" t="inlineStr">
        <is>
          <t>Operations</t>
        </is>
      </c>
      <c r="K4" s="37" t="inlineStr"/>
      <c r="L4" s="37" t="inlineStr">
        <is>
          <t>Four dashboards provisioned: Ingestion Pipeline; ML Inference; Application; Compliance</t>
        </is>
      </c>
      <c r="M4" s="38" t="inlineStr">
        <is>
          <t>2025-06-18</t>
        </is>
      </c>
    </row>
    <row r="5" ht="26" customHeight="1">
      <c r="A5" s="42" t="inlineStr">
        <is>
          <t>monitoring.cloudwatch.latency_alarm_threshold_ms</t>
        </is>
      </c>
      <c r="B5" s="39" t="inlineStr">
        <is>
          <t>3000</t>
        </is>
      </c>
      <c r="C5" s="39" t="inlineStr">
        <is>
          <t>5000</t>
        </is>
      </c>
      <c r="D5" s="39" t="inlineStr">
        <is>
          <t>3000</t>
        </is>
      </c>
      <c r="E5" s="39" t="inlineStr">
        <is>
          <t>SageMaker endpoint P95 latency alarm threshold in milliseconds triggering Critical alert</t>
        </is>
      </c>
      <c r="F5" s="40" t="inlineStr">
        <is>
          <t>Yes</t>
        </is>
      </c>
      <c r="G5" s="40" t="inlineStr">
        <is>
          <t>Integer</t>
        </is>
      </c>
      <c r="H5" s="39" t="inlineStr">
        <is>
          <t>1000-30000</t>
        </is>
      </c>
      <c r="I5" s="40" t="inlineStr">
        <is>
          <t>Public</t>
        </is>
      </c>
      <c r="J5" s="39" t="inlineStr">
        <is>
          <t>Operations</t>
        </is>
      </c>
      <c r="K5" s="39" t="inlineStr">
        <is>
          <t>monitoring.cloudwatch.alarm_sns_topic</t>
        </is>
      </c>
      <c r="L5" s="39" t="inlineStr">
        <is>
          <t>Critical alarm if P95 &gt; 3000ms for 2 consecutive 1-minute periods per alert definitions</t>
        </is>
      </c>
      <c r="M5" s="40" t="inlineStr">
        <is>
          <t>2025-06-18</t>
        </is>
      </c>
    </row>
    <row r="6" ht="26" customHeight="1">
      <c r="A6" s="43" t="inlineStr">
        <is>
          <t>monitoring.cloudwatch.ecs_cpu_alarm_threshold_pct</t>
        </is>
      </c>
      <c r="B6" s="37" t="inlineStr">
        <is>
          <t>80</t>
        </is>
      </c>
      <c r="C6" s="37" t="inlineStr">
        <is>
          <t>90</t>
        </is>
      </c>
      <c r="D6" s="37" t="inlineStr">
        <is>
          <t>80</t>
        </is>
      </c>
      <c r="E6" s="37" t="inlineStr">
        <is>
          <t>ECS Fargate task CPU utilization alarm threshold percentage triggering High alert</t>
        </is>
      </c>
      <c r="F6" s="38" t="inlineStr">
        <is>
          <t>Yes</t>
        </is>
      </c>
      <c r="G6" s="38" t="inlineStr">
        <is>
          <t>Integer</t>
        </is>
      </c>
      <c r="H6" s="37" t="inlineStr">
        <is>
          <t>1-100</t>
        </is>
      </c>
      <c r="I6" s="38" t="inlineStr">
        <is>
          <t>Public</t>
        </is>
      </c>
      <c r="J6" s="37" t="inlineStr">
        <is>
          <t>Operations</t>
        </is>
      </c>
      <c r="K6" s="37" t="inlineStr">
        <is>
          <t>monitoring.cloudwatch.alarm_sns_topic</t>
        </is>
      </c>
      <c r="L6" s="37" t="inlineStr">
        <is>
          <t>High alarm if CPU &gt; 80% for 3 consecutive periods; investigate scale-out configuration</t>
        </is>
      </c>
      <c r="M6" s="38" t="inlineStr">
        <is>
          <t>2025-06-18</t>
        </is>
      </c>
    </row>
    <row r="7" ht="26" customHeight="1">
      <c r="A7" s="42" t="inlineStr">
        <is>
          <t>monitoring.cloudwatch.alb_5xx_alarm_threshold_pct</t>
        </is>
      </c>
      <c r="B7" s="39" t="inlineStr">
        <is>
          <t>5</t>
        </is>
      </c>
      <c r="C7" s="39" t="inlineStr">
        <is>
          <t>10</t>
        </is>
      </c>
      <c r="D7" s="39" t="inlineStr">
        <is>
          <t>5</t>
        </is>
      </c>
      <c r="E7" s="39" t="inlineStr">
        <is>
          <t>ALB 5xx error rate percentage threshold for Critical platform unavailability alarm</t>
        </is>
      </c>
      <c r="F7" s="40" t="inlineStr">
        <is>
          <t>Yes</t>
        </is>
      </c>
      <c r="G7" s="40" t="inlineStr">
        <is>
          <t>Integer</t>
        </is>
      </c>
      <c r="H7" s="39" t="inlineStr">
        <is>
          <t>1-100</t>
        </is>
      </c>
      <c r="I7" s="40" t="inlineStr">
        <is>
          <t>Public</t>
        </is>
      </c>
      <c r="J7" s="39" t="inlineStr">
        <is>
          <t>Operations</t>
        </is>
      </c>
      <c r="K7" s="39" t="inlineStr">
        <is>
          <t>monitoring.cloudwatch.alarm_sns_topic</t>
        </is>
      </c>
      <c r="L7" s="39" t="inlineStr">
        <is>
          <t>Critical alarm if 5xx &gt; 5% for 3 consecutive 1-minute periods; initiate DR runbook</t>
        </is>
      </c>
      <c r="M7" s="40" t="inlineStr">
        <is>
          <t>2025-06-18</t>
        </is>
      </c>
    </row>
    <row r="8" ht="26" customHeight="1">
      <c r="A8" s="43" t="inlineStr">
        <is>
          <t>monitoring.datadog.site</t>
        </is>
      </c>
      <c r="B8" s="37" t="inlineStr">
        <is>
          <t>datadoghq.com</t>
        </is>
      </c>
      <c r="C8" s="37" t="inlineStr">
        <is>
          <t>datadoghq.com</t>
        </is>
      </c>
      <c r="D8" s="37" t="inlineStr">
        <is>
          <t>datadoghq.com</t>
        </is>
      </c>
      <c r="E8" s="37" t="inlineStr">
        <is>
          <t>Datadog site endpoint for APM agent configuration on ECS tasks and SageMaker hosts</t>
        </is>
      </c>
      <c r="F8" s="38" t="inlineStr">
        <is>
          <t>Yes</t>
        </is>
      </c>
      <c r="G8" s="38" t="inlineStr">
        <is>
          <t>String</t>
        </is>
      </c>
      <c r="H8" s="37" t="inlineStr">
        <is>
          <t>datadoghq.com|datadoghq.eu</t>
        </is>
      </c>
      <c r="I8" s="38" t="inlineStr">
        <is>
          <t>Public</t>
        </is>
      </c>
      <c r="J8" s="37" t="inlineStr">
        <is>
          <t>Operations</t>
        </is>
      </c>
      <c r="K8" s="37" t="inlineStr"/>
      <c r="L8" s="37" t="inlineStr">
        <is>
          <t>Datadog APM covers all 20 ECS and SageMaker hosts; PagerDuty on-call integration for hypercare</t>
        </is>
      </c>
      <c r="M8" s="38" t="inlineStr">
        <is>
          <t>2025-06-18</t>
        </is>
      </c>
    </row>
    <row r="9" ht="26" customHeight="1">
      <c r="A9" s="42" t="inlineStr">
        <is>
          <t>monitoring.datadog.apm_enabled</t>
        </is>
      </c>
      <c r="B9" s="39" t="inlineStr">
        <is>
          <t>true</t>
        </is>
      </c>
      <c r="C9" s="39" t="inlineStr">
        <is>
          <t>false</t>
        </is>
      </c>
      <c r="D9" s="39" t="inlineStr">
        <is>
          <t>true</t>
        </is>
      </c>
      <c r="E9" s="39" t="inlineStr">
        <is>
          <t>Enable Datadog APM distributed tracing on ECS Fargate tasks and SageMaker endpoints</t>
        </is>
      </c>
      <c r="F9" s="40" t="inlineStr">
        <is>
          <t>Yes</t>
        </is>
      </c>
      <c r="G9" s="40" t="inlineStr">
        <is>
          <t>Boolean</t>
        </is>
      </c>
      <c r="H9" s="39" t="inlineStr">
        <is>
          <t>true|false</t>
        </is>
      </c>
      <c r="I9" s="40" t="inlineStr">
        <is>
          <t>Public</t>
        </is>
      </c>
      <c r="J9" s="39" t="inlineStr">
        <is>
          <t>Operations</t>
        </is>
      </c>
      <c r="K9" s="39" t="inlineStr">
        <is>
          <t>security.secrets_manager.datadog_api_key_arn</t>
        </is>
      </c>
      <c r="L9" s="39" t="inlineStr">
        <is>
          <t>Complements AWS X-Ray; provides enhanced application-level traces and PagerDuty on-call routing</t>
        </is>
      </c>
      <c r="M9" s="40" t="inlineStr">
        <is>
          <t>2025-06-18</t>
        </is>
      </c>
    </row>
    <row r="10" ht="26" customHeight="1">
      <c r="A10" s="43" t="inlineStr">
        <is>
          <t>monitoring.datadog.host_count</t>
        </is>
      </c>
      <c r="B10" s="37" t="inlineStr">
        <is>
          <t>20</t>
        </is>
      </c>
      <c r="C10" s="37" t="inlineStr">
        <is>
          <t>4</t>
        </is>
      </c>
      <c r="D10" s="37" t="inlineStr">
        <is>
          <t>20</t>
        </is>
      </c>
      <c r="E10" s="37" t="inlineStr">
        <is>
          <t>Number of hosts covered by Datadog APM subscription (ECS tasks + SageMaker instances)</t>
        </is>
      </c>
      <c r="F10" s="38" t="inlineStr">
        <is>
          <t>Yes</t>
        </is>
      </c>
      <c r="G10" s="38" t="inlineStr">
        <is>
          <t>Integer</t>
        </is>
      </c>
      <c r="H10" s="37" t="inlineStr">
        <is>
          <t>1-1000</t>
        </is>
      </c>
      <c r="I10" s="38" t="inlineStr">
        <is>
          <t>Public</t>
        </is>
      </c>
      <c r="J10" s="37" t="inlineStr">
        <is>
          <t>Operations</t>
        </is>
      </c>
      <c r="K10" s="37" t="inlineStr">
        <is>
          <t>monitoring.datadog.apm_enabled</t>
        </is>
      </c>
      <c r="L10" s="37" t="inlineStr">
        <is>
          <t>20 hosts per SOW cost model; Datadog partner credit applied in Year 1 for 4 months free</t>
        </is>
      </c>
      <c r="M10" s="38" t="inlineStr">
        <is>
          <t>2025-06-18</t>
        </is>
      </c>
    </row>
    <row r="11" ht="26" customHeight="1">
      <c r="A11" s="42" t="inlineStr">
        <is>
          <t>monitoring.pagerduty.integration_key</t>
        </is>
      </c>
      <c r="B11" s="39" t="inlineStr">
        <is>
          <t>[pagerduty-integration-key]</t>
        </is>
      </c>
      <c r="C11" s="39" t="inlineStr">
        <is>
          <t>[pagerduty-integration-key]</t>
        </is>
      </c>
      <c r="D11" s="39" t="inlineStr">
        <is>
          <t>[pagerduty-integration-key]</t>
        </is>
      </c>
      <c r="E11" s="39" t="inlineStr">
        <is>
          <t>PagerDuty routing key for SNS-to-PagerDuty on-call escalation</t>
        </is>
      </c>
      <c r="F11" s="40" t="inlineStr">
        <is>
          <t>Yes</t>
        </is>
      </c>
      <c r="G11" s="40" t="inlineStr">
        <is>
          <t>String</t>
        </is>
      </c>
      <c r="H11" s="39" t="inlineStr">
        <is>
          <t>32-character alphanumeric PagerDuty routing key</t>
        </is>
      </c>
      <c r="I11" s="40" t="inlineStr">
        <is>
          <t>Secret</t>
        </is>
      </c>
      <c r="J11" s="39" t="inlineStr">
        <is>
          <t>Operations</t>
        </is>
      </c>
      <c r="K11" s="39" t="inlineStr">
        <is>
          <t>monitoring.cloudwatch.alarm_sns_topic</t>
        </is>
      </c>
      <c r="L11" s="39" t="inlineStr">
        <is>
          <t>Stored in Secrets Manager; used during hypercare; transitions to MedCore IT ops post-hypercare</t>
        </is>
      </c>
      <c r="M11" s="40" t="inlineStr">
        <is>
          <t>2025-06-18</t>
        </is>
      </c>
    </row>
    <row r="12" ht="26" customHeight="1">
      <c r="A12" s="43" t="inlineStr">
        <is>
          <t>monitoring.xray_enabled</t>
        </is>
      </c>
      <c r="B12" s="37" t="inlineStr">
        <is>
          <t>true</t>
        </is>
      </c>
      <c r="C12" s="37" t="inlineStr">
        <is>
          <t>true</t>
        </is>
      </c>
      <c r="D12" s="37" t="inlineStr">
        <is>
          <t>true</t>
        </is>
      </c>
      <c r="E12" s="37" t="inlineStr">
        <is>
          <t>Enable AWS X-Ray distributed tracing for end-to-end inference path latency visibility</t>
        </is>
      </c>
      <c r="F12" s="38" t="inlineStr">
        <is>
          <t>Yes</t>
        </is>
      </c>
      <c r="G12" s="38" t="inlineStr">
        <is>
          <t>Boolean</t>
        </is>
      </c>
      <c r="H12" s="37" t="inlineStr">
        <is>
          <t>true|false</t>
        </is>
      </c>
      <c r="I12" s="38" t="inlineStr">
        <is>
          <t>Public</t>
        </is>
      </c>
      <c r="J12" s="37" t="inlineStr">
        <is>
          <t>Operations</t>
        </is>
      </c>
      <c r="K12" s="37" t="inlineStr"/>
      <c r="L12" s="37" t="inlineStr">
        <is>
          <t>Traces Kinesis consumer Lambda through Feature Store to SageMaker to Bedrock to EventBridge</t>
        </is>
      </c>
      <c r="M12" s="38" t="inlineStr">
        <is>
          <t>2025-06-18</t>
        </is>
      </c>
    </row>
    <row r="13" ht="26" customHeight="1">
      <c r="A13" s="42" t="inlineStr">
        <is>
          <t>monitoring.quicksight.dashboard_name</t>
        </is>
      </c>
      <c r="B13" s="39" t="inlineStr">
        <is>
          <t>medcore-cds-outcomes</t>
        </is>
      </c>
      <c r="C13" s="39" t="inlineStr">
        <is>
          <t>medcore-cds-outcomes</t>
        </is>
      </c>
      <c r="D13" s="39" t="inlineStr">
        <is>
          <t>medcore-cds-outcomes</t>
        </is>
      </c>
      <c r="E13" s="39" t="inlineStr">
        <is>
          <t>Amazon QuickSight dashboard name for clinical outcomes and model performance monitoring</t>
        </is>
      </c>
      <c r="F13" s="40" t="inlineStr">
        <is>
          <t>Yes</t>
        </is>
      </c>
      <c r="G13" s="40" t="inlineStr">
        <is>
          <t>String</t>
        </is>
      </c>
      <c r="H13" s="39" t="inlineStr">
        <is>
          <t>Non-empty string</t>
        </is>
      </c>
      <c r="I13" s="40" t="inlineStr">
        <is>
          <t>Public</t>
        </is>
      </c>
      <c r="J13" s="39" t="inlineStr">
        <is>
          <t>Operations</t>
        </is>
      </c>
      <c r="K13" s="39" t="inlineStr">
        <is>
          <t>storage.redshift.cluster_identifier</t>
        </is>
      </c>
      <c r="L13" s="39" t="inlineStr">
        <is>
          <t>Refreshed every 15 minutes; tracks sepsis mortality trends; false-positive rates; adoption metrics</t>
        </is>
      </c>
      <c r="M13" s="40" t="inlineStr">
        <is>
          <t>2025-06-18</t>
        </is>
      </c>
    </row>
  </sheetData>
  <autoFilter ref="A2:M13"/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Integration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integration.epic.fhir_base_url</t>
        </is>
      </c>
      <c r="B3" s="39" t="inlineStr">
        <is>
          <t>[epic-fhir-base-url]</t>
        </is>
      </c>
      <c r="C3" s="39" t="inlineStr">
        <is>
          <t>[epic-fhir-base-url]</t>
        </is>
      </c>
      <c r="D3" s="39" t="inlineStr">
        <is>
          <t>[epic-fhir-base-url]</t>
        </is>
      </c>
      <c r="E3" s="39" t="inlineStr">
        <is>
          <t>Epic FHIR R4 API base URL for SMART on FHIR subscription events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Valid HTTPS URL</t>
        </is>
      </c>
      <c r="I3" s="40" t="inlineStr">
        <is>
          <t>Confidential</t>
        </is>
      </c>
      <c r="J3" s="39" t="inlineStr">
        <is>
          <t>Integration Team</t>
        </is>
      </c>
      <c r="K3" s="39" t="inlineStr"/>
      <c r="L3" s="39" t="inlineStr">
        <is>
          <t>MedCore EHR Integration Lead must provision by Week 2 (critical path dependency per SOW)</t>
        </is>
      </c>
      <c r="M3" s="40" t="inlineStr">
        <is>
          <t>2025-06-18</t>
        </is>
      </c>
    </row>
    <row r="4" ht="26" customHeight="1">
      <c r="A4" s="43" t="inlineStr">
        <is>
          <t>integration.epic.oauth_token_url</t>
        </is>
      </c>
      <c r="B4" s="37" t="inlineStr">
        <is>
          <t>[epic-oauth-token-url]</t>
        </is>
      </c>
      <c r="C4" s="37" t="inlineStr">
        <is>
          <t>[epic-oauth-token-url]</t>
        </is>
      </c>
      <c r="D4" s="37" t="inlineStr">
        <is>
          <t>[epic-oauth-token-url]</t>
        </is>
      </c>
      <c r="E4" s="37" t="inlineStr">
        <is>
          <t>Epic SMART on FHIR OAuth 2.0 token endpoint URL for FHIR connector authentication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Valid HTTPS URL</t>
        </is>
      </c>
      <c r="I4" s="38" t="inlineStr">
        <is>
          <t>Confidential</t>
        </is>
      </c>
      <c r="J4" s="37" t="inlineStr">
        <is>
          <t>Integration Team</t>
        </is>
      </c>
      <c r="K4" s="37" t="inlineStr">
        <is>
          <t>integration.epic.fhir_base_url</t>
        </is>
      </c>
      <c r="L4" s="37" t="inlineStr">
        <is>
          <t>OAuth 2.0 client credentials stored in Secrets Manager; 90-day token rotation configured</t>
        </is>
      </c>
      <c r="M4" s="38" t="inlineStr">
        <is>
          <t>2025-06-18</t>
        </is>
      </c>
    </row>
    <row r="5" ht="26" customHeight="1">
      <c r="A5" s="42" t="inlineStr">
        <is>
          <t>integration.epic.cds_hooks_callback_url</t>
        </is>
      </c>
      <c r="B5" s="39" t="inlineStr">
        <is>
          <t>[epic-cds-hooks-callback-url]</t>
        </is>
      </c>
      <c r="C5" s="39" t="inlineStr">
        <is>
          <t>[epic-cds-hooks-callback-url]</t>
        </is>
      </c>
      <c r="D5" s="39" t="inlineStr">
        <is>
          <t>[epic-cds-hooks-callback-url]</t>
        </is>
      </c>
      <c r="E5" s="39" t="inlineStr">
        <is>
          <t>Epic CDS Hooks 2.0 callback URL for writing risk score alerts back to the Epic workflow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Valid HTTPS URL</t>
        </is>
      </c>
      <c r="I5" s="40" t="inlineStr">
        <is>
          <t>Confidential</t>
        </is>
      </c>
      <c r="J5" s="39" t="inlineStr">
        <is>
          <t>Integration Team</t>
        </is>
      </c>
      <c r="K5" s="39" t="inlineStr">
        <is>
          <t>integration.epic.fhir_base_url</t>
        </is>
      </c>
      <c r="L5" s="39" t="inlineStr">
        <is>
          <t>Best-effort delivery; dashboard alert delivery is the primary SLA path per API design</t>
        </is>
      </c>
      <c r="M5" s="40" t="inlineStr">
        <is>
          <t>2025-06-18</t>
        </is>
      </c>
    </row>
    <row r="6" ht="26" customHeight="1">
      <c r="A6" s="43" t="inlineStr">
        <is>
          <t>integration.epic.fhir_subscription_resources</t>
        </is>
      </c>
      <c r="B6" s="37" t="inlineStr">
        <is>
          <t>Observation,Encounter,MedicationRequest,DiagnosticReport</t>
        </is>
      </c>
      <c r="C6" s="37" t="inlineStr">
        <is>
          <t>Observation,Encounter,MedicationRequest,DiagnosticReport</t>
        </is>
      </c>
      <c r="D6" s="37" t="inlineStr">
        <is>
          <t>Observation,Encounter,MedicationRequest,DiagnosticReport</t>
        </is>
      </c>
      <c r="E6" s="37" t="inlineStr">
        <is>
          <t>Comma-separated list of FHIR R4 resource types for Epic subscription events</t>
        </is>
      </c>
      <c r="F6" s="38" t="inlineStr">
        <is>
          <t>Yes</t>
        </is>
      </c>
      <c r="G6" s="38" t="inlineStr">
        <is>
          <t>List(String)</t>
        </is>
      </c>
      <c r="H6" s="37" t="inlineStr">
        <is>
          <t>Valid FHIR R4 resource type names</t>
        </is>
      </c>
      <c r="I6" s="38" t="inlineStr">
        <is>
          <t>Public</t>
        </is>
      </c>
      <c r="J6" s="37" t="inlineStr">
        <is>
          <t>Integration Team</t>
        </is>
      </c>
      <c r="K6" s="37" t="inlineStr">
        <is>
          <t>integration.epic.fhir_base_url</t>
        </is>
      </c>
      <c r="L6" s="37" t="inlineStr">
        <is>
          <t>Covers vitals and lab observations; encounter admissions; medication history; diagnostic results</t>
        </is>
      </c>
      <c r="M6" s="38" t="inlineStr">
        <is>
          <t>2025-06-18</t>
        </is>
      </c>
    </row>
    <row r="7" ht="26" customHeight="1">
      <c r="A7" s="42" t="inlineStr">
        <is>
          <t>integration.epic.timeout_ms</t>
        </is>
      </c>
      <c r="B7" s="39" t="inlineStr">
        <is>
          <t>10000</t>
        </is>
      </c>
      <c r="C7" s="39" t="inlineStr">
        <is>
          <t>10000</t>
        </is>
      </c>
      <c r="D7" s="39" t="inlineStr">
        <is>
          <t>10000</t>
        </is>
      </c>
      <c r="E7" s="39" t="inlineStr">
        <is>
          <t>Timeout in milliseconds for Epic FHIR API calls from the Lambda connector</t>
        </is>
      </c>
      <c r="F7" s="40" t="inlineStr">
        <is>
          <t>Yes</t>
        </is>
      </c>
      <c r="G7" s="40" t="inlineStr">
        <is>
          <t>Integer</t>
        </is>
      </c>
      <c r="H7" s="39" t="inlineStr">
        <is>
          <t>1000-60000</t>
        </is>
      </c>
      <c r="I7" s="40" t="inlineStr">
        <is>
          <t>Public</t>
        </is>
      </c>
      <c r="J7" s="39" t="inlineStr">
        <is>
          <t>Integration Team</t>
        </is>
      </c>
      <c r="K7" s="39" t="inlineStr">
        <is>
          <t>integration.epic.fhir_base_url</t>
        </is>
      </c>
      <c r="L7" s="39" t="inlineStr">
        <is>
          <t>10-second timeout; exponential back-off with 3 retries on transient failure per integration design</t>
        </is>
      </c>
      <c r="M7" s="40" t="inlineStr">
        <is>
          <t>2025-06-18</t>
        </is>
      </c>
    </row>
    <row r="8" ht="26" customHeight="1">
      <c r="A8" s="43" t="inlineStr">
        <is>
          <t>integration.mirth.endpoint_url</t>
        </is>
      </c>
      <c r="B8" s="37" t="inlineStr">
        <is>
          <t>[mirth-endpoint-url]</t>
        </is>
      </c>
      <c r="C8" s="37" t="inlineStr">
        <is>
          <t>[mirth-endpoint-url]</t>
        </is>
      </c>
      <c r="D8" s="37" t="inlineStr">
        <is>
          <t>[mirth-endpoint-url]</t>
        </is>
      </c>
      <c r="E8" s="37" t="inlineStr">
        <is>
          <t>Mirth Connect integration engine endpoint URL accessed via PrivateLink from AWS</t>
        </is>
      </c>
      <c r="F8" s="38" t="inlineStr">
        <is>
          <t>Yes</t>
        </is>
      </c>
      <c r="G8" s="38" t="inlineStr">
        <is>
          <t>String</t>
        </is>
      </c>
      <c r="H8" s="37" t="inlineStr">
        <is>
          <t>Valid internal PrivateLink endpoint URL</t>
        </is>
      </c>
      <c r="I8" s="38" t="inlineStr">
        <is>
          <t>Confidential</t>
        </is>
      </c>
      <c r="J8" s="37" t="inlineStr">
        <is>
          <t>Integration Team</t>
        </is>
      </c>
      <c r="K8" s="37" t="inlineStr">
        <is>
          <t>networking.privatelink_endpoints_enabled</t>
        </is>
      </c>
      <c r="L8" s="37" t="inlineStr">
        <is>
          <t>On-premises Nashville DC; accessible via Direct Connect / PrivateLink; HL7 v2.3 MLLP over TCP/IP</t>
        </is>
      </c>
      <c r="M8" s="38" t="inlineStr">
        <is>
          <t>2025-06-18</t>
        </is>
      </c>
    </row>
    <row r="9" ht="26" customHeight="1">
      <c r="A9" s="42" t="inlineStr">
        <is>
          <t>integration.mirth.hl7_message_types</t>
        </is>
      </c>
      <c r="B9" s="39" t="inlineStr">
        <is>
          <t>ADT_A01,ADT_A03,ADT_A08,ORU_R01</t>
        </is>
      </c>
      <c r="C9" s="39" t="inlineStr">
        <is>
          <t>ADT_A01,ADT_A03,ADT_A08,ORU_R01</t>
        </is>
      </c>
      <c r="D9" s="39" t="inlineStr">
        <is>
          <t>ADT_A01,ADT_A03,ADT_A08,ORU_R01</t>
        </is>
      </c>
      <c r="E9" s="39" t="inlineStr">
        <is>
          <t>Comma-separated HL7 v2.3 message types consumed from Mirth Connect</t>
        </is>
      </c>
      <c r="F9" s="40" t="inlineStr">
        <is>
          <t>Yes</t>
        </is>
      </c>
      <c r="G9" s="40" t="inlineStr">
        <is>
          <t>List(String)</t>
        </is>
      </c>
      <c r="H9" s="39" t="inlineStr">
        <is>
          <t>Valid HL7 v2.3 message type identifiers</t>
        </is>
      </c>
      <c r="I9" s="40" t="inlineStr">
        <is>
          <t>Public</t>
        </is>
      </c>
      <c r="J9" s="39" t="inlineStr">
        <is>
          <t>Integration Team</t>
        </is>
      </c>
      <c r="K9" s="39" t="inlineStr">
        <is>
          <t>integration.mirth.endpoint_url</t>
        </is>
      </c>
      <c r="L9" s="39" t="inlineStr">
        <is>
          <t>ADT for patient movement events; ORU R01 for vitals observations from Philips/GE bedside monitors</t>
        </is>
      </c>
      <c r="M9" s="40" t="inlineStr">
        <is>
          <t>2025-06-18</t>
        </is>
      </c>
    </row>
    <row r="10" ht="26" customHeight="1">
      <c r="A10" s="43" t="inlineStr">
        <is>
          <t>integration.sql_server.export_schedule_cron</t>
        </is>
      </c>
      <c r="B10" s="37" t="inlineStr">
        <is>
          <t>cron(0 7 * * ? *)</t>
        </is>
      </c>
      <c r="C10" s="37" t="inlineStr">
        <is>
          <t>cron(0 7 * * ? *)</t>
        </is>
      </c>
      <c r="D10" s="37" t="inlineStr">
        <is>
          <t>cron(0 7 * * ? *)</t>
        </is>
      </c>
      <c r="E10" s="37" t="inlineStr">
        <is>
          <t>Cron expression for nightly readmission outcome export Lambda to on-premises SQL Server 2016</t>
        </is>
      </c>
      <c r="F10" s="38" t="inlineStr">
        <is>
          <t>Yes</t>
        </is>
      </c>
      <c r="G10" s="38" t="inlineStr">
        <is>
          <t>String</t>
        </is>
      </c>
      <c r="H10" s="37" t="inlineStr">
        <is>
          <t>Valid AWS EventBridge cron expression</t>
        </is>
      </c>
      <c r="I10" s="38" t="inlineStr">
        <is>
          <t>Public</t>
        </is>
      </c>
      <c r="J10" s="37" t="inlineStr">
        <is>
          <t>Integration Team</t>
        </is>
      </c>
      <c r="K10" s="37" t="inlineStr"/>
      <c r="L10" s="37" t="inlineStr">
        <is>
          <t>07:00 UTC = 02:00 ET; nightly by 02:00 ET; one-way append-only export per integration design</t>
        </is>
      </c>
      <c r="M10" s="38" t="inlineStr">
        <is>
          <t>2025-06-18</t>
        </is>
      </c>
    </row>
    <row r="11" ht="26" customHeight="1">
      <c r="A11" s="42" t="inlineStr">
        <is>
          <t>integration.sql_server.endpoint</t>
        </is>
      </c>
      <c r="B11" s="39" t="inlineStr">
        <is>
          <t>[sql-server-endpoint]</t>
        </is>
      </c>
      <c r="C11" s="39" t="inlineStr">
        <is>
          <t>[sql-server-endpoint]</t>
        </is>
      </c>
      <c r="D11" s="39" t="inlineStr">
        <is>
          <t>[sql-server-endpoint]</t>
        </is>
      </c>
      <c r="E11" s="39" t="inlineStr">
        <is>
          <t>On-premises SQL Server 2016 data warehouse JDBC endpoint for nightly readmission export</t>
        </is>
      </c>
      <c r="F11" s="40" t="inlineStr">
        <is>
          <t>Yes</t>
        </is>
      </c>
      <c r="G11" s="40" t="inlineStr">
        <is>
          <t>String</t>
        </is>
      </c>
      <c r="H11" s="39" t="inlineStr">
        <is>
          <t>Valid JDBC connection string or hostname</t>
        </is>
      </c>
      <c r="I11" s="40" t="inlineStr">
        <is>
          <t>Confidential</t>
        </is>
      </c>
      <c r="J11" s="39" t="inlineStr">
        <is>
          <t>Integration Team</t>
        </is>
      </c>
      <c r="K11" s="39" t="inlineStr">
        <is>
          <t>networking.direct_connect_bandwidth_gbps</t>
        </is>
      </c>
      <c r="L11" s="39" t="inlineStr">
        <is>
          <t>Out-of-scope retained system; read-only nightly export; no PHI written back from SQL Server</t>
        </is>
      </c>
      <c r="M11" s="40" t="inlineStr">
        <is>
          <t>2025-06-18</t>
        </is>
      </c>
    </row>
  </sheetData>
  <autoFilter ref="A2:M11"/>
  <mergeCells count="1">
    <mergeCell ref="A1: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ML Platform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ml.kinesis.stream_name</t>
        </is>
      </c>
      <c r="B3" s="39" t="inlineStr">
        <is>
          <t>medcore-cds-prod-events</t>
        </is>
      </c>
      <c r="C3" s="39" t="inlineStr">
        <is>
          <t>medcore-cds-qa-events</t>
        </is>
      </c>
      <c r="D3" s="39" t="inlineStr">
        <is>
          <t>medcore-cds-prod-events</t>
        </is>
      </c>
      <c r="E3" s="39" t="inlineStr">
        <is>
          <t>Kinesis Data Streams stream name for real-time HL7 FHIR and HL7 v2.3 event ingestion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medcore-cds-{env}-events pattern</t>
        </is>
      </c>
      <c r="I3" s="40" t="inlineStr">
        <is>
          <t>Confidential</t>
        </is>
      </c>
      <c r="J3" s="39" t="inlineStr">
        <is>
          <t>Cloud CoE</t>
        </is>
      </c>
      <c r="K3" s="39" t="inlineStr">
        <is>
          <t>solution.environment</t>
        </is>
      </c>
      <c r="L3" s="39" t="inlineStr">
        <is>
          <t>10 shards provisioned with ≥ 30% headroom at 18-hospital peak load per detailed design</t>
        </is>
      </c>
      <c r="M3" s="40" t="inlineStr">
        <is>
          <t>2025-06-18</t>
        </is>
      </c>
    </row>
    <row r="4" ht="26" customHeight="1">
      <c r="A4" s="43" t="inlineStr">
        <is>
          <t>ml.kinesis.shard_count</t>
        </is>
      </c>
      <c r="B4" s="37" t="inlineStr">
        <is>
          <t>10</t>
        </is>
      </c>
      <c r="C4" s="37" t="inlineStr">
        <is>
          <t>2</t>
        </is>
      </c>
      <c r="D4" s="37" t="inlineStr">
        <is>
          <t>10</t>
        </is>
      </c>
      <c r="E4" s="37" t="inlineStr">
        <is>
          <t>Number of Kinesis Data Streams shards for HL7 event ingestion pipeline</t>
        </is>
      </c>
      <c r="F4" s="38" t="inlineStr">
        <is>
          <t>Yes</t>
        </is>
      </c>
      <c r="G4" s="38" t="inlineStr">
        <is>
          <t>Integer</t>
        </is>
      </c>
      <c r="H4" s="37" t="inlineStr">
        <is>
          <t>1-500</t>
        </is>
      </c>
      <c r="I4" s="38" t="inlineStr">
        <is>
          <t>Public</t>
        </is>
      </c>
      <c r="J4" s="37" t="inlineStr">
        <is>
          <t>Cloud CoE</t>
        </is>
      </c>
      <c r="K4" s="37" t="inlineStr">
        <is>
          <t>ml.kinesis.stream_name</t>
        </is>
      </c>
      <c r="L4" s="37" t="inlineStr">
        <is>
          <t>10 shards per SOW scope; supports 10M+ events/month and 2500+ concurrent inpatient records</t>
        </is>
      </c>
      <c r="M4" s="38" t="inlineStr">
        <is>
          <t>2025-06-18</t>
        </is>
      </c>
    </row>
    <row r="5" ht="26" customHeight="1">
      <c r="A5" s="42" t="inlineStr">
        <is>
          <t>ml.kinesis.retention_hours</t>
        </is>
      </c>
      <c r="B5" s="39" t="inlineStr">
        <is>
          <t>24</t>
        </is>
      </c>
      <c r="C5" s="39" t="inlineStr">
        <is>
          <t>24</t>
        </is>
      </c>
      <c r="D5" s="39" t="inlineStr">
        <is>
          <t>24</t>
        </is>
      </c>
      <c r="E5" s="39" t="inlineStr">
        <is>
          <t>Kinesis Data Streams data retention period in hours</t>
        </is>
      </c>
      <c r="F5" s="40" t="inlineStr">
        <is>
          <t>Yes</t>
        </is>
      </c>
      <c r="G5" s="40" t="inlineStr">
        <is>
          <t>Integer</t>
        </is>
      </c>
      <c r="H5" s="39" t="inlineStr">
        <is>
          <t>24-168</t>
        </is>
      </c>
      <c r="I5" s="40" t="inlineStr">
        <is>
          <t>Public</t>
        </is>
      </c>
      <c r="J5" s="39" t="inlineStr">
        <is>
          <t>Cloud CoE</t>
        </is>
      </c>
      <c r="K5" s="39" t="inlineStr">
        <is>
          <t>ml.kinesis.stream_name</t>
        </is>
      </c>
      <c r="L5" s="39" t="inlineStr">
        <is>
          <t>24-hour retention provides replay capability; enhances RPO for DR scenario recovery</t>
        </is>
      </c>
      <c r="M5" s="40" t="inlineStr">
        <is>
          <t>2025-06-18</t>
        </is>
      </c>
    </row>
    <row r="6" ht="26" customHeight="1">
      <c r="A6" s="43" t="inlineStr">
        <is>
          <t>ml.kinesis.dlq_alarm_threshold</t>
        </is>
      </c>
      <c r="B6" s="37" t="inlineStr">
        <is>
          <t>0</t>
        </is>
      </c>
      <c r="C6" s="37" t="inlineStr">
        <is>
          <t>0</t>
        </is>
      </c>
      <c r="D6" s="37" t="inlineStr">
        <is>
          <t>0</t>
        </is>
      </c>
      <c r="E6" s="37" t="inlineStr">
        <is>
          <t>CloudWatch alarm threshold for Kinesis consumer dead-letter queue message depth</t>
        </is>
      </c>
      <c r="F6" s="38" t="inlineStr">
        <is>
          <t>Yes</t>
        </is>
      </c>
      <c r="G6" s="38" t="inlineStr">
        <is>
          <t>Integer</t>
        </is>
      </c>
      <c r="H6" s="37" t="inlineStr">
        <is>
          <t>0-1000</t>
        </is>
      </c>
      <c r="I6" s="38" t="inlineStr">
        <is>
          <t>Public</t>
        </is>
      </c>
      <c r="J6" s="37" t="inlineStr">
        <is>
          <t>Operations</t>
        </is>
      </c>
      <c r="K6" s="37" t="inlineStr">
        <is>
          <t>ml.kinesis.stream_name, monitoring.cloudwatch.alarm_sns_topic</t>
        </is>
      </c>
      <c r="L6" s="37" t="inlineStr">
        <is>
          <t>Any DLQ message triggers High severity alarm for out-of-band investigation per monitoring design</t>
        </is>
      </c>
      <c r="M6" s="38" t="inlineStr">
        <is>
          <t>2025-06-18</t>
        </is>
      </c>
    </row>
    <row r="7" ht="26" customHeight="1">
      <c r="A7" s="42" t="inlineStr">
        <is>
          <t>ml.msk.cluster_name</t>
        </is>
      </c>
      <c r="B7" s="39" t="inlineStr">
        <is>
          <t>medcore-cds-prod-kafka</t>
        </is>
      </c>
      <c r="C7" s="39" t="inlineStr">
        <is>
          <t>medcore-cds-qa-kafka</t>
        </is>
      </c>
      <c r="D7" s="39" t="inlineStr">
        <is>
          <t>medcore-cds-prod-kafka</t>
        </is>
      </c>
      <c r="E7" s="39" t="inlineStr">
        <is>
          <t>Amazon MSK Kafka cluster name for internal event bus between ingestion and Feature Store pipeline</t>
        </is>
      </c>
      <c r="F7" s="40" t="inlineStr">
        <is>
          <t>Yes</t>
        </is>
      </c>
      <c r="G7" s="40" t="inlineStr">
        <is>
          <t>String</t>
        </is>
      </c>
      <c r="H7" s="39" t="inlineStr">
        <is>
          <t>medcore-cds-{env}-kafka pattern</t>
        </is>
      </c>
      <c r="I7" s="40" t="inlineStr">
        <is>
          <t>Confidential</t>
        </is>
      </c>
      <c r="J7" s="39" t="inlineStr">
        <is>
          <t>Cloud CoE</t>
        </is>
      </c>
      <c r="K7" s="39" t="inlineStr">
        <is>
          <t>solution.environment</t>
        </is>
      </c>
      <c r="L7" s="39" t="inlineStr">
        <is>
          <t>3-broker cluster one per AZ; msk.m5.large per compute sizing; topic replication factor 3</t>
        </is>
      </c>
      <c r="M7" s="40" t="inlineStr">
        <is>
          <t>2025-06-18</t>
        </is>
      </c>
    </row>
    <row r="8" ht="26" customHeight="1">
      <c r="A8" s="43" t="inlineStr">
        <is>
          <t>ml.msk.broker_count</t>
        </is>
      </c>
      <c r="B8" s="37" t="inlineStr">
        <is>
          <t>3</t>
        </is>
      </c>
      <c r="C8" s="37" t="inlineStr">
        <is>
          <t>1</t>
        </is>
      </c>
      <c r="D8" s="37" t="inlineStr">
        <is>
          <t>3</t>
        </is>
      </c>
      <c r="E8" s="37" t="inlineStr">
        <is>
          <t>Number of Amazon MSK brokers distributed one per Availability Zone</t>
        </is>
      </c>
      <c r="F8" s="38" t="inlineStr">
        <is>
          <t>Yes</t>
        </is>
      </c>
      <c r="G8" s="38" t="inlineStr">
        <is>
          <t>Integer</t>
        </is>
      </c>
      <c r="H8" s="37" t="inlineStr">
        <is>
          <t>1-15</t>
        </is>
      </c>
      <c r="I8" s="38" t="inlineStr">
        <is>
          <t>Public</t>
        </is>
      </c>
      <c r="J8" s="37" t="inlineStr">
        <is>
          <t>Cloud CoE</t>
        </is>
      </c>
      <c r="K8" s="37" t="inlineStr">
        <is>
          <t>ml.msk.cluster_name</t>
        </is>
      </c>
      <c r="L8" s="37" t="inlineStr">
        <is>
          <t>Three brokers ensures no data loss on single-broker AZ failure; scale out at &gt; 60% throughput</t>
        </is>
      </c>
      <c r="M8" s="38" t="inlineStr">
        <is>
          <t>2025-06-18</t>
        </is>
      </c>
    </row>
    <row r="9" ht="26" customHeight="1">
      <c r="A9" s="42" t="inlineStr">
        <is>
          <t>ml.msk.broker_instance_type</t>
        </is>
      </c>
      <c r="B9" s="39" t="inlineStr">
        <is>
          <t>kafka.m5.large</t>
        </is>
      </c>
      <c r="C9" s="39" t="inlineStr">
        <is>
          <t>kafka.m5.large</t>
        </is>
      </c>
      <c r="D9" s="39" t="inlineStr">
        <is>
          <t>kafka.m5.large</t>
        </is>
      </c>
      <c r="E9" s="39" t="inlineStr">
        <is>
          <t>Amazon MSK broker instance type</t>
        </is>
      </c>
      <c r="F9" s="40" t="inlineStr">
        <is>
          <t>Yes</t>
        </is>
      </c>
      <c r="G9" s="40" t="inlineStr">
        <is>
          <t>String</t>
        </is>
      </c>
      <c r="H9" s="39" t="inlineStr">
        <is>
          <t>Valid MSK instance type</t>
        </is>
      </c>
      <c r="I9" s="40" t="inlineStr">
        <is>
          <t>Public</t>
        </is>
      </c>
      <c r="J9" s="39" t="inlineStr">
        <is>
          <t>Cloud CoE</t>
        </is>
      </c>
      <c r="K9" s="39" t="inlineStr">
        <is>
          <t>ml.msk.cluster_name</t>
        </is>
      </c>
      <c r="L9" s="39" t="inlineStr">
        <is>
          <t>Reserved Instance pricing applied; scale to kafka.m5.xlarge if throughput exceeds 60%</t>
        </is>
      </c>
      <c r="M9" s="40" t="inlineStr">
        <is>
          <t>2025-06-18</t>
        </is>
      </c>
    </row>
    <row r="10" ht="26" customHeight="1">
      <c r="A10" s="43" t="inlineStr">
        <is>
          <t>ml.msk.topic_partition_key</t>
        </is>
      </c>
      <c r="B10" s="37" t="inlineStr">
        <is>
          <t>PatientID</t>
        </is>
      </c>
      <c r="C10" s="37" t="inlineStr">
        <is>
          <t>PatientID</t>
        </is>
      </c>
      <c r="D10" s="37" t="inlineStr">
        <is>
          <t>PatientID</t>
        </is>
      </c>
      <c r="E10" s="37" t="inlineStr">
        <is>
          <t>Kafka topic partition key for MSK topics ensuring per-patient event ordering</t>
        </is>
      </c>
      <c r="F10" s="38" t="inlineStr">
        <is>
          <t>Yes</t>
        </is>
      </c>
      <c r="G10" s="38" t="inlineStr">
        <is>
          <t>String</t>
        </is>
      </c>
      <c r="H10" s="37" t="inlineStr">
        <is>
          <t>Valid field name from canonical event schema</t>
        </is>
      </c>
      <c r="I10" s="38" t="inlineStr">
        <is>
          <t>Public</t>
        </is>
      </c>
      <c r="J10" s="37" t="inlineStr">
        <is>
          <t>Cloud CoE</t>
        </is>
      </c>
      <c r="K10" s="37" t="inlineStr">
        <is>
          <t>ml.msk.cluster_name</t>
        </is>
      </c>
      <c r="L10" s="37" t="inlineStr">
        <is>
          <t>PatientID partitioning guarantees ordering of events per patient for Feature Store pipeline</t>
        </is>
      </c>
      <c r="M10" s="38" t="inlineStr">
        <is>
          <t>2025-06-18</t>
        </is>
      </c>
    </row>
    <row r="11" ht="26" customHeight="1">
      <c r="A11" s="42" t="inlineStr">
        <is>
          <t>ml.feature_store.online_feature_group_name</t>
        </is>
      </c>
      <c r="B11" s="39" t="inlineStr">
        <is>
          <t>medcore-cds-patient-features-online</t>
        </is>
      </c>
      <c r="C11" s="39" t="inlineStr">
        <is>
          <t>medcore-cds-patient-features-online</t>
        </is>
      </c>
      <c r="D11" s="39" t="inlineStr">
        <is>
          <t>medcore-cds-patient-features-online</t>
        </is>
      </c>
      <c r="E11" s="39" t="inlineStr">
        <is>
          <t>SageMaker Feature Store online feature group name for real-time inference feature retrieval</t>
        </is>
      </c>
      <c r="F11" s="40" t="inlineStr">
        <is>
          <t>Yes</t>
        </is>
      </c>
      <c r="G11" s="40" t="inlineStr">
        <is>
          <t>String</t>
        </is>
      </c>
      <c r="H11" s="39" t="inlineStr">
        <is>
          <t>Valid SageMaker feature group name</t>
        </is>
      </c>
      <c r="I11" s="40" t="inlineStr">
        <is>
          <t>Confidential</t>
        </is>
      </c>
      <c r="J11" s="39" t="inlineStr">
        <is>
          <t>Cloud CoE</t>
        </is>
      </c>
      <c r="K11" s="39" t="inlineStr"/>
      <c r="L11" s="39" t="inlineStr">
        <is>
          <t>Sub-millisecond read latency target; approximately 2500 active patient records at peak</t>
        </is>
      </c>
      <c r="M11" s="40" t="inlineStr">
        <is>
          <t>2025-06-18</t>
        </is>
      </c>
    </row>
    <row r="12" ht="26" customHeight="1">
      <c r="A12" s="43" t="inlineStr">
        <is>
          <t>ml.feature_store.offline_feature_group_name</t>
        </is>
      </c>
      <c r="B12" s="37" t="inlineStr">
        <is>
          <t>medcore-cds-patient-features-offline</t>
        </is>
      </c>
      <c r="C12" s="37" t="inlineStr">
        <is>
          <t>medcore-cds-patient-features-offline</t>
        </is>
      </c>
      <c r="D12" s="37" t="inlineStr">
        <is>
          <t>medcore-cds-patient-features-offline</t>
        </is>
      </c>
      <c r="E12" s="37" t="inlineStr">
        <is>
          <t>SageMaker Feature Store offline feature group name for weekly model retraining workflow</t>
        </is>
      </c>
      <c r="F12" s="38" t="inlineStr">
        <is>
          <t>Yes</t>
        </is>
      </c>
      <c r="G12" s="38" t="inlineStr">
        <is>
          <t>String</t>
        </is>
      </c>
      <c r="H12" s="37" t="inlineStr">
        <is>
          <t>Valid SageMaker feature group name</t>
        </is>
      </c>
      <c r="I12" s="38" t="inlineStr">
        <is>
          <t>Confidential</t>
        </is>
      </c>
      <c r="J12" s="37" t="inlineStr">
        <is>
          <t>Cloud CoE</t>
        </is>
      </c>
      <c r="K12" s="37" t="inlineStr">
        <is>
          <t>storage.s3.model_artefacts_bucket_name</t>
        </is>
      </c>
      <c r="L12" s="37" t="inlineStr">
        <is>
          <t>Historical feature snapshots consumed by SageMaker Pipelines weekly retraining schedule</t>
        </is>
      </c>
      <c r="M12" s="38" t="inlineStr">
        <is>
          <t>2025-06-18</t>
        </is>
      </c>
    </row>
    <row r="13" ht="26" customHeight="1">
      <c r="A13" s="42" t="inlineStr">
        <is>
          <t>ml.feature_store.feature_completeness_threshold</t>
        </is>
      </c>
      <c r="B13" s="39" t="inlineStr">
        <is>
          <t>0.8</t>
        </is>
      </c>
      <c r="C13" s="39" t="inlineStr">
        <is>
          <t>0.7</t>
        </is>
      </c>
      <c r="D13" s="39" t="inlineStr">
        <is>
          <t>0.8</t>
        </is>
      </c>
      <c r="E13" s="39" t="inlineStr">
        <is>
          <t>Minimum feature completeness ratio below which a record is flagged as low_confidence and suppressed</t>
        </is>
      </c>
      <c r="F13" s="40" t="inlineStr">
        <is>
          <t>Yes</t>
        </is>
      </c>
      <c r="G13" s="40" t="inlineStr">
        <is>
          <t>Number</t>
        </is>
      </c>
      <c r="H13" s="39" t="inlineStr">
        <is>
          <t>0.0-1.0</t>
        </is>
      </c>
      <c r="I13" s="40" t="inlineStr">
        <is>
          <t>Public</t>
        </is>
      </c>
      <c r="J13" s="39" t="inlineStr">
        <is>
          <t>Cloud CoE</t>
        </is>
      </c>
      <c r="K13" s="39" t="inlineStr">
        <is>
          <t>ml.feature_store.online_feature_group_name</t>
        </is>
      </c>
      <c r="L13" s="39" t="inlineStr">
        <is>
          <t>Records below threshold do not produce a risk score alert; suppresses alerts on sparse data</t>
        </is>
      </c>
      <c r="M13" s="40" t="inlineStr">
        <is>
          <t>2025-06-18</t>
        </is>
      </c>
    </row>
    <row r="14" ht="26" customHeight="1">
      <c r="A14" s="43" t="inlineStr">
        <is>
          <t>ml.model.sepsis.auroc_threshold</t>
        </is>
      </c>
      <c r="B14" s="37" t="inlineStr">
        <is>
          <t>0.85</t>
        </is>
      </c>
      <c r="C14" s="37" t="inlineStr">
        <is>
          <t>0.80</t>
        </is>
      </c>
      <c r="D14" s="37" t="inlineStr">
        <is>
          <t>0.85</t>
        </is>
      </c>
      <c r="E14" s="37" t="inlineStr">
        <is>
          <t>Minimum AUROC required for sepsis model to be promoted to production via Model Registry</t>
        </is>
      </c>
      <c r="F14" s="38" t="inlineStr">
        <is>
          <t>Yes</t>
        </is>
      </c>
      <c r="G14" s="38" t="inlineStr">
        <is>
          <t>Number</t>
        </is>
      </c>
      <c r="H14" s="37" t="inlineStr">
        <is>
          <t>0.0-1.0</t>
        </is>
      </c>
      <c r="I14" s="38" t="inlineStr">
        <is>
          <t>Public</t>
        </is>
      </c>
      <c r="J14" s="37" t="inlineStr">
        <is>
          <t>Cloud CoE</t>
        </is>
      </c>
      <c r="K14" s="37" t="inlineStr"/>
      <c r="L14" s="37" t="inlineStr">
        <is>
          <t>AUROC ≥ 0.85 is a hard go-live gate per SOW; Clinical Informatics Lead sign-off required</t>
        </is>
      </c>
      <c r="M14" s="38" t="inlineStr">
        <is>
          <t>2025-06-18</t>
        </is>
      </c>
    </row>
    <row r="15" ht="26" customHeight="1">
      <c r="A15" s="42" t="inlineStr">
        <is>
          <t>ml.model.sepsis.risk_score_alert_threshold</t>
        </is>
      </c>
      <c r="B15" s="39" t="inlineStr">
        <is>
          <t>0.7</t>
        </is>
      </c>
      <c r="C15" s="39" t="inlineStr">
        <is>
          <t>0.6</t>
        </is>
      </c>
      <c r="D15" s="39" t="inlineStr">
        <is>
          <t>0.7</t>
        </is>
      </c>
      <c r="E15" s="39" t="inlineStr">
        <is>
          <t>Sepsis risk score value above which an alert is generated and routed to clinical staff</t>
        </is>
      </c>
      <c r="F15" s="40" t="inlineStr">
        <is>
          <t>Yes</t>
        </is>
      </c>
      <c r="G15" s="40" t="inlineStr">
        <is>
          <t>Number</t>
        </is>
      </c>
      <c r="H15" s="39" t="inlineStr">
        <is>
          <t>0.0-1.0</t>
        </is>
      </c>
      <c r="I15" s="40" t="inlineStr">
        <is>
          <t>Public</t>
        </is>
      </c>
      <c r="J15" s="39" t="inlineStr">
        <is>
          <t>Cloud CoE</t>
        </is>
      </c>
      <c r="K15" s="39" t="inlineStr">
        <is>
          <t>ml.model.sepsis.auroc_threshold</t>
        </is>
      </c>
      <c r="L15" s="39" t="inlineStr">
        <is>
          <t>Configurable by Clinical Informatics Lead; lower threshold increases sensitivity vs. specificity</t>
        </is>
      </c>
      <c r="M15" s="40" t="inlineStr">
        <is>
          <t>2025-06-18</t>
        </is>
      </c>
    </row>
    <row r="16" ht="26" customHeight="1">
      <c r="A16" s="43" t="inlineStr">
        <is>
          <t>ml.model.retraining_schedule_cron</t>
        </is>
      </c>
      <c r="B16" s="37" t="inlineStr">
        <is>
          <t>cron(0 2 ? * SUN *)</t>
        </is>
      </c>
      <c r="C16" s="37" t="inlineStr">
        <is>
          <t>cron(0 2 ? * SUN *)</t>
        </is>
      </c>
      <c r="D16" s="37" t="inlineStr">
        <is>
          <t>cron(0 2 ? * SUN *)</t>
        </is>
      </c>
      <c r="E16" s="37" t="inlineStr">
        <is>
          <t>Cron expression for weekly SageMaker Pipelines model retraining schedule</t>
        </is>
      </c>
      <c r="F16" s="38" t="inlineStr">
        <is>
          <t>Yes</t>
        </is>
      </c>
      <c r="G16" s="38" t="inlineStr">
        <is>
          <t>String</t>
        </is>
      </c>
      <c r="H16" s="37" t="inlineStr">
        <is>
          <t>Valid AWS EventBridge cron expression</t>
        </is>
      </c>
      <c r="I16" s="38" t="inlineStr">
        <is>
          <t>Public</t>
        </is>
      </c>
      <c r="J16" s="37" t="inlineStr">
        <is>
          <t>Cloud CoE</t>
        </is>
      </c>
      <c r="K16" s="37" t="inlineStr"/>
      <c r="L16" s="37" t="inlineStr">
        <is>
          <t>Sunday 02:00 UTC weekly retraining from offline Feature Store on ml.p3.2xlarge on-demand instance</t>
        </is>
      </c>
      <c r="M16" s="38" t="inlineStr">
        <is>
          <t>2025-06-18</t>
        </is>
      </c>
    </row>
    <row r="17" ht="26" customHeight="1">
      <c r="A17" s="42" t="inlineStr">
        <is>
          <t>ml.model.registry_name</t>
        </is>
      </c>
      <c r="B17" s="39" t="inlineStr">
        <is>
          <t>medcore-cds-model-registry</t>
        </is>
      </c>
      <c r="C17" s="39" t="inlineStr">
        <is>
          <t>medcore-cds-model-registry</t>
        </is>
      </c>
      <c r="D17" s="39" t="inlineStr">
        <is>
          <t>medcore-cds-model-registry</t>
        </is>
      </c>
      <c r="E17" s="39" t="inlineStr">
        <is>
          <t>SageMaker Model Registry model package group name governing version promotion</t>
        </is>
      </c>
      <c r="F17" s="40" t="inlineStr">
        <is>
          <t>Yes</t>
        </is>
      </c>
      <c r="G17" s="40" t="inlineStr">
        <is>
          <t>String</t>
        </is>
      </c>
      <c r="H17" s="39" t="inlineStr">
        <is>
          <t>Valid SageMaker model package group name</t>
        </is>
      </c>
      <c r="I17" s="40" t="inlineStr">
        <is>
          <t>Public</t>
        </is>
      </c>
      <c r="J17" s="39" t="inlineStr">
        <is>
          <t>Cloud CoE</t>
        </is>
      </c>
      <c r="K17" s="39" t="inlineStr">
        <is>
          <t>storage.s3.model_artefacts_bucket_name</t>
        </is>
      </c>
      <c r="L17" s="39" t="inlineStr">
        <is>
          <t>All 3 models registered here; blue/green deployment enforces Registry promotion before endpoint update</t>
        </is>
      </c>
      <c r="M17" s="40" t="inlineStr">
        <is>
          <t>2025-06-18</t>
        </is>
      </c>
    </row>
    <row r="18" ht="26" customHeight="1">
      <c r="A18" s="43" t="inlineStr">
        <is>
          <t>ml.bedrock.model_id</t>
        </is>
      </c>
      <c r="B18" s="37" t="inlineStr">
        <is>
          <t>anthropic.claude-3-sonnet-20240229-v1:0</t>
        </is>
      </c>
      <c r="C18" s="37" t="inlineStr">
        <is>
          <t>anthropic.claude-3-haiku-20240307-v1:0</t>
        </is>
      </c>
      <c r="D18" s="37" t="inlineStr">
        <is>
          <t>anthropic.claude-3-sonnet-20240229-v1:0</t>
        </is>
      </c>
      <c r="E18" s="37" t="inlineStr">
        <is>
          <t>Amazon Bedrock Claude model ID for clinical narrative generation</t>
        </is>
      </c>
      <c r="F18" s="38" t="inlineStr">
        <is>
          <t>Yes</t>
        </is>
      </c>
      <c r="G18" s="38" t="inlineStr">
        <is>
          <t>String</t>
        </is>
      </c>
      <c r="H18" s="37" t="inlineStr">
        <is>
          <t>Valid Bedrock model identifier</t>
        </is>
      </c>
      <c r="I18" s="38" t="inlineStr">
        <is>
          <t>Public</t>
        </is>
      </c>
      <c r="J18" s="37" t="inlineStr">
        <is>
          <t>Cloud CoE</t>
        </is>
      </c>
      <c r="K18" s="37" t="inlineStr"/>
      <c r="L18" s="37" t="inlineStr">
        <is>
          <t>Claude 3 Sonnet in production for narrative quality; Haiku in QA for cost; &lt; 1-second P95 target</t>
        </is>
      </c>
      <c r="M18" s="38" t="inlineStr">
        <is>
          <t>2025-06-18</t>
        </is>
      </c>
    </row>
    <row r="19" ht="26" customHeight="1">
      <c r="A19" s="42" t="inlineStr">
        <is>
          <t>ml.bedrock.max_tokens</t>
        </is>
      </c>
      <c r="B19" s="39" t="inlineStr">
        <is>
          <t>512</t>
        </is>
      </c>
      <c r="C19" s="39" t="inlineStr">
        <is>
          <t>256</t>
        </is>
      </c>
      <c r="D19" s="39" t="inlineStr">
        <is>
          <t>512</t>
        </is>
      </c>
      <c r="E19" s="39" t="inlineStr">
        <is>
          <t>Maximum token count for Bedrock clinical narrative generation responses</t>
        </is>
      </c>
      <c r="F19" s="40" t="inlineStr">
        <is>
          <t>Yes</t>
        </is>
      </c>
      <c r="G19" s="40" t="inlineStr">
        <is>
          <t>Integer</t>
        </is>
      </c>
      <c r="H19" s="39" t="inlineStr">
        <is>
          <t>1-4096</t>
        </is>
      </c>
      <c r="I19" s="40" t="inlineStr">
        <is>
          <t>Public</t>
        </is>
      </c>
      <c r="J19" s="39" t="inlineStr">
        <is>
          <t>Cloud CoE</t>
        </is>
      </c>
      <c r="K19" s="39" t="inlineStr">
        <is>
          <t>ml.bedrock.model_id</t>
        </is>
      </c>
      <c r="L19" s="39" t="inlineStr">
        <is>
          <t>512 tokens sufficient for bedside narrative summary; reduce further to lower cost and latency</t>
        </is>
      </c>
      <c r="M19" s="40" t="inlineStr">
        <is>
          <t>2025-06-18</t>
        </is>
      </c>
    </row>
    <row r="20" ht="26" customHeight="1">
      <c r="A20" s="43" t="inlineStr">
        <is>
          <t>ml.bedrock.timeout_ms</t>
        </is>
      </c>
      <c r="B20" s="37" t="inlineStr">
        <is>
          <t>1000</t>
        </is>
      </c>
      <c r="C20" s="37" t="inlineStr">
        <is>
          <t>2000</t>
        </is>
      </c>
      <c r="D20" s="37" t="inlineStr">
        <is>
          <t>1000</t>
        </is>
      </c>
      <c r="E20" s="37" t="inlineStr">
        <is>
          <t>Timeout in milliseconds for Bedrock invocations within the 3-second end-to-end SLA budget</t>
        </is>
      </c>
      <c r="F20" s="38" t="inlineStr">
        <is>
          <t>Yes</t>
        </is>
      </c>
      <c r="G20" s="38" t="inlineStr">
        <is>
          <t>Integer</t>
        </is>
      </c>
      <c r="H20" s="37" t="inlineStr">
        <is>
          <t>500-10000</t>
        </is>
      </c>
      <c r="I20" s="38" t="inlineStr">
        <is>
          <t>Public</t>
        </is>
      </c>
      <c r="J20" s="37" t="inlineStr">
        <is>
          <t>Cloud CoE</t>
        </is>
      </c>
      <c r="K20" s="37" t="inlineStr">
        <is>
          <t>ml.bedrock.model_id</t>
        </is>
      </c>
      <c r="L20" s="37" t="inlineStr">
        <is>
          <t>Fallback delivers alert without narrative if Bedrock exceeds 2s per risk mitigation design</t>
        </is>
      </c>
      <c r="M20" s="38" t="inlineStr">
        <is>
          <t>2025-06-18</t>
        </is>
      </c>
    </row>
    <row r="21" ht="26" customHeight="1">
      <c r="A21" s="42" t="inlineStr">
        <is>
          <t>ml.bedrock.prompt_template_version</t>
        </is>
      </c>
      <c r="B21" s="39" t="inlineStr">
        <is>
          <t>v1.0</t>
        </is>
      </c>
      <c r="C21" s="39" t="inlineStr">
        <is>
          <t>v1.0</t>
        </is>
      </c>
      <c r="D21" s="39" t="inlineStr">
        <is>
          <t>v1.0</t>
        </is>
      </c>
      <c r="E21" s="39" t="inlineStr">
        <is>
          <t>Version identifier for the validated clinical narrative prompt template stored in SSM</t>
        </is>
      </c>
      <c r="F21" s="40" t="inlineStr">
        <is>
          <t>Yes</t>
        </is>
      </c>
      <c r="G21" s="40" t="inlineStr">
        <is>
          <t>String</t>
        </is>
      </c>
      <c r="H21" s="39" t="inlineStr">
        <is>
          <t>Semantic versioning X.Y.Z</t>
        </is>
      </c>
      <c r="I21" s="40" t="inlineStr">
        <is>
          <t>Public</t>
        </is>
      </c>
      <c r="J21" s="39" t="inlineStr">
        <is>
          <t>Cloud CoE</t>
        </is>
      </c>
      <c r="K21" s="39" t="inlineStr"/>
      <c r="L21" s="39" t="inlineStr">
        <is>
          <t>Prompt templates validated by Clinical Informatics Lead; stored and versioned in SSM Parameter Store</t>
        </is>
      </c>
      <c r="M21" s="40" t="inlineStr">
        <is>
          <t>2025-06-18</t>
        </is>
      </c>
    </row>
    <row r="22" ht="26" customHeight="1">
      <c r="A22" s="43" t="inlineStr">
        <is>
          <t>ml.inference.latency_target_ms</t>
        </is>
      </c>
      <c r="B22" s="37" t="inlineStr">
        <is>
          <t>3000</t>
        </is>
      </c>
      <c r="C22" s="37" t="inlineStr">
        <is>
          <t>3000</t>
        </is>
      </c>
      <c r="D22" s="37" t="inlineStr">
        <is>
          <t>3000</t>
        </is>
      </c>
      <c r="E22" s="37" t="inlineStr">
        <is>
          <t>End-to-end inference latency target in milliseconds from Kinesis ingestion to alert dispatch at P95</t>
        </is>
      </c>
      <c r="F22" s="38" t="inlineStr">
        <is>
          <t>Yes</t>
        </is>
      </c>
      <c r="G22" s="38" t="inlineStr">
        <is>
          <t>Integer</t>
        </is>
      </c>
      <c r="H22" s="37" t="inlineStr">
        <is>
          <t>1000-30000</t>
        </is>
      </c>
      <c r="I22" s="38" t="inlineStr">
        <is>
          <t>Public</t>
        </is>
      </c>
      <c r="J22" s="37" t="inlineStr">
        <is>
          <t>Cloud CoE</t>
        </is>
      </c>
      <c r="K22" s="37" t="inlineStr"/>
      <c r="L22" s="37" t="inlineStr">
        <is>
          <t>Hard SLA per SOW; CI/CD auto-rollback triggered if P95 &gt; 3000ms within 30 minutes of deployment</t>
        </is>
      </c>
      <c r="M22" s="38" t="inlineStr">
        <is>
          <t>2025-06-18</t>
        </is>
      </c>
    </row>
    <row r="23" ht="26" customHeight="1">
      <c r="A23" s="42" t="inlineStr">
        <is>
          <t>ml.inference.sagemaker_latency_budget_ms</t>
        </is>
      </c>
      <c r="B23" s="39" t="inlineStr">
        <is>
          <t>1500</t>
        </is>
      </c>
      <c r="C23" s="39" t="inlineStr">
        <is>
          <t>2000</t>
        </is>
      </c>
      <c r="D23" s="39" t="inlineStr">
        <is>
          <t>1500</t>
        </is>
      </c>
      <c r="E23" s="39" t="inlineStr">
        <is>
          <t>SageMaker endpoint invocation latency budget in milliseconds within the overall 3-second SLA</t>
        </is>
      </c>
      <c r="F23" s="40" t="inlineStr">
        <is>
          <t>Yes</t>
        </is>
      </c>
      <c r="G23" s="40" t="inlineStr">
        <is>
          <t>Integer</t>
        </is>
      </c>
      <c r="H23" s="39" t="inlineStr">
        <is>
          <t>500-5000</t>
        </is>
      </c>
      <c r="I23" s="40" t="inlineStr">
        <is>
          <t>Public</t>
        </is>
      </c>
      <c r="J23" s="39" t="inlineStr">
        <is>
          <t>Cloud CoE</t>
        </is>
      </c>
      <c r="K23" s="39" t="inlineStr">
        <is>
          <t>ml.inference.latency_target_ms</t>
        </is>
      </c>
      <c r="L23" s="39" t="inlineStr">
        <is>
          <t>Remaining budget: 300ms ingestion + 500ms feature extraction + 1000ms Bedrock + 200ms routing</t>
        </is>
      </c>
      <c r="M23" s="40" t="inlineStr">
        <is>
          <t>2025-06-18</t>
        </is>
      </c>
    </row>
    <row r="24" ht="26" customHeight="1">
      <c r="A24" s="43" t="inlineStr">
        <is>
          <t>ml.inference.shap_enabled</t>
        </is>
      </c>
      <c r="B24" s="37" t="inlineStr">
        <is>
          <t>true</t>
        </is>
      </c>
      <c r="C24" s="37" t="inlineStr">
        <is>
          <t>true</t>
        </is>
      </c>
      <c r="D24" s="37" t="inlineStr">
        <is>
          <t>true</t>
        </is>
      </c>
      <c r="E24" s="37" t="inlineStr">
        <is>
          <t>Enable SHAP explainability computation inline with every SageMaker inference call</t>
        </is>
      </c>
      <c r="F24" s="38" t="inlineStr">
        <is>
          <t>Yes</t>
        </is>
      </c>
      <c r="G24" s="38" t="inlineStr">
        <is>
          <t>Boolean</t>
        </is>
      </c>
      <c r="H24" s="37" t="inlineStr">
        <is>
          <t>true|false</t>
        </is>
      </c>
      <c r="I24" s="38" t="inlineStr">
        <is>
          <t>Public</t>
        </is>
      </c>
      <c r="J24" s="37" t="inlineStr">
        <is>
          <t>Cloud CoE</t>
        </is>
      </c>
      <c r="K24" s="37" t="inlineStr"/>
      <c r="L24" s="37" t="inlineStr">
        <is>
          <t>Required for every alert per SOW mandate; SHAP adds ≤ 500ms within inference budget</t>
        </is>
      </c>
      <c r="M24" s="38" t="inlineStr">
        <is>
          <t>2025-06-18</t>
        </is>
      </c>
    </row>
    <row r="25" ht="26" customHeight="1">
      <c r="A25" s="42" t="inlineStr">
        <is>
          <t>ml.concurrent_patients_max</t>
        </is>
      </c>
      <c r="B25" s="39" t="inlineStr">
        <is>
          <t>2500</t>
        </is>
      </c>
      <c r="C25" s="39" t="inlineStr">
        <is>
          <t>200</t>
        </is>
      </c>
      <c r="D25" s="39" t="inlineStr">
        <is>
          <t>2500</t>
        </is>
      </c>
      <c r="E25" s="39" t="inlineStr">
        <is>
          <t>Maximum number of simultaneously monitored active inpatient records at peak load</t>
        </is>
      </c>
      <c r="F25" s="40" t="inlineStr">
        <is>
          <t>Yes</t>
        </is>
      </c>
      <c r="G25" s="40" t="inlineStr">
        <is>
          <t>Integer</t>
        </is>
      </c>
      <c r="H25" s="39" t="inlineStr">
        <is>
          <t>1-100000</t>
        </is>
      </c>
      <c r="I25" s="40" t="inlineStr">
        <is>
          <t>Public</t>
        </is>
      </c>
      <c r="J25" s="39" t="inlineStr">
        <is>
          <t>Cloud CoE</t>
        </is>
      </c>
      <c r="K25" s="39" t="inlineStr"/>
      <c r="L25" s="39" t="inlineStr">
        <is>
          <t>Per SOW scope: &gt; 2500 simultaneously monitored inpatients; auto-scaling absorbs burst load</t>
        </is>
      </c>
      <c r="M25" s="40" t="inlineStr">
        <is>
          <t>2025-06-18</t>
        </is>
      </c>
    </row>
    <row r="26" ht="26" customHeight="1">
      <c r="A26" s="43" t="inlineStr">
        <is>
          <t>ml.inference_volume_monthly</t>
        </is>
      </c>
      <c r="B26" s="37" t="inlineStr">
        <is>
          <t>10000000</t>
        </is>
      </c>
      <c r="C26" s="37" t="inlineStr">
        <is>
          <t>500000</t>
        </is>
      </c>
      <c r="D26" s="37" t="inlineStr">
        <is>
          <t>10000000</t>
        </is>
      </c>
      <c r="E26" s="37" t="inlineStr">
        <is>
          <t>Expected monthly inference request volume across all active inpatients at full utilization</t>
        </is>
      </c>
      <c r="F26" s="38" t="inlineStr">
        <is>
          <t>Yes</t>
        </is>
      </c>
      <c r="G26" s="38" t="inlineStr">
        <is>
          <t>Integer</t>
        </is>
      </c>
      <c r="H26" s="37" t="inlineStr">
        <is>
          <t>1-1000000000</t>
        </is>
      </c>
      <c r="I26" s="38" t="inlineStr">
        <is>
          <t>Public</t>
        </is>
      </c>
      <c r="J26" s="37" t="inlineStr">
        <is>
          <t>Cloud CoE</t>
        </is>
      </c>
      <c r="K26" s="37" t="inlineStr"/>
      <c r="L26" s="37" t="inlineStr">
        <is>
          <t>10M+ per SOW scope across 18 hospitals; auto-scaling on SageMaker endpoints absorbs bursts</t>
        </is>
      </c>
      <c r="M26" s="38" t="inlineStr">
        <is>
          <t>2025-06-18</t>
        </is>
      </c>
    </row>
  </sheetData>
  <autoFilter ref="A2:M26"/>
  <mergeCells count="1">
    <mergeCell ref="A1:M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Operations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operations.backup.aurora_retention_days</t>
        </is>
      </c>
      <c r="B3" s="39" t="inlineStr">
        <is>
          <t>35</t>
        </is>
      </c>
      <c r="C3" s="39" t="inlineStr">
        <is>
          <t>7</t>
        </is>
      </c>
      <c r="D3" s="39" t="inlineStr">
        <is>
          <t>35</t>
        </is>
      </c>
      <c r="E3" s="39" t="inlineStr">
        <is>
          <t>RDS Aurora automated snapshot retention in days</t>
        </is>
      </c>
      <c r="F3" s="40" t="inlineStr">
        <is>
          <t>Yes</t>
        </is>
      </c>
      <c r="G3" s="40" t="inlineStr">
        <is>
          <t>Integer</t>
        </is>
      </c>
      <c r="H3" s="39" t="inlineStr">
        <is>
          <t>1-35</t>
        </is>
      </c>
      <c r="I3" s="40" t="inlineStr">
        <is>
          <t>Public</t>
        </is>
      </c>
      <c r="J3" s="39" t="inlineStr">
        <is>
          <t>Operations</t>
        </is>
      </c>
      <c r="K3" s="39" t="inlineStr">
        <is>
          <t>database.aurora.cluster_identifier</t>
        </is>
      </c>
      <c r="L3" s="39" t="inlineStr">
        <is>
          <t>35-day maximum retention enables PITR; aligned to DR RPO ≤ 15 min and HIPAA audit requirements</t>
        </is>
      </c>
      <c r="M3" s="40" t="inlineStr">
        <is>
          <t>2025-06-18</t>
        </is>
      </c>
    </row>
    <row r="4" ht="26" customHeight="1">
      <c r="A4" s="43" t="inlineStr">
        <is>
          <t>operations.backup.elasticache_retention_days</t>
        </is>
      </c>
      <c r="B4" s="37" t="inlineStr">
        <is>
          <t>7</t>
        </is>
      </c>
      <c r="C4" s="37" t="inlineStr">
        <is>
          <t>1</t>
        </is>
      </c>
      <c r="D4" s="37" t="inlineStr">
        <is>
          <t>7</t>
        </is>
      </c>
      <c r="E4" s="37" t="inlineStr">
        <is>
          <t>ElastiCache Redis automatic daily snapshot retention in days</t>
        </is>
      </c>
      <c r="F4" s="38" t="inlineStr">
        <is>
          <t>Yes</t>
        </is>
      </c>
      <c r="G4" s="38" t="inlineStr">
        <is>
          <t>Integer</t>
        </is>
      </c>
      <c r="H4" s="37" t="inlineStr">
        <is>
          <t>1-35</t>
        </is>
      </c>
      <c r="I4" s="38" t="inlineStr">
        <is>
          <t>Public</t>
        </is>
      </c>
      <c r="J4" s="37" t="inlineStr">
        <is>
          <t>Operations</t>
        </is>
      </c>
      <c r="K4" s="37" t="inlineStr">
        <is>
          <t>cache.elasticache.cluster_id</t>
        </is>
      </c>
      <c r="L4" s="37" t="inlineStr">
        <is>
          <t>Cache re-populates from Feature Store within minutes; 7-day snapshot retention sufficient</t>
        </is>
      </c>
      <c r="M4" s="38" t="inlineStr">
        <is>
          <t>2025-06-18</t>
        </is>
      </c>
    </row>
    <row r="5" ht="26" customHeight="1">
      <c r="A5" s="42" t="inlineStr">
        <is>
          <t>operations.backup.redshift_retention_days</t>
        </is>
      </c>
      <c r="B5" s="39" t="inlineStr">
        <is>
          <t>7</t>
        </is>
      </c>
      <c r="C5" s="39" t="inlineStr">
        <is>
          <t>1</t>
        </is>
      </c>
      <c r="D5" s="39" t="inlineStr">
        <is>
          <t>7</t>
        </is>
      </c>
      <c r="E5" s="39" t="inlineStr">
        <is>
          <t>Redshift automated snapshot retention in days for outcomes analytics warehouse</t>
        </is>
      </c>
      <c r="F5" s="40" t="inlineStr">
        <is>
          <t>Yes</t>
        </is>
      </c>
      <c r="G5" s="40" t="inlineStr">
        <is>
          <t>Integer</t>
        </is>
      </c>
      <c r="H5" s="39" t="inlineStr">
        <is>
          <t>1-35</t>
        </is>
      </c>
      <c r="I5" s="40" t="inlineStr">
        <is>
          <t>Public</t>
        </is>
      </c>
      <c r="J5" s="39" t="inlineStr">
        <is>
          <t>Operations</t>
        </is>
      </c>
      <c r="K5" s="39" t="inlineStr">
        <is>
          <t>storage.redshift.cluster_identifier</t>
        </is>
      </c>
      <c r="L5" s="39" t="inlineStr">
        <is>
          <t>Analytics only; no SLA impact; 7-day retention adequate per data architecture design</t>
        </is>
      </c>
      <c r="M5" s="40" t="inlineStr">
        <is>
          <t>2025-06-18</t>
        </is>
      </c>
    </row>
    <row r="6" ht="26" customHeight="1">
      <c r="A6" s="43" t="inlineStr">
        <is>
          <t>operations.dr.rto_hours</t>
        </is>
      </c>
      <c r="B6" s="37" t="inlineStr">
        <is>
          <t>4</t>
        </is>
      </c>
      <c r="C6" s="37" t="inlineStr">
        <is>
          <t>8</t>
        </is>
      </c>
      <c r="D6" s="37" t="inlineStr">
        <is>
          <t>4</t>
        </is>
      </c>
      <c r="E6" s="37" t="inlineStr">
        <is>
          <t>Recovery Time Objective in hours for regional failover to passive DR region (us-west-2)</t>
        </is>
      </c>
      <c r="F6" s="38" t="inlineStr">
        <is>
          <t>Yes</t>
        </is>
      </c>
      <c r="G6" s="38" t="inlineStr">
        <is>
          <t>Integer</t>
        </is>
      </c>
      <c r="H6" s="37" t="inlineStr">
        <is>
          <t>1-72</t>
        </is>
      </c>
      <c r="I6" s="38" t="inlineStr">
        <is>
          <t>Public</t>
        </is>
      </c>
      <c r="J6" s="37" t="inlineStr">
        <is>
          <t>Operations</t>
        </is>
      </c>
      <c r="K6" s="37" t="inlineStr">
        <is>
          <t>solution.region.dr</t>
        </is>
      </c>
      <c r="L6" s="37" t="inlineStr">
        <is>
          <t>Route 53 DNS failover in 30s; Aurora global DB promotion 15-30 min; full restore ≤ 4 hours</t>
        </is>
      </c>
      <c r="M6" s="38" t="inlineStr">
        <is>
          <t>2025-06-18</t>
        </is>
      </c>
    </row>
    <row r="7" ht="26" customHeight="1">
      <c r="A7" s="42" t="inlineStr">
        <is>
          <t>operations.dr.rpo_minutes</t>
        </is>
      </c>
      <c r="B7" s="39" t="inlineStr">
        <is>
          <t>15</t>
        </is>
      </c>
      <c r="C7" s="39" t="inlineStr">
        <is>
          <t>60</t>
        </is>
      </c>
      <c r="D7" s="39" t="inlineStr">
        <is>
          <t>15</t>
        </is>
      </c>
      <c r="E7" s="39" t="inlineStr">
        <is>
          <t>Recovery Point Objective in minutes for maximum acceptable data loss in regional failover</t>
        </is>
      </c>
      <c r="F7" s="40" t="inlineStr">
        <is>
          <t>Yes</t>
        </is>
      </c>
      <c r="G7" s="40" t="inlineStr">
        <is>
          <t>Integer</t>
        </is>
      </c>
      <c r="H7" s="39" t="inlineStr">
        <is>
          <t>1-1440</t>
        </is>
      </c>
      <c r="I7" s="40" t="inlineStr">
        <is>
          <t>Public</t>
        </is>
      </c>
      <c r="J7" s="39" t="inlineStr">
        <is>
          <t>Operations</t>
        </is>
      </c>
      <c r="K7" s="39" t="inlineStr">
        <is>
          <t>storage.s3.cross_region_replication_enabled</t>
        </is>
      </c>
      <c r="L7" s="39" t="inlineStr">
        <is>
          <t>Based on HealthLake export frequency + Aurora cross-region replication lag; validated by DR drill</t>
        </is>
      </c>
      <c r="M7" s="40" t="inlineStr">
        <is>
          <t>2025-06-18</t>
        </is>
      </c>
    </row>
    <row r="8" ht="26" customHeight="1">
      <c r="A8" s="43" t="inlineStr">
        <is>
          <t>operations.dr.failover_test_schedule</t>
        </is>
      </c>
      <c r="B8" s="37" t="inlineStr">
        <is>
          <t>annual</t>
        </is>
      </c>
      <c r="C8" s="37" t="inlineStr">
        <is>
          <t>annual</t>
        </is>
      </c>
      <c r="D8" s="37" t="inlineStr">
        <is>
          <t>annual</t>
        </is>
      </c>
      <c r="E8" s="37" t="inlineStr">
        <is>
          <t>Frequency of scheduled regional failover DR drills to validate RTO and RPO targets</t>
        </is>
      </c>
      <c r="F8" s="38" t="inlineStr">
        <is>
          <t>Yes</t>
        </is>
      </c>
      <c r="G8" s="38" t="inlineStr">
        <is>
          <t>String</t>
        </is>
      </c>
      <c r="H8" s="37" t="inlineStr">
        <is>
          <t>annual|semi-annual|quarterly</t>
        </is>
      </c>
      <c r="I8" s="38" t="inlineStr">
        <is>
          <t>Public</t>
        </is>
      </c>
      <c r="J8" s="37" t="inlineStr">
        <is>
          <t>Operations</t>
        </is>
      </c>
      <c r="K8" s="37" t="inlineStr">
        <is>
          <t>solution.region.dr</t>
        </is>
      </c>
      <c r="L8" s="37" t="inlineStr">
        <is>
          <t>Annual DR drill in staging; results documented in Test Results Report; pass criteria per SOW</t>
        </is>
      </c>
      <c r="M8" s="38" t="inlineStr">
        <is>
          <t>2025-06-18</t>
        </is>
      </c>
    </row>
    <row r="9" ht="26" customHeight="1">
      <c r="A9" s="42" t="inlineStr">
        <is>
          <t>operations.ci_cd.pipeline_name</t>
        </is>
      </c>
      <c r="B9" s="39" t="inlineStr">
        <is>
          <t>medcore-cds-prod-deploy</t>
        </is>
      </c>
      <c r="C9" s="39" t="inlineStr">
        <is>
          <t>medcore-cds-qa-deploy</t>
        </is>
      </c>
      <c r="D9" s="39" t="inlineStr">
        <is>
          <t>medcore-cds-prod-deploy</t>
        </is>
      </c>
      <c r="E9" s="39" t="inlineStr">
        <is>
          <t>AWS CodePipeline pipeline name for application and SageMaker model endpoint deployments</t>
        </is>
      </c>
      <c r="F9" s="40" t="inlineStr">
        <is>
          <t>Yes</t>
        </is>
      </c>
      <c r="G9" s="40" t="inlineStr">
        <is>
          <t>String</t>
        </is>
      </c>
      <c r="H9" s="39" t="inlineStr">
        <is>
          <t>medcore-cds-{env}-deploy pattern</t>
        </is>
      </c>
      <c r="I9" s="40" t="inlineStr">
        <is>
          <t>Public</t>
        </is>
      </c>
      <c r="J9" s="39" t="inlineStr">
        <is>
          <t>Cloud CoE</t>
        </is>
      </c>
      <c r="K9" s="39" t="inlineStr">
        <is>
          <t>solution.environment</t>
        </is>
      </c>
      <c r="L9" s="39" t="inlineStr">
        <is>
          <t>Blue/green deployment for all SageMaker endpoint and ECS task definition updates</t>
        </is>
      </c>
      <c r="M9" s="40" t="inlineStr">
        <is>
          <t>2025-06-18</t>
        </is>
      </c>
    </row>
    <row r="10" ht="26" customHeight="1">
      <c r="A10" s="43" t="inlineStr">
        <is>
          <t>operations.ci_cd.rollback_latency_threshold_ms</t>
        </is>
      </c>
      <c r="B10" s="37" t="inlineStr">
        <is>
          <t>3000</t>
        </is>
      </c>
      <c r="C10" s="37" t="inlineStr">
        <is>
          <t>5000</t>
        </is>
      </c>
      <c r="D10" s="37" t="inlineStr">
        <is>
          <t>3000</t>
        </is>
      </c>
      <c r="E10" s="37" t="inlineStr">
        <is>
          <t>P95 latency threshold in milliseconds that triggers automatic CI/CD rollback within 30 minutes of deployment</t>
        </is>
      </c>
      <c r="F10" s="38" t="inlineStr">
        <is>
          <t>Yes</t>
        </is>
      </c>
      <c r="G10" s="38" t="inlineStr">
        <is>
          <t>Integer</t>
        </is>
      </c>
      <c r="H10" s="37" t="inlineStr">
        <is>
          <t>1000-30000</t>
        </is>
      </c>
      <c r="I10" s="38" t="inlineStr">
        <is>
          <t>Public</t>
        </is>
      </c>
      <c r="J10" s="37" t="inlineStr">
        <is>
          <t>Cloud CoE</t>
        </is>
      </c>
      <c r="K10" s="37" t="inlineStr">
        <is>
          <t>operations.ci_cd.pipeline_name</t>
        </is>
      </c>
      <c r="L10" s="37" t="inlineStr">
        <is>
          <t>Automated rollback protects clinical safety; restores previous Model Registry version in ≤ 15 min</t>
        </is>
      </c>
      <c r="M10" s="38" t="inlineStr">
        <is>
          <t>2025-06-18</t>
        </is>
      </c>
    </row>
    <row r="11" ht="26" customHeight="1">
      <c r="A11" s="42" t="inlineStr">
        <is>
          <t>operations.ci_cd.snyk_scanning_enabled</t>
        </is>
      </c>
      <c r="B11" s="39" t="inlineStr">
        <is>
          <t>true</t>
        </is>
      </c>
      <c r="C11" s="39" t="inlineStr">
        <is>
          <t>true</t>
        </is>
      </c>
      <c r="D11" s="39" t="inlineStr">
        <is>
          <t>true</t>
        </is>
      </c>
      <c r="E11" s="39" t="inlineStr">
        <is>
          <t>Enable Snyk container security scanning in CI/CD pipeline for ECS workloads</t>
        </is>
      </c>
      <c r="F11" s="40" t="inlineStr">
        <is>
          <t>Yes</t>
        </is>
      </c>
      <c r="G11" s="40" t="inlineStr">
        <is>
          <t>Boolean</t>
        </is>
      </c>
      <c r="H11" s="39" t="inlineStr">
        <is>
          <t>true|false</t>
        </is>
      </c>
      <c r="I11" s="40" t="inlineStr">
        <is>
          <t>Public</t>
        </is>
      </c>
      <c r="J11" s="39" t="inlineStr">
        <is>
          <t>Cloud CoE</t>
        </is>
      </c>
      <c r="K11" s="39" t="inlineStr"/>
      <c r="L11" s="39" t="inlineStr">
        <is>
          <t>Blocks deployment on Critical or High CVEs; shift-left HIPAA security posture per security design</t>
        </is>
      </c>
      <c r="M11" s="40" t="inlineStr">
        <is>
          <t>2025-06-18</t>
        </is>
      </c>
    </row>
    <row r="12" ht="26" customHeight="1">
      <c r="A12" s="43" t="inlineStr">
        <is>
          <t>operations.scaling.sagemaker_cpu_threshold_pct</t>
        </is>
      </c>
      <c r="B12" s="37" t="inlineStr">
        <is>
          <t>70</t>
        </is>
      </c>
      <c r="C12" s="37" t="inlineStr">
        <is>
          <t>80</t>
        </is>
      </c>
      <c r="D12" s="37" t="inlineStr">
        <is>
          <t>70</t>
        </is>
      </c>
      <c r="E12" s="37" t="inlineStr">
        <is>
          <t>SageMaker endpoint CPU utilization percentage threshold triggering auto-scale-out</t>
        </is>
      </c>
      <c r="F12" s="38" t="inlineStr">
        <is>
          <t>Yes</t>
        </is>
      </c>
      <c r="G12" s="38" t="inlineStr">
        <is>
          <t>Integer</t>
        </is>
      </c>
      <c r="H12" s="37" t="inlineStr">
        <is>
          <t>1-100</t>
        </is>
      </c>
      <c r="I12" s="38" t="inlineStr">
        <is>
          <t>Public</t>
        </is>
      </c>
      <c r="J12" s="37" t="inlineStr">
        <is>
          <t>Cloud CoE</t>
        </is>
      </c>
      <c r="K12" s="37" t="inlineStr"/>
      <c r="L12" s="37" t="inlineStr">
        <is>
          <t>Scale-out on SageMakerVariantInvocationsPerInstance metric; maintains headroom for latency SLA</t>
        </is>
      </c>
      <c r="M12" s="38" t="inlineStr">
        <is>
          <t>2025-06-18</t>
        </is>
      </c>
    </row>
    <row r="13" ht="26" customHeight="1">
      <c r="A13" s="42" t="inlineStr">
        <is>
          <t>operations.alert_duplicate_suppression_minutes</t>
        </is>
      </c>
      <c r="B13" s="39" t="inlineStr">
        <is>
          <t>30</t>
        </is>
      </c>
      <c r="C13" s="39" t="inlineStr">
        <is>
          <t>30</t>
        </is>
      </c>
      <c r="D13" s="39" t="inlineStr">
        <is>
          <t>30</t>
        </is>
      </c>
      <c r="E13" s="39" t="inlineStr">
        <is>
          <t>Minutes within which duplicate alerts of the same type for the same patient are suppressed</t>
        </is>
      </c>
      <c r="F13" s="40" t="inlineStr">
        <is>
          <t>Yes</t>
        </is>
      </c>
      <c r="G13" s="40" t="inlineStr">
        <is>
          <t>Integer</t>
        </is>
      </c>
      <c r="H13" s="39" t="inlineStr">
        <is>
          <t>1-120</t>
        </is>
      </c>
      <c r="I13" s="40" t="inlineStr">
        <is>
          <t>Public</t>
        </is>
      </c>
      <c r="J13" s="39" t="inlineStr">
        <is>
          <t>Cloud CoE</t>
        </is>
      </c>
      <c r="K13" s="39" t="inlineStr">
        <is>
          <t>cache.elasticache.cluster_id</t>
        </is>
      </c>
      <c r="L13" s="39" t="inlineStr">
        <is>
          <t>Configurable per alert type via SSM Parameter Store; reduces nursing alert fatigue per SOW goal</t>
        </is>
      </c>
      <c r="M13" s="40" t="inlineStr">
        <is>
          <t>2025-06-18</t>
        </is>
      </c>
    </row>
    <row r="14" ht="26" customHeight="1">
      <c r="A14" s="43" t="inlineStr">
        <is>
          <t>operations.facility_count</t>
        </is>
      </c>
      <c r="B14" s="37" t="inlineStr">
        <is>
          <t>18</t>
        </is>
      </c>
      <c r="C14" s="37" t="inlineStr">
        <is>
          <t>1</t>
        </is>
      </c>
      <c r="D14" s="37" t="inlineStr">
        <is>
          <t>18</t>
        </is>
      </c>
      <c r="E14" s="37" t="inlineStr">
        <is>
          <t>Number of hospitals in scope for CDS Platform rollout per SOW engagement scope</t>
        </is>
      </c>
      <c r="F14" s="38" t="inlineStr">
        <is>
          <t>Yes</t>
        </is>
      </c>
      <c r="G14" s="38" t="inlineStr">
        <is>
          <t>Integer</t>
        </is>
      </c>
      <c r="H14" s="37" t="inlineStr">
        <is>
          <t>1-100</t>
        </is>
      </c>
      <c r="I14" s="38" t="inlineStr">
        <is>
          <t>Public</t>
        </is>
      </c>
      <c r="J14" s="37" t="inlineStr">
        <is>
          <t>Cloud CoE</t>
        </is>
      </c>
      <c r="K14" s="37" t="inlineStr"/>
      <c r="L14" s="37" t="inlineStr">
        <is>
          <t>18 hospitals + 60+ outpatient clinics; Phase 3 completes full rollout by 2027-06-30 per SOW M8</t>
        </is>
      </c>
      <c r="M14" s="38" t="inlineStr">
        <is>
          <t>2025-06-18</t>
        </is>
      </c>
    </row>
    <row r="15" ht="26" customHeight="1">
      <c r="A15" s="42" t="inlineStr">
        <is>
          <t>operations.clinical_users_mau</t>
        </is>
      </c>
      <c r="B15" s="39" t="inlineStr">
        <is>
          <t>4200</t>
        </is>
      </c>
      <c r="C15" s="39" t="inlineStr">
        <is>
          <t>100</t>
        </is>
      </c>
      <c r="D15" s="39" t="inlineStr">
        <is>
          <t>4200</t>
        </is>
      </c>
      <c r="E15" s="39" t="inlineStr">
        <is>
          <t>Monthly active clinical users across all facilities (nurses + physicians + administrators)</t>
        </is>
      </c>
      <c r="F15" s="40" t="inlineStr">
        <is>
          <t>Yes</t>
        </is>
      </c>
      <c r="G15" s="40" t="inlineStr">
        <is>
          <t>Integer</t>
        </is>
      </c>
      <c r="H15" s="39" t="inlineStr">
        <is>
          <t>1-100000</t>
        </is>
      </c>
      <c r="I15" s="40" t="inlineStr">
        <is>
          <t>Public</t>
        </is>
      </c>
      <c r="J15" s="39" t="inlineStr">
        <is>
          <t>Cloud CoE</t>
        </is>
      </c>
      <c r="K15" s="39" t="inlineStr">
        <is>
          <t>security.cognito.user_pool_id</t>
        </is>
      </c>
      <c r="L15" s="39" t="inlineStr">
        <is>
          <t>4200 MAU per SOW scope; Cognito auto-scales; adoption target ≥ 75% per facility within 90 days</t>
        </is>
      </c>
      <c r="M15" s="40" t="inlineStr">
        <is>
          <t>2025-06-18</t>
        </is>
      </c>
    </row>
    <row r="16" ht="26" customHeight="1">
      <c r="A16" s="43" t="inlineStr">
        <is>
          <t>operations.compliance.config_remediation_critical_hours</t>
        </is>
      </c>
      <c r="B16" s="37" t="inlineStr">
        <is>
          <t>24</t>
        </is>
      </c>
      <c r="C16" s="37" t="inlineStr">
        <is>
          <t>24</t>
        </is>
      </c>
      <c r="D16" s="37" t="inlineStr">
        <is>
          <t>24</t>
        </is>
      </c>
      <c r="E16" s="37" t="inlineStr">
        <is>
          <t>Maximum hours to remediate a Critical AWS Config non-compliant finding per governance SLA</t>
        </is>
      </c>
      <c r="F16" s="38" t="inlineStr">
        <is>
          <t>Yes</t>
        </is>
      </c>
      <c r="G16" s="38" t="inlineStr">
        <is>
          <t>Integer</t>
        </is>
      </c>
      <c r="H16" s="37" t="inlineStr">
        <is>
          <t>1-168</t>
        </is>
      </c>
      <c r="I16" s="38" t="inlineStr">
        <is>
          <t>Public</t>
        </is>
      </c>
      <c r="J16" s="37" t="inlineStr">
        <is>
          <t>Security Team</t>
        </is>
      </c>
      <c r="K16" s="37" t="inlineStr">
        <is>
          <t>security.config_enabled</t>
        </is>
      </c>
      <c r="L16" s="37" t="inlineStr">
        <is>
          <t>Critical compliance findings remediated within 24 hours per SOW Governance section</t>
        </is>
      </c>
      <c r="M16" s="38" t="inlineStr">
        <is>
          <t>2025-06-18</t>
        </is>
      </c>
    </row>
    <row r="17" ht="26" customHeight="1">
      <c r="A17" s="42" t="inlineStr">
        <is>
          <t>operations.compliance.config_remediation_high_days</t>
        </is>
      </c>
      <c r="B17" s="39" t="inlineStr">
        <is>
          <t>7</t>
        </is>
      </c>
      <c r="C17" s="39" t="inlineStr">
        <is>
          <t>14</t>
        </is>
      </c>
      <c r="D17" s="39" t="inlineStr">
        <is>
          <t>7</t>
        </is>
      </c>
      <c r="E17" s="39" t="inlineStr">
        <is>
          <t>Maximum days to remediate a High AWS Config non-compliant finding per governance SLA</t>
        </is>
      </c>
      <c r="F17" s="40" t="inlineStr">
        <is>
          <t>Yes</t>
        </is>
      </c>
      <c r="G17" s="40" t="inlineStr">
        <is>
          <t>Integer</t>
        </is>
      </c>
      <c r="H17" s="39" t="inlineStr">
        <is>
          <t>1-90</t>
        </is>
      </c>
      <c r="I17" s="40" t="inlineStr">
        <is>
          <t>Public</t>
        </is>
      </c>
      <c r="J17" s="39" t="inlineStr">
        <is>
          <t>Security Team</t>
        </is>
      </c>
      <c r="K17" s="39" t="inlineStr">
        <is>
          <t>security.config_enabled</t>
        </is>
      </c>
      <c r="L17" s="39" t="inlineStr">
        <is>
          <t>High findings remediated within 7 days; Medium within 30 days per governance SLA</t>
        </is>
      </c>
      <c r="M17" s="40" t="inlineStr">
        <is>
          <t>2025-06-18</t>
        </is>
      </c>
    </row>
    <row r="18" ht="26" customHeight="1">
      <c r="A18" s="43" t="inlineStr">
        <is>
          <t>operations.access_review_cadence_days</t>
        </is>
      </c>
      <c r="B18" s="37" t="inlineStr">
        <is>
          <t>60</t>
        </is>
      </c>
      <c r="C18" s="37" t="inlineStr">
        <is>
          <t>60</t>
        </is>
      </c>
      <c r="D18" s="37" t="inlineStr">
        <is>
          <t>60</t>
        </is>
      </c>
      <c r="E18" s="37" t="inlineStr">
        <is>
          <t>Frequency in days of access review for Cognito role assignments and IAM policies</t>
        </is>
      </c>
      <c r="F18" s="38" t="inlineStr">
        <is>
          <t>Yes</t>
        </is>
      </c>
      <c r="G18" s="38" t="inlineStr">
        <is>
          <t>Integer</t>
        </is>
      </c>
      <c r="H18" s="37" t="inlineStr">
        <is>
          <t>30-365</t>
        </is>
      </c>
      <c r="I18" s="38" t="inlineStr">
        <is>
          <t>Public</t>
        </is>
      </c>
      <c r="J18" s="37" t="inlineStr">
        <is>
          <t>Security Team</t>
        </is>
      </c>
      <c r="K18" s="37" t="inlineStr">
        <is>
          <t>security.cognito.user_pool_id</t>
        </is>
      </c>
      <c r="L18" s="37" t="inlineStr">
        <is>
          <t>60-day cadence during rollout; annual post-GA; ensures role assignments remain accurate as staff changes</t>
        </is>
      </c>
      <c r="M18" s="38" t="inlineStr">
        <is>
          <t>2025-06-18</t>
        </is>
      </c>
    </row>
    <row r="19" ht="26" customHeight="1">
      <c r="A19" s="42" t="inlineStr">
        <is>
          <t>operations.hypercare_duration_weeks</t>
        </is>
      </c>
      <c r="B19" s="39" t="inlineStr">
        <is>
          <t>8</t>
        </is>
      </c>
      <c r="C19" s="39" t="inlineStr">
        <is>
          <t>0</t>
        </is>
      </c>
      <c r="D19" s="39" t="inlineStr">
        <is>
          <t>8</t>
        </is>
      </c>
      <c r="E19" s="39" t="inlineStr">
        <is>
          <t>Post-GA hypercare support duration in weeks with 1-hour Critical incident response SLA</t>
        </is>
      </c>
      <c r="F19" s="40" t="inlineStr">
        <is>
          <t>Yes</t>
        </is>
      </c>
      <c r="G19" s="40" t="inlineStr">
        <is>
          <t>Integer</t>
        </is>
      </c>
      <c r="H19" s="39" t="inlineStr">
        <is>
          <t>1-52</t>
        </is>
      </c>
      <c r="I19" s="40" t="inlineStr">
        <is>
          <t>Public</t>
        </is>
      </c>
      <c r="J19" s="39" t="inlineStr">
        <is>
          <t>Cloud CoE</t>
        </is>
      </c>
      <c r="K19" s="39" t="inlineStr"/>
      <c r="L19" s="39" t="inlineStr">
        <is>
          <t>8-week hypercare per SOW; Critical defined as patient safety impact or platform unavailability</t>
        </is>
      </c>
      <c r="M19" s="40" t="inlineStr">
        <is>
          <t>2025-06-18</t>
        </is>
      </c>
    </row>
  </sheetData>
  <autoFilter ref="A2:M19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2026-06-30T00:30:54Z</dcterms:modified>
  <cp:lastModifiedBy>Kishan Siram</cp:lastModifiedBy>
</cp:coreProperties>
</file>