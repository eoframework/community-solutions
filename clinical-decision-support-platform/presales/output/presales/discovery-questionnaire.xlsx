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Implementation Planning" sheetId="6" state="visible" r:id="rId6"/>
    <sheet xmlns:r="http://schemas.openxmlformats.org/officeDocument/2006/relationships" name="Operations &amp; Support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29, 2026</t>
        </is>
      </c>
    </row>
    <row r="6" ht="18" customHeight="1">
      <c r="B6" s="2" t="inlineStr">
        <is>
          <t>Solution:</t>
        </is>
      </c>
      <c r="C6" s="3" t="inlineStr">
        <is>
          <t>Tmp2Vuewb8H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62</v>
      </c>
      <c r="B2" s="35">
        <f>SUMPRODUCT(--(LEN(F5:F66)&gt;0))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IF('Technical Requirements'!A2="","",'Technical Requirements'!A2)</f>
        <v/>
      </c>
      <c r="B15" s="38">
        <f>IF('Technical Requirements'!B2="","",'Technical Requirements'!B2)</f>
        <v/>
      </c>
      <c r="C15" s="38">
        <f>IF('Technical Requirements'!C2="","",'Technical Requirements'!C2)</f>
        <v/>
      </c>
      <c r="D15" s="38">
        <f>IF('Technical Requirements'!D2="","",'Technical Requirements'!D2)</f>
        <v/>
      </c>
      <c r="E15" s="38">
        <f>IF('Technical Requirements'!E2="","",'Technical Requirements'!E2)</f>
        <v/>
      </c>
      <c r="F15" s="39">
        <f>IF('Technical Requirements'!F2="","",'Technical Requirements'!F2)</f>
        <v/>
      </c>
      <c r="G15" s="38">
        <f>IF('Technical Requirements'!G2="","",'Technical Requirements'!G2)</f>
        <v/>
      </c>
    </row>
    <row r="16">
      <c r="A16" s="40">
        <f>IF('Technical Requirements'!A3="","",'Technical Requirements'!A3)</f>
        <v/>
      </c>
      <c r="B16" s="40">
        <f>IF('Technical Requirements'!B3="","",'Technical Requirements'!B3)</f>
        <v/>
      </c>
      <c r="C16" s="40">
        <f>IF('Technical Requirements'!C3="","",'Technical Requirements'!C3)</f>
        <v/>
      </c>
      <c r="D16" s="40">
        <f>IF('Technical Requirements'!D3="","",'Technical Requirements'!D3)</f>
        <v/>
      </c>
      <c r="E16" s="40">
        <f>IF('Technical Requirements'!E3="","",'Technical Requirements'!E3)</f>
        <v/>
      </c>
      <c r="F16" s="39">
        <f>IF('Technical Requirements'!F3="","",'Technical Requirements'!F3)</f>
        <v/>
      </c>
      <c r="G16" s="40">
        <f>IF('Technical Requirements'!G3="","",'Technical Requirements'!G3)</f>
        <v/>
      </c>
    </row>
    <row r="17">
      <c r="A17" s="38">
        <f>IF('Technical Requirements'!A4="","",'Technical Requirements'!A4)</f>
        <v/>
      </c>
      <c r="B17" s="38">
        <f>IF('Technical Requirements'!B4="","",'Technical Requirements'!B4)</f>
        <v/>
      </c>
      <c r="C17" s="38">
        <f>IF('Technical Requirements'!C4="","",'Technical Requirements'!C4)</f>
        <v/>
      </c>
      <c r="D17" s="38">
        <f>IF('Technical Requirements'!D4="","",'Technical Requirements'!D4)</f>
        <v/>
      </c>
      <c r="E17" s="38">
        <f>IF('Technical Requirements'!E4="","",'Technical Requirements'!E4)</f>
        <v/>
      </c>
      <c r="F17" s="39">
        <f>IF('Technical Requirements'!F4="","",'Technical Requirements'!F4)</f>
        <v/>
      </c>
      <c r="G17" s="38">
        <f>IF('Technical Requirements'!G4="","",'Technical Requirements'!G4)</f>
        <v/>
      </c>
    </row>
    <row r="18">
      <c r="A18" s="40">
        <f>IF('Technical Requirements'!A5="","",'Technical Requirements'!A5)</f>
        <v/>
      </c>
      <c r="B18" s="40">
        <f>IF('Technical Requirements'!B5="","",'Technical Requirements'!B5)</f>
        <v/>
      </c>
      <c r="C18" s="40">
        <f>IF('Technical Requirements'!C5="","",'Technical Requirements'!C5)</f>
        <v/>
      </c>
      <c r="D18" s="40">
        <f>IF('Technical Requirements'!D5="","",'Technical Requirements'!D5)</f>
        <v/>
      </c>
      <c r="E18" s="40">
        <f>IF('Technical Requirements'!E5="","",'Technical Requirements'!E5)</f>
        <v/>
      </c>
      <c r="F18" s="39">
        <f>IF('Technical Requirements'!F5="","",'Technical Requirements'!F5)</f>
        <v/>
      </c>
      <c r="G18" s="40">
        <f>IF('Technical Requirements'!G5="","",'Technical Requirements'!G5)</f>
        <v/>
      </c>
    </row>
    <row r="19">
      <c r="A19" s="38">
        <f>IF('Technical Requirements'!A6="","",'Technical Requirements'!A6)</f>
        <v/>
      </c>
      <c r="B19" s="38">
        <f>IF('Technical Requirements'!B6="","",'Technical Requirements'!B6)</f>
        <v/>
      </c>
      <c r="C19" s="38">
        <f>IF('Technical Requirements'!C6="","",'Technical Requirements'!C6)</f>
        <v/>
      </c>
      <c r="D19" s="38">
        <f>IF('Technical Requirements'!D6="","",'Technical Requirements'!D6)</f>
        <v/>
      </c>
      <c r="E19" s="38">
        <f>IF('Technical Requirements'!E6="","",'Technical Requirements'!E6)</f>
        <v/>
      </c>
      <c r="F19" s="39">
        <f>IF('Technical Requirements'!F6="","",'Technical Requirements'!F6)</f>
        <v/>
      </c>
      <c r="G19" s="38">
        <f>IF('Technical Requirements'!G6="","",'Technical Requirements'!G6)</f>
        <v/>
      </c>
    </row>
    <row r="20">
      <c r="A20" s="40">
        <f>IF('Technical Requirements'!A7="","",'Technical Requirements'!A7)</f>
        <v/>
      </c>
      <c r="B20" s="40">
        <f>IF('Technical Requirements'!B7="","",'Technical Requirements'!B7)</f>
        <v/>
      </c>
      <c r="C20" s="40">
        <f>IF('Technical Requirements'!C7="","",'Technical Requirements'!C7)</f>
        <v/>
      </c>
      <c r="D20" s="40">
        <f>IF('Technical Requirements'!D7="","",'Technical Requirements'!D7)</f>
        <v/>
      </c>
      <c r="E20" s="40">
        <f>IF('Technical Requirements'!E7="","",'Technical Requirements'!E7)</f>
        <v/>
      </c>
      <c r="F20" s="39">
        <f>IF('Technical Requirements'!F7="","",'Technical Requirements'!F7)</f>
        <v/>
      </c>
      <c r="G20" s="40">
        <f>IF('Technical Requirements'!G7="","",'Technical Requirements'!G7)</f>
        <v/>
      </c>
    </row>
    <row r="21">
      <c r="A21" s="38">
        <f>IF('Technical Requirements'!A8="","",'Technical Requirements'!A8)</f>
        <v/>
      </c>
      <c r="B21" s="38">
        <f>IF('Technical Requirements'!B8="","",'Technical Requirements'!B8)</f>
        <v/>
      </c>
      <c r="C21" s="38">
        <f>IF('Technical Requirements'!C8="","",'Technical Requirements'!C8)</f>
        <v/>
      </c>
      <c r="D21" s="38">
        <f>IF('Technical Requirements'!D8="","",'Technical Requirements'!D8)</f>
        <v/>
      </c>
      <c r="E21" s="38">
        <f>IF('Technical Requirements'!E8="","",'Technical Requirements'!E8)</f>
        <v/>
      </c>
      <c r="F21" s="39">
        <f>IF('Technical Requirements'!F8="","",'Technical Requirements'!F8)</f>
        <v/>
      </c>
      <c r="G21" s="38">
        <f>IF('Technical Requirements'!G8="","",'Technical Requirements'!G8)</f>
        <v/>
      </c>
    </row>
    <row r="22">
      <c r="A22" s="40">
        <f>IF('Technical Requirements'!A9="","",'Technical Requirements'!A9)</f>
        <v/>
      </c>
      <c r="B22" s="40">
        <f>IF('Technical Requirements'!B9="","",'Technical Requirements'!B9)</f>
        <v/>
      </c>
      <c r="C22" s="40">
        <f>IF('Technical Requirements'!C9="","",'Technical Requirements'!C9)</f>
        <v/>
      </c>
      <c r="D22" s="40">
        <f>IF('Technical Requirements'!D9="","",'Technical Requirements'!D9)</f>
        <v/>
      </c>
      <c r="E22" s="40">
        <f>IF('Technical Requirements'!E9="","",'Technical Requirements'!E9)</f>
        <v/>
      </c>
      <c r="F22" s="39">
        <f>IF('Technical Requirements'!F9="","",'Technical Requirements'!F9)</f>
        <v/>
      </c>
      <c r="G22" s="40">
        <f>IF('Technical Requirements'!G9="","",'Technical Requirements'!G9)</f>
        <v/>
      </c>
    </row>
    <row r="23">
      <c r="A23" s="38">
        <f>IF('Technical Requirements'!A10="","",'Technical Requirements'!A10)</f>
        <v/>
      </c>
      <c r="B23" s="38">
        <f>IF('Technical Requirements'!B10="","",'Technical Requirements'!B10)</f>
        <v/>
      </c>
      <c r="C23" s="38">
        <f>IF('Technical Requirements'!C10="","",'Technical Requirements'!C10)</f>
        <v/>
      </c>
      <c r="D23" s="38">
        <f>IF('Technical Requirements'!D10="","",'Technical Requirements'!D10)</f>
        <v/>
      </c>
      <c r="E23" s="38">
        <f>IF('Technical Requirements'!E10="","",'Technical Requirements'!E10)</f>
        <v/>
      </c>
      <c r="F23" s="39">
        <f>IF('Technical Requirements'!F10="","",'Technical Requirements'!F10)</f>
        <v/>
      </c>
      <c r="G23" s="38">
        <f>IF('Technical Requirements'!G10="","",'Technical Requirements'!G10)</f>
        <v/>
      </c>
    </row>
    <row r="24">
      <c r="A24" s="40">
        <f>IF('Technical Requirements'!A11="","",'Technical Requirements'!A11)</f>
        <v/>
      </c>
      <c r="B24" s="40">
        <f>IF('Technical Requirements'!B11="","",'Technical Requirements'!B11)</f>
        <v/>
      </c>
      <c r="C24" s="40">
        <f>IF('Technical Requirements'!C11="","",'Technical Requirements'!C11)</f>
        <v/>
      </c>
      <c r="D24" s="40">
        <f>IF('Technical Requirements'!D11="","",'Technical Requirements'!D11)</f>
        <v/>
      </c>
      <c r="E24" s="40">
        <f>IF('Technical Requirements'!E11="","",'Technical Requirements'!E11)</f>
        <v/>
      </c>
      <c r="F24" s="39">
        <f>IF('Technical Requirements'!F11="","",'Technical Requirements'!F11)</f>
        <v/>
      </c>
      <c r="G24" s="40">
        <f>IF('Technical Requirements'!G11="","",'Technical Requirements'!G11)</f>
        <v/>
      </c>
    </row>
    <row r="25">
      <c r="A25" s="38">
        <f>IF('Technical Requirements'!A12="","",'Technical Requirements'!A12)</f>
        <v/>
      </c>
      <c r="B25" s="38">
        <f>IF('Technical Requirements'!B12="","",'Technical Requirements'!B12)</f>
        <v/>
      </c>
      <c r="C25" s="38">
        <f>IF('Technical Requirements'!C12="","",'Technical Requirements'!C12)</f>
        <v/>
      </c>
      <c r="D25" s="38">
        <f>IF('Technical Requirements'!D12="","",'Technical Requirements'!D12)</f>
        <v/>
      </c>
      <c r="E25" s="38">
        <f>IF('Technical Requirements'!E12="","",'Technical Requirements'!E12)</f>
        <v/>
      </c>
      <c r="F25" s="39">
        <f>IF('Technical Requirements'!F12="","",'Technical Requirements'!F12)</f>
        <v/>
      </c>
      <c r="G25" s="38">
        <f>IF('Technical Requirements'!G12="","",'Technical Requirements'!G12)</f>
        <v/>
      </c>
    </row>
    <row r="26">
      <c r="A26" s="40">
        <f>IF('Technical Requirements'!A13="","",'Technical Requirements'!A13)</f>
        <v/>
      </c>
      <c r="B26" s="40">
        <f>IF('Technical Requirements'!B13="","",'Technical Requirements'!B13)</f>
        <v/>
      </c>
      <c r="C26" s="40">
        <f>IF('Technical Requirements'!C13="","",'Technical Requirements'!C13)</f>
        <v/>
      </c>
      <c r="D26" s="40">
        <f>IF('Technical Requirements'!D13="","",'Technical Requirements'!D13)</f>
        <v/>
      </c>
      <c r="E26" s="40">
        <f>IF('Technical Requirements'!E13="","",'Technical Requirements'!E13)</f>
        <v/>
      </c>
      <c r="F26" s="39">
        <f>IF('Technical Requirements'!F13="","",'Technical Requirements'!F13)</f>
        <v/>
      </c>
      <c r="G26" s="40">
        <f>IF('Technical Requirements'!G13="","",'Technical Requirements'!G13)</f>
        <v/>
      </c>
    </row>
    <row r="27">
      <c r="A27" s="38">
        <f>IF('Technical Requirements'!A14="","",'Technical Requirements'!A14)</f>
        <v/>
      </c>
      <c r="B27" s="38">
        <f>IF('Technical Requirements'!B14="","",'Technical Requirements'!B14)</f>
        <v/>
      </c>
      <c r="C27" s="38">
        <f>IF('Technical Requirements'!C14="","",'Technical Requirements'!C14)</f>
        <v/>
      </c>
      <c r="D27" s="38">
        <f>IF('Technical Requirements'!D14="","",'Technical Requirements'!D14)</f>
        <v/>
      </c>
      <c r="E27" s="38">
        <f>IF('Technical Requirements'!E14="","",'Technical Requirements'!E14)</f>
        <v/>
      </c>
      <c r="F27" s="39">
        <f>IF('Technical Requirements'!F14="","",'Technical Requirements'!F14)</f>
        <v/>
      </c>
      <c r="G27" s="38">
        <f>IF('Technical Requirements'!G14="","",'Technical Requirements'!G14)</f>
        <v/>
      </c>
    </row>
    <row r="28">
      <c r="A28" s="40">
        <f>IF('Technical Requirements'!A15="","",'Technical Requirements'!A15)</f>
        <v/>
      </c>
      <c r="B28" s="40">
        <f>IF('Technical Requirements'!B15="","",'Technical Requirements'!B15)</f>
        <v/>
      </c>
      <c r="C28" s="40">
        <f>IF('Technical Requirements'!C15="","",'Technical Requirements'!C15)</f>
        <v/>
      </c>
      <c r="D28" s="40">
        <f>IF('Technical Requirements'!D15="","",'Technical Requirements'!D15)</f>
        <v/>
      </c>
      <c r="E28" s="40">
        <f>IF('Technical Requirements'!E15="","",'Technical Requirements'!E15)</f>
        <v/>
      </c>
      <c r="F28" s="39">
        <f>IF('Technical Requirements'!F15="","",'Technical Requirements'!F15)</f>
        <v/>
      </c>
      <c r="G28" s="40">
        <f>IF('Technical Requirements'!G15="","",'Technical Requirements'!G15)</f>
        <v/>
      </c>
    </row>
    <row r="29">
      <c r="A29" s="38">
        <f>IF('Technical Requirements'!A16="","",'Technical Requirements'!A16)</f>
        <v/>
      </c>
      <c r="B29" s="38">
        <f>IF('Technical Requirements'!B16="","",'Technical Requirements'!B16)</f>
        <v/>
      </c>
      <c r="C29" s="38">
        <f>IF('Technical Requirements'!C16="","",'Technical Requirements'!C16)</f>
        <v/>
      </c>
      <c r="D29" s="38">
        <f>IF('Technical Requirements'!D16="","",'Technical Requirements'!D16)</f>
        <v/>
      </c>
      <c r="E29" s="38">
        <f>IF('Technical Requirements'!E16="","",'Technical Requirements'!E16)</f>
        <v/>
      </c>
      <c r="F29" s="39">
        <f>IF('Technical Requirements'!F16="","",'Technical Requirements'!F16)</f>
        <v/>
      </c>
      <c r="G29" s="38">
        <f>IF('Technical Requirements'!G16="","",'Technical Requirements'!G16)</f>
        <v/>
      </c>
    </row>
    <row r="30">
      <c r="A30" s="40">
        <f>IF('Technical Requirements'!A17="","",'Technical Requirements'!A17)</f>
        <v/>
      </c>
      <c r="B30" s="40">
        <f>IF('Technical Requirements'!B17="","",'Technical Requirements'!B17)</f>
        <v/>
      </c>
      <c r="C30" s="40">
        <f>IF('Technical Requirements'!C17="","",'Technical Requirements'!C17)</f>
        <v/>
      </c>
      <c r="D30" s="40">
        <f>IF('Technical Requirements'!D17="","",'Technical Requirements'!D17)</f>
        <v/>
      </c>
      <c r="E30" s="40">
        <f>IF('Technical Requirements'!E17="","",'Technical Requirements'!E17)</f>
        <v/>
      </c>
      <c r="F30" s="39">
        <f>IF('Technical Requirements'!F17="","",'Technical Requirements'!F17)</f>
        <v/>
      </c>
      <c r="G30" s="40">
        <f>IF('Technical Requirements'!G17="","",'Technical Requirements'!G17)</f>
        <v/>
      </c>
    </row>
    <row r="31">
      <c r="A31" s="38">
        <f>IF('Technical Requirements'!A18="","",'Technical Requirements'!A18)</f>
        <v/>
      </c>
      <c r="B31" s="38">
        <f>IF('Technical Requirements'!B18="","",'Technical Requirements'!B18)</f>
        <v/>
      </c>
      <c r="C31" s="38">
        <f>IF('Technical Requirements'!C18="","",'Technical Requirements'!C18)</f>
        <v/>
      </c>
      <c r="D31" s="38">
        <f>IF('Technical Requirements'!D18="","",'Technical Requirements'!D18)</f>
        <v/>
      </c>
      <c r="E31" s="38">
        <f>IF('Technical Requirements'!E18="","",'Technical Requirements'!E18)</f>
        <v/>
      </c>
      <c r="F31" s="39">
        <f>IF('Technical Requirements'!F18="","",'Technical Requirements'!F18)</f>
        <v/>
      </c>
      <c r="G31" s="38">
        <f>IF('Technical Requirements'!G18="","",'Technical Requirements'!G18)</f>
        <v/>
      </c>
    </row>
    <row r="32">
      <c r="A32" s="40">
        <f>IF('Technical Requirements'!A19="","",'Technical Requirements'!A19)</f>
        <v/>
      </c>
      <c r="B32" s="40">
        <f>IF('Technical Requirements'!B19="","",'Technical Requirements'!B19)</f>
        <v/>
      </c>
      <c r="C32" s="40">
        <f>IF('Technical Requirements'!C19="","",'Technical Requirements'!C19)</f>
        <v/>
      </c>
      <c r="D32" s="40">
        <f>IF('Technical Requirements'!D19="","",'Technical Requirements'!D19)</f>
        <v/>
      </c>
      <c r="E32" s="40">
        <f>IF('Technical Requirements'!E19="","",'Technical Requirements'!E19)</f>
        <v/>
      </c>
      <c r="F32" s="39">
        <f>IF('Technical Requirements'!F19="","",'Technical Requirements'!F19)</f>
        <v/>
      </c>
      <c r="G32" s="40">
        <f>IF('Technical Requirements'!G19="","",'Technical Requirements'!G19)</f>
        <v/>
      </c>
    </row>
    <row r="33">
      <c r="A33" s="38">
        <f>IF('Technical Requirements'!A20="","",'Technical Requirements'!A20)</f>
        <v/>
      </c>
      <c r="B33" s="38">
        <f>IF('Technical Requirements'!B20="","",'Technical Requirements'!B20)</f>
        <v/>
      </c>
      <c r="C33" s="38">
        <f>IF('Technical Requirements'!C20="","",'Technical Requirements'!C20)</f>
        <v/>
      </c>
      <c r="D33" s="38">
        <f>IF('Technical Requirements'!D20="","",'Technical Requirements'!D20)</f>
        <v/>
      </c>
      <c r="E33" s="38">
        <f>IF('Technical Requirements'!E20="","",'Technical Requirements'!E20)</f>
        <v/>
      </c>
      <c r="F33" s="39">
        <f>IF('Technical Requirements'!F20="","",'Technical Requirements'!F20)</f>
        <v/>
      </c>
      <c r="G33" s="38">
        <f>IF('Technical Requirements'!G20="","",'Technical Requirements'!G20)</f>
        <v/>
      </c>
    </row>
    <row r="34">
      <c r="A34" s="40">
        <f>IF('Technical Requirements'!A21="","",'Technical Requirements'!A21)</f>
        <v/>
      </c>
      <c r="B34" s="40">
        <f>IF('Technical Requirements'!B21="","",'Technical Requirements'!B21)</f>
        <v/>
      </c>
      <c r="C34" s="40">
        <f>IF('Technical Requirements'!C21="","",'Technical Requirements'!C21)</f>
        <v/>
      </c>
      <c r="D34" s="40">
        <f>IF('Technical Requirements'!D21="","",'Technical Requirements'!D21)</f>
        <v/>
      </c>
      <c r="E34" s="40">
        <f>IF('Technical Requirements'!E21="","",'Technical Requirements'!E21)</f>
        <v/>
      </c>
      <c r="F34" s="39">
        <f>IF('Technical Requirements'!F21="","",'Technical Requirements'!F21)</f>
        <v/>
      </c>
      <c r="G34" s="40">
        <f>IF('Technical Requirements'!G21="","",'Technical Requirements'!G21)</f>
        <v/>
      </c>
    </row>
    <row r="35">
      <c r="A35" s="38">
        <f>IF('Security &amp; Compliance'!A2="","",'Security &amp; Compliance'!A2)</f>
        <v/>
      </c>
      <c r="B35" s="38">
        <f>IF('Security &amp; Compliance'!B2="","",'Security &amp; Compliance'!B2)</f>
        <v/>
      </c>
      <c r="C35" s="38">
        <f>IF('Security &amp; Compliance'!C2="","",'Security &amp; Compliance'!C2)</f>
        <v/>
      </c>
      <c r="D35" s="38">
        <f>IF('Security &amp; Compliance'!D2="","",'Security &amp; Compliance'!D2)</f>
        <v/>
      </c>
      <c r="E35" s="38">
        <f>IF('Security &amp; Compliance'!E2="","",'Security &amp; Compliance'!E2)</f>
        <v/>
      </c>
      <c r="F35" s="39">
        <f>IF('Security &amp; Compliance'!F2="","",'Security &amp; Compliance'!F2)</f>
        <v/>
      </c>
      <c r="G35" s="38">
        <f>IF('Security &amp; Compliance'!G2="","",'Security &amp; Compliance'!G2)</f>
        <v/>
      </c>
    </row>
    <row r="36">
      <c r="A36" s="40">
        <f>IF('Security &amp; Compliance'!A3="","",'Security &amp; Compliance'!A3)</f>
        <v/>
      </c>
      <c r="B36" s="40">
        <f>IF('Security &amp; Compliance'!B3="","",'Security &amp; Compliance'!B3)</f>
        <v/>
      </c>
      <c r="C36" s="40">
        <f>IF('Security &amp; Compliance'!C3="","",'Security &amp; Compliance'!C3)</f>
        <v/>
      </c>
      <c r="D36" s="40">
        <f>IF('Security &amp; Compliance'!D3="","",'Security &amp; Compliance'!D3)</f>
        <v/>
      </c>
      <c r="E36" s="40">
        <f>IF('Security &amp; Compliance'!E3="","",'Security &amp; Compliance'!E3)</f>
        <v/>
      </c>
      <c r="F36" s="39">
        <f>IF('Security &amp; Compliance'!F3="","",'Security &amp; Compliance'!F3)</f>
        <v/>
      </c>
      <c r="G36" s="40">
        <f>IF('Security &amp; Compliance'!G3="","",'Security &amp; Compliance'!G3)</f>
        <v/>
      </c>
    </row>
    <row r="37">
      <c r="A37" s="38">
        <f>IF('Security &amp; Compliance'!A4="","",'Security &amp; Compliance'!A4)</f>
        <v/>
      </c>
      <c r="B37" s="38">
        <f>IF('Security &amp; Compliance'!B4="","",'Security &amp; Compliance'!B4)</f>
        <v/>
      </c>
      <c r="C37" s="38">
        <f>IF('Security &amp; Compliance'!C4="","",'Security &amp; Compliance'!C4)</f>
        <v/>
      </c>
      <c r="D37" s="38">
        <f>IF('Security &amp; Compliance'!D4="","",'Security &amp; Compliance'!D4)</f>
        <v/>
      </c>
      <c r="E37" s="38">
        <f>IF('Security &amp; Compliance'!E4="","",'Security &amp; Compliance'!E4)</f>
        <v/>
      </c>
      <c r="F37" s="39">
        <f>IF('Security &amp; Compliance'!F4="","",'Security &amp; Compliance'!F4)</f>
        <v/>
      </c>
      <c r="G37" s="38">
        <f>IF('Security &amp; Compliance'!G4="","",'Security &amp; Compliance'!G4)</f>
        <v/>
      </c>
    </row>
    <row r="38">
      <c r="A38" s="40">
        <f>IF('Security &amp; Compliance'!A5="","",'Security &amp; Compliance'!A5)</f>
        <v/>
      </c>
      <c r="B38" s="40">
        <f>IF('Security &amp; Compliance'!B5="","",'Security &amp; Compliance'!B5)</f>
        <v/>
      </c>
      <c r="C38" s="40">
        <f>IF('Security &amp; Compliance'!C5="","",'Security &amp; Compliance'!C5)</f>
        <v/>
      </c>
      <c r="D38" s="40">
        <f>IF('Security &amp; Compliance'!D5="","",'Security &amp; Compliance'!D5)</f>
        <v/>
      </c>
      <c r="E38" s="40">
        <f>IF('Security &amp; Compliance'!E5="","",'Security &amp; Compliance'!E5)</f>
        <v/>
      </c>
      <c r="F38" s="39">
        <f>IF('Security &amp; Compliance'!F5="","",'Security &amp; Compliance'!F5)</f>
        <v/>
      </c>
      <c r="G38" s="40">
        <f>IF('Security &amp; Compliance'!G5="","",'Security &amp; Compliance'!G5)</f>
        <v/>
      </c>
    </row>
    <row r="39">
      <c r="A39" s="38">
        <f>IF('Security &amp; Compliance'!A6="","",'Security &amp; Compliance'!A6)</f>
        <v/>
      </c>
      <c r="B39" s="38">
        <f>IF('Security &amp; Compliance'!B6="","",'Security &amp; Compliance'!B6)</f>
        <v/>
      </c>
      <c r="C39" s="38">
        <f>IF('Security &amp; Compliance'!C6="","",'Security &amp; Compliance'!C6)</f>
        <v/>
      </c>
      <c r="D39" s="38">
        <f>IF('Security &amp; Compliance'!D6="","",'Security &amp; Compliance'!D6)</f>
        <v/>
      </c>
      <c r="E39" s="38">
        <f>IF('Security &amp; Compliance'!E6="","",'Security &amp; Compliance'!E6)</f>
        <v/>
      </c>
      <c r="F39" s="39">
        <f>IF('Security &amp; Compliance'!F6="","",'Security &amp; Compliance'!F6)</f>
        <v/>
      </c>
      <c r="G39" s="38">
        <f>IF('Security &amp; Compliance'!G6="","",'Security &amp; Compliance'!G6)</f>
        <v/>
      </c>
    </row>
    <row r="40">
      <c r="A40" s="40">
        <f>IF('Security &amp; Compliance'!A7="","",'Security &amp; Compliance'!A7)</f>
        <v/>
      </c>
      <c r="B40" s="40">
        <f>IF('Security &amp; Compliance'!B7="","",'Security &amp; Compliance'!B7)</f>
        <v/>
      </c>
      <c r="C40" s="40">
        <f>IF('Security &amp; Compliance'!C7="","",'Security &amp; Compliance'!C7)</f>
        <v/>
      </c>
      <c r="D40" s="40">
        <f>IF('Security &amp; Compliance'!D7="","",'Security &amp; Compliance'!D7)</f>
        <v/>
      </c>
      <c r="E40" s="40">
        <f>IF('Security &amp; Compliance'!E7="","",'Security &amp; Compliance'!E7)</f>
        <v/>
      </c>
      <c r="F40" s="39">
        <f>IF('Security &amp; Compliance'!F7="","",'Security &amp; Compliance'!F7)</f>
        <v/>
      </c>
      <c r="G40" s="40">
        <f>IF('Security &amp; Compliance'!G7="","",'Security &amp; Compliance'!G7)</f>
        <v/>
      </c>
    </row>
    <row r="41">
      <c r="A41" s="38">
        <f>IF('Security &amp; Compliance'!A8="","",'Security &amp; Compliance'!A8)</f>
        <v/>
      </c>
      <c r="B41" s="38">
        <f>IF('Security &amp; Compliance'!B8="","",'Security &amp; Compliance'!B8)</f>
        <v/>
      </c>
      <c r="C41" s="38">
        <f>IF('Security &amp; Compliance'!C8="","",'Security &amp; Compliance'!C8)</f>
        <v/>
      </c>
      <c r="D41" s="38">
        <f>IF('Security &amp; Compliance'!D8="","",'Security &amp; Compliance'!D8)</f>
        <v/>
      </c>
      <c r="E41" s="38">
        <f>IF('Security &amp; Compliance'!E8="","",'Security &amp; Compliance'!E8)</f>
        <v/>
      </c>
      <c r="F41" s="39">
        <f>IF('Security &amp; Compliance'!F8="","",'Security &amp; Compliance'!F8)</f>
        <v/>
      </c>
      <c r="G41" s="38">
        <f>IF('Security &amp; Compliance'!G8="","",'Security &amp; Compliance'!G8)</f>
        <v/>
      </c>
    </row>
    <row r="42">
      <c r="A42" s="40">
        <f>IF('Security &amp; Compliance'!A9="","",'Security &amp; Compliance'!A9)</f>
        <v/>
      </c>
      <c r="B42" s="40">
        <f>IF('Security &amp; Compliance'!B9="","",'Security &amp; Compliance'!B9)</f>
        <v/>
      </c>
      <c r="C42" s="40">
        <f>IF('Security &amp; Compliance'!C9="","",'Security &amp; Compliance'!C9)</f>
        <v/>
      </c>
      <c r="D42" s="40">
        <f>IF('Security &amp; Compliance'!D9="","",'Security &amp; Compliance'!D9)</f>
        <v/>
      </c>
      <c r="E42" s="40">
        <f>IF('Security &amp; Compliance'!E9="","",'Security &amp; Compliance'!E9)</f>
        <v/>
      </c>
      <c r="F42" s="39">
        <f>IF('Security &amp; Compliance'!F9="","",'Security &amp; Compliance'!F9)</f>
        <v/>
      </c>
      <c r="G42" s="40">
        <f>IF('Security &amp; Compliance'!G9="","",'Security &amp; Compliance'!G9)</f>
        <v/>
      </c>
    </row>
    <row r="43">
      <c r="A43" s="38">
        <f>IF('Security &amp; Compliance'!A10="","",'Security &amp; Compliance'!A10)</f>
        <v/>
      </c>
      <c r="B43" s="38">
        <f>IF('Security &amp; Compliance'!B10="","",'Security &amp; Compliance'!B10)</f>
        <v/>
      </c>
      <c r="C43" s="38">
        <f>IF('Security &amp; Compliance'!C10="","",'Security &amp; Compliance'!C10)</f>
        <v/>
      </c>
      <c r="D43" s="38">
        <f>IF('Security &amp; Compliance'!D10="","",'Security &amp; Compliance'!D10)</f>
        <v/>
      </c>
      <c r="E43" s="38">
        <f>IF('Security &amp; Compliance'!E10="","",'Security &amp; Compliance'!E10)</f>
        <v/>
      </c>
      <c r="F43" s="39">
        <f>IF('Security &amp; Compliance'!F10="","",'Security &amp; Compliance'!F10)</f>
        <v/>
      </c>
      <c r="G43" s="38">
        <f>IF('Security &amp; Compliance'!G10="","",'Security &amp; Compliance'!G10)</f>
        <v/>
      </c>
    </row>
    <row r="44">
      <c r="A44" s="40">
        <f>IF('Security &amp; Compliance'!A11="","",'Security &amp; Compliance'!A11)</f>
        <v/>
      </c>
      <c r="B44" s="40">
        <f>IF('Security &amp; Compliance'!B11="","",'Security &amp; Compliance'!B11)</f>
        <v/>
      </c>
      <c r="C44" s="40">
        <f>IF('Security &amp; Compliance'!C11="","",'Security &amp; Compliance'!C11)</f>
        <v/>
      </c>
      <c r="D44" s="40">
        <f>IF('Security &amp; Compliance'!D11="","",'Security &amp; Compliance'!D11)</f>
        <v/>
      </c>
      <c r="E44" s="40">
        <f>IF('Security &amp; Compliance'!E11="","",'Security &amp; Compliance'!E11)</f>
        <v/>
      </c>
      <c r="F44" s="39">
        <f>IF('Security &amp; Compliance'!F11="","",'Security &amp; Compliance'!F11)</f>
        <v/>
      </c>
      <c r="G44" s="40">
        <f>IF('Security &amp; Compliance'!G11="","",'Security &amp; Compliance'!G11)</f>
        <v/>
      </c>
    </row>
    <row r="45">
      <c r="A45" s="38">
        <f>IF('Security &amp; Compliance'!A12="","",'Security &amp; Compliance'!A12)</f>
        <v/>
      </c>
      <c r="B45" s="38">
        <f>IF('Security &amp; Compliance'!B12="","",'Security &amp; Compliance'!B12)</f>
        <v/>
      </c>
      <c r="C45" s="38">
        <f>IF('Security &amp; Compliance'!C12="","",'Security &amp; Compliance'!C12)</f>
        <v/>
      </c>
      <c r="D45" s="38">
        <f>IF('Security &amp; Compliance'!D12="","",'Security &amp; Compliance'!D12)</f>
        <v/>
      </c>
      <c r="E45" s="38">
        <f>IF('Security &amp; Compliance'!E12="","",'Security &amp; Compliance'!E12)</f>
        <v/>
      </c>
      <c r="F45" s="39">
        <f>IF('Security &amp; Compliance'!F12="","",'Security &amp; Compliance'!F12)</f>
        <v/>
      </c>
      <c r="G45" s="38">
        <f>IF('Security &amp; Compliance'!G12="","",'Security &amp; Compliance'!G12)</f>
        <v/>
      </c>
    </row>
    <row r="46">
      <c r="A46" s="40">
        <f>IF('Implementation Planning'!A2="","",'Implementation Planning'!A2)</f>
        <v/>
      </c>
      <c r="B46" s="40">
        <f>IF('Implementation Planning'!B2="","",'Implementation Planning'!B2)</f>
        <v/>
      </c>
      <c r="C46" s="40">
        <f>IF('Implementation Planning'!C2="","",'Implementation Planning'!C2)</f>
        <v/>
      </c>
      <c r="D46" s="40">
        <f>IF('Implementation Planning'!D2="","",'Implementation Planning'!D2)</f>
        <v/>
      </c>
      <c r="E46" s="40">
        <f>IF('Implementation Planning'!E2="","",'Implementation Planning'!E2)</f>
        <v/>
      </c>
      <c r="F46" s="39">
        <f>IF('Implementation Planning'!F2="","",'Implementation Planning'!F2)</f>
        <v/>
      </c>
      <c r="G46" s="40">
        <f>IF('Implementation Planning'!G2="","",'Implementation Planning'!G2)</f>
        <v/>
      </c>
    </row>
    <row r="47">
      <c r="A47" s="38">
        <f>IF('Implementation Planning'!A3="","",'Implementation Planning'!A3)</f>
        <v/>
      </c>
      <c r="B47" s="38">
        <f>IF('Implementation Planning'!B3="","",'Implementation Planning'!B3)</f>
        <v/>
      </c>
      <c r="C47" s="38">
        <f>IF('Implementation Planning'!C3="","",'Implementation Planning'!C3)</f>
        <v/>
      </c>
      <c r="D47" s="38">
        <f>IF('Implementation Planning'!D3="","",'Implementation Planning'!D3)</f>
        <v/>
      </c>
      <c r="E47" s="38">
        <f>IF('Implementation Planning'!E3="","",'Implementation Planning'!E3)</f>
        <v/>
      </c>
      <c r="F47" s="39">
        <f>IF('Implementation Planning'!F3="","",'Implementation Planning'!F3)</f>
        <v/>
      </c>
      <c r="G47" s="38">
        <f>IF('Implementation Planning'!G3="","",'Implementation Planning'!G3)</f>
        <v/>
      </c>
    </row>
    <row r="48">
      <c r="A48" s="40">
        <f>IF('Implementation Planning'!A4="","",'Implementation Planning'!A4)</f>
        <v/>
      </c>
      <c r="B48" s="40">
        <f>IF('Implementation Planning'!B4="","",'Implementation Planning'!B4)</f>
        <v/>
      </c>
      <c r="C48" s="40">
        <f>IF('Implementation Planning'!C4="","",'Implementation Planning'!C4)</f>
        <v/>
      </c>
      <c r="D48" s="40">
        <f>IF('Implementation Planning'!D4="","",'Implementation Planning'!D4)</f>
        <v/>
      </c>
      <c r="E48" s="40">
        <f>IF('Implementation Planning'!E4="","",'Implementation Planning'!E4)</f>
        <v/>
      </c>
      <c r="F48" s="39">
        <f>IF('Implementation Planning'!F4="","",'Implementation Planning'!F4)</f>
        <v/>
      </c>
      <c r="G48" s="40">
        <f>IF('Implementation Planning'!G4="","",'Implementation Planning'!G4)</f>
        <v/>
      </c>
    </row>
    <row r="49">
      <c r="A49" s="38">
        <f>IF('Implementation Planning'!A5="","",'Implementation Planning'!A5)</f>
        <v/>
      </c>
      <c r="B49" s="38">
        <f>IF('Implementation Planning'!B5="","",'Implementation Planning'!B5)</f>
        <v/>
      </c>
      <c r="C49" s="38">
        <f>IF('Implementation Planning'!C5="","",'Implementation Planning'!C5)</f>
        <v/>
      </c>
      <c r="D49" s="38">
        <f>IF('Implementation Planning'!D5="","",'Implementation Planning'!D5)</f>
        <v/>
      </c>
      <c r="E49" s="38">
        <f>IF('Implementation Planning'!E5="","",'Implementation Planning'!E5)</f>
        <v/>
      </c>
      <c r="F49" s="39">
        <f>IF('Implementation Planning'!F5="","",'Implementation Planning'!F5)</f>
        <v/>
      </c>
      <c r="G49" s="38">
        <f>IF('Implementation Planning'!G5="","",'Implementation Planning'!G5)</f>
        <v/>
      </c>
    </row>
    <row r="50">
      <c r="A50" s="40">
        <f>IF('Implementation Planning'!A6="","",'Implementation Planning'!A6)</f>
        <v/>
      </c>
      <c r="B50" s="40">
        <f>IF('Implementation Planning'!B6="","",'Implementation Planning'!B6)</f>
        <v/>
      </c>
      <c r="C50" s="40">
        <f>IF('Implementation Planning'!C6="","",'Implementation Planning'!C6)</f>
        <v/>
      </c>
      <c r="D50" s="40">
        <f>IF('Implementation Planning'!D6="","",'Implementation Planning'!D6)</f>
        <v/>
      </c>
      <c r="E50" s="40">
        <f>IF('Implementation Planning'!E6="","",'Implementation Planning'!E6)</f>
        <v/>
      </c>
      <c r="F50" s="39">
        <f>IF('Implementation Planning'!F6="","",'Implementation Planning'!F6)</f>
        <v/>
      </c>
      <c r="G50" s="40">
        <f>IF('Implementation Planning'!G6="","",'Implementation Planning'!G6)</f>
        <v/>
      </c>
    </row>
    <row r="51">
      <c r="A51" s="38">
        <f>IF('Implementation Planning'!A7="","",'Implementation Planning'!A7)</f>
        <v/>
      </c>
      <c r="B51" s="38">
        <f>IF('Implementation Planning'!B7="","",'Implementation Planning'!B7)</f>
        <v/>
      </c>
      <c r="C51" s="38">
        <f>IF('Implementation Planning'!C7="","",'Implementation Planning'!C7)</f>
        <v/>
      </c>
      <c r="D51" s="38">
        <f>IF('Implementation Planning'!D7="","",'Implementation Planning'!D7)</f>
        <v/>
      </c>
      <c r="E51" s="38">
        <f>IF('Implementation Planning'!E7="","",'Implementation Planning'!E7)</f>
        <v/>
      </c>
      <c r="F51" s="39">
        <f>IF('Implementation Planning'!F7="","",'Implementation Planning'!F7)</f>
        <v/>
      </c>
      <c r="G51" s="38">
        <f>IF('Implementation Planning'!G7="","",'Implementation Planning'!G7)</f>
        <v/>
      </c>
    </row>
    <row r="52">
      <c r="A52" s="40">
        <f>IF('Implementation Planning'!A8="","",'Implementation Planning'!A8)</f>
        <v/>
      </c>
      <c r="B52" s="40">
        <f>IF('Implementation Planning'!B8="","",'Implementation Planning'!B8)</f>
        <v/>
      </c>
      <c r="C52" s="40">
        <f>IF('Implementation Planning'!C8="","",'Implementation Planning'!C8)</f>
        <v/>
      </c>
      <c r="D52" s="40">
        <f>IF('Implementation Planning'!D8="","",'Implementation Planning'!D8)</f>
        <v/>
      </c>
      <c r="E52" s="40">
        <f>IF('Implementation Planning'!E8="","",'Implementation Planning'!E8)</f>
        <v/>
      </c>
      <c r="F52" s="39">
        <f>IF('Implementation Planning'!F8="","",'Implementation Planning'!F8)</f>
        <v/>
      </c>
      <c r="G52" s="40">
        <f>IF('Implementation Planning'!G8="","",'Implementation Planning'!G8)</f>
        <v/>
      </c>
    </row>
    <row r="53">
      <c r="A53" s="38">
        <f>IF('Implementation Planning'!A9="","",'Implementation Planning'!A9)</f>
        <v/>
      </c>
      <c r="B53" s="38">
        <f>IF('Implementation Planning'!B9="","",'Implementation Planning'!B9)</f>
        <v/>
      </c>
      <c r="C53" s="38">
        <f>IF('Implementation Planning'!C9="","",'Implementation Planning'!C9)</f>
        <v/>
      </c>
      <c r="D53" s="38">
        <f>IF('Implementation Planning'!D9="","",'Implementation Planning'!D9)</f>
        <v/>
      </c>
      <c r="E53" s="38">
        <f>IF('Implementation Planning'!E9="","",'Implementation Planning'!E9)</f>
        <v/>
      </c>
      <c r="F53" s="39">
        <f>IF('Implementation Planning'!F9="","",'Implementation Planning'!F9)</f>
        <v/>
      </c>
      <c r="G53" s="38">
        <f>IF('Implementation Planning'!G9="","",'Implementation Planning'!G9)</f>
        <v/>
      </c>
    </row>
    <row r="54">
      <c r="A54" s="40">
        <f>IF('Implementation Planning'!A10="","",'Implementation Planning'!A10)</f>
        <v/>
      </c>
      <c r="B54" s="40">
        <f>IF('Implementation Planning'!B10="","",'Implementation Planning'!B10)</f>
        <v/>
      </c>
      <c r="C54" s="40">
        <f>IF('Implementation Planning'!C10="","",'Implementation Planning'!C10)</f>
        <v/>
      </c>
      <c r="D54" s="40">
        <f>IF('Implementation Planning'!D10="","",'Implementation Planning'!D10)</f>
        <v/>
      </c>
      <c r="E54" s="40">
        <f>IF('Implementation Planning'!E10="","",'Implementation Planning'!E10)</f>
        <v/>
      </c>
      <c r="F54" s="39">
        <f>IF('Implementation Planning'!F10="","",'Implementation Planning'!F10)</f>
        <v/>
      </c>
      <c r="G54" s="40">
        <f>IF('Implementation Planning'!G10="","",'Implementation Planning'!G10)</f>
        <v/>
      </c>
    </row>
    <row r="55">
      <c r="A55" s="38">
        <f>IF('Operations &amp; Support'!A2="","",'Operations &amp; Support'!A2)</f>
        <v/>
      </c>
      <c r="B55" s="38">
        <f>IF('Operations &amp; Support'!B2="","",'Operations &amp; Support'!B2)</f>
        <v/>
      </c>
      <c r="C55" s="38">
        <f>IF('Operations &amp; Support'!C2="","",'Operations &amp; Support'!C2)</f>
        <v/>
      </c>
      <c r="D55" s="38">
        <f>IF('Operations &amp; Support'!D2="","",'Operations &amp; Support'!D2)</f>
        <v/>
      </c>
      <c r="E55" s="38">
        <f>IF('Operations &amp; Support'!E2="","",'Operations &amp; Support'!E2)</f>
        <v/>
      </c>
      <c r="F55" s="39">
        <f>IF('Operations &amp; Support'!F2="","",'Operations &amp; Support'!F2)</f>
        <v/>
      </c>
      <c r="G55" s="38">
        <f>IF('Operations &amp; Support'!G2="","",'Operations &amp; Support'!G2)</f>
        <v/>
      </c>
    </row>
    <row r="56">
      <c r="A56" s="40">
        <f>IF('Operations &amp; Support'!A3="","",'Operations &amp; Support'!A3)</f>
        <v/>
      </c>
      <c r="B56" s="40">
        <f>IF('Operations &amp; Support'!B3="","",'Operations &amp; Support'!B3)</f>
        <v/>
      </c>
      <c r="C56" s="40">
        <f>IF('Operations &amp; Support'!C3="","",'Operations &amp; Support'!C3)</f>
        <v/>
      </c>
      <c r="D56" s="40">
        <f>IF('Operations &amp; Support'!D3="","",'Operations &amp; Support'!D3)</f>
        <v/>
      </c>
      <c r="E56" s="40">
        <f>IF('Operations &amp; Support'!E3="","",'Operations &amp; Support'!E3)</f>
        <v/>
      </c>
      <c r="F56" s="39">
        <f>IF('Operations &amp; Support'!F3="","",'Operations &amp; Support'!F3)</f>
        <v/>
      </c>
      <c r="G56" s="40">
        <f>IF('Operations &amp; Support'!G3="","",'Operations &amp; Support'!G3)</f>
        <v/>
      </c>
    </row>
    <row r="57">
      <c r="A57" s="38">
        <f>IF('Operations &amp; Support'!A4="","",'Operations &amp; Support'!A4)</f>
        <v/>
      </c>
      <c r="B57" s="38">
        <f>IF('Operations &amp; Support'!B4="","",'Operations &amp; Support'!B4)</f>
        <v/>
      </c>
      <c r="C57" s="38">
        <f>IF('Operations &amp; Support'!C4="","",'Operations &amp; Support'!C4)</f>
        <v/>
      </c>
      <c r="D57" s="38">
        <f>IF('Operations &amp; Support'!D4="","",'Operations &amp; Support'!D4)</f>
        <v/>
      </c>
      <c r="E57" s="38">
        <f>IF('Operations &amp; Support'!E4="","",'Operations &amp; Support'!E4)</f>
        <v/>
      </c>
      <c r="F57" s="39">
        <f>IF('Operations &amp; Support'!F4="","",'Operations &amp; Support'!F4)</f>
        <v/>
      </c>
      <c r="G57" s="38">
        <f>IF('Operations &amp; Support'!G4="","",'Operations &amp; Support'!G4)</f>
        <v/>
      </c>
    </row>
    <row r="58">
      <c r="A58" s="40">
        <f>IF('Operations &amp; Support'!A5="","",'Operations &amp; Support'!A5)</f>
        <v/>
      </c>
      <c r="B58" s="40">
        <f>IF('Operations &amp; Support'!B5="","",'Operations &amp; Support'!B5)</f>
        <v/>
      </c>
      <c r="C58" s="40">
        <f>IF('Operations &amp; Support'!C5="","",'Operations &amp; Support'!C5)</f>
        <v/>
      </c>
      <c r="D58" s="40">
        <f>IF('Operations &amp; Support'!D5="","",'Operations &amp; Support'!D5)</f>
        <v/>
      </c>
      <c r="E58" s="40">
        <f>IF('Operations &amp; Support'!E5="","",'Operations &amp; Support'!E5)</f>
        <v/>
      </c>
      <c r="F58" s="39">
        <f>IF('Operations &amp; Support'!F5="","",'Operations &amp; Support'!F5)</f>
        <v/>
      </c>
      <c r="G58" s="40">
        <f>IF('Operations &amp; Support'!G5="","",'Operations &amp; Support'!G5)</f>
        <v/>
      </c>
    </row>
    <row r="59">
      <c r="A59" s="38">
        <f>IF('Operations &amp; Support'!A6="","",'Operations &amp; Support'!A6)</f>
        <v/>
      </c>
      <c r="B59" s="38">
        <f>IF('Operations &amp; Support'!B6="","",'Operations &amp; Support'!B6)</f>
        <v/>
      </c>
      <c r="C59" s="38">
        <f>IF('Operations &amp; Support'!C6="","",'Operations &amp; Support'!C6)</f>
        <v/>
      </c>
      <c r="D59" s="38">
        <f>IF('Operations &amp; Support'!D6="","",'Operations &amp; Support'!D6)</f>
        <v/>
      </c>
      <c r="E59" s="38">
        <f>IF('Operations &amp; Support'!E6="","",'Operations &amp; Support'!E6)</f>
        <v/>
      </c>
      <c r="F59" s="39">
        <f>IF('Operations &amp; Support'!F6="","",'Operations &amp; Support'!F6)</f>
        <v/>
      </c>
      <c r="G59" s="38">
        <f>IF('Operations &amp; Support'!G6="","",'Operations &amp; Support'!G6)</f>
        <v/>
      </c>
    </row>
    <row r="60">
      <c r="A60" s="40">
        <f>IF('Operations &amp; Support'!A7="","",'Operations &amp; Support'!A7)</f>
        <v/>
      </c>
      <c r="B60" s="40">
        <f>IF('Operations &amp; Support'!B7="","",'Operations &amp; Support'!B7)</f>
        <v/>
      </c>
      <c r="C60" s="40">
        <f>IF('Operations &amp; Support'!C7="","",'Operations &amp; Support'!C7)</f>
        <v/>
      </c>
      <c r="D60" s="40">
        <f>IF('Operations &amp; Support'!D7="","",'Operations &amp; Support'!D7)</f>
        <v/>
      </c>
      <c r="E60" s="40">
        <f>IF('Operations &amp; Support'!E7="","",'Operations &amp; Support'!E7)</f>
        <v/>
      </c>
      <c r="F60" s="39">
        <f>IF('Operations &amp; Support'!F7="","",'Operations &amp; Support'!F7)</f>
        <v/>
      </c>
      <c r="G60" s="40">
        <f>IF('Operations &amp; Support'!G7="","",'Operations &amp; Support'!G7)</f>
        <v/>
      </c>
    </row>
    <row r="61">
      <c r="A61" s="38">
        <f>IF('Operations &amp; Support'!A8="","",'Operations &amp; Support'!A8)</f>
        <v/>
      </c>
      <c r="B61" s="38">
        <f>IF('Operations &amp; Support'!B8="","",'Operations &amp; Support'!B8)</f>
        <v/>
      </c>
      <c r="C61" s="38">
        <f>IF('Operations &amp; Support'!C8="","",'Operations &amp; Support'!C8)</f>
        <v/>
      </c>
      <c r="D61" s="38">
        <f>IF('Operations &amp; Support'!D8="","",'Operations &amp; Support'!D8)</f>
        <v/>
      </c>
      <c r="E61" s="38">
        <f>IF('Operations &amp; Support'!E8="","",'Operations &amp; Support'!E8)</f>
        <v/>
      </c>
      <c r="F61" s="39">
        <f>IF('Operations &amp; Support'!F8="","",'Operations &amp; Support'!F8)</f>
        <v/>
      </c>
      <c r="G61" s="38">
        <f>IF('Operations &amp; Support'!G8="","",'Operations &amp; Support'!G8)</f>
        <v/>
      </c>
    </row>
    <row r="62">
      <c r="A62" s="40">
        <f>IF('Operations &amp; Support'!A9="","",'Operations &amp; Support'!A9)</f>
        <v/>
      </c>
      <c r="B62" s="40">
        <f>IF('Operations &amp; Support'!B9="","",'Operations &amp; Support'!B9)</f>
        <v/>
      </c>
      <c r="C62" s="40">
        <f>IF('Operations &amp; Support'!C9="","",'Operations &amp; Support'!C9)</f>
        <v/>
      </c>
      <c r="D62" s="40">
        <f>IF('Operations &amp; Support'!D9="","",'Operations &amp; Support'!D9)</f>
        <v/>
      </c>
      <c r="E62" s="40">
        <f>IF('Operations &amp; Support'!E9="","",'Operations &amp; Support'!E9)</f>
        <v/>
      </c>
      <c r="F62" s="39">
        <f>IF('Operations &amp; Support'!F9="","",'Operations &amp; Support'!F9)</f>
        <v/>
      </c>
      <c r="G62" s="40">
        <f>IF('Operations &amp; Support'!G9="","",'Operations &amp; Support'!G9)</f>
        <v/>
      </c>
    </row>
    <row r="63">
      <c r="A63" s="38">
        <f>IF('Risk &amp; Constraints'!A2="","",'Risk &amp; Constraints'!A2)</f>
        <v/>
      </c>
      <c r="B63" s="38">
        <f>IF('Risk &amp; Constraints'!B2="","",'Risk &amp; Constraints'!B2)</f>
        <v/>
      </c>
      <c r="C63" s="38">
        <f>IF('Risk &amp; Constraints'!C2="","",'Risk &amp; Constraints'!C2)</f>
        <v/>
      </c>
      <c r="D63" s="38">
        <f>IF('Risk &amp; Constraints'!D2="","",'Risk &amp; Constraints'!D2)</f>
        <v/>
      </c>
      <c r="E63" s="38">
        <f>IF('Risk &amp; Constraints'!E2="","",'Risk &amp; Constraints'!E2)</f>
        <v/>
      </c>
      <c r="F63" s="39">
        <f>IF('Risk &amp; Constraints'!F2="","",'Risk &amp; Constraints'!F2)</f>
        <v/>
      </c>
      <c r="G63" s="38">
        <f>IF('Risk &amp; Constraints'!G2="","",'Risk &amp; Constraints'!G2)</f>
        <v/>
      </c>
    </row>
    <row r="64">
      <c r="A64" s="40">
        <f>IF('Risk &amp; Constraints'!A3="","",'Risk &amp; Constraints'!A3)</f>
        <v/>
      </c>
      <c r="B64" s="40">
        <f>IF('Risk &amp; Constraints'!B3="","",'Risk &amp; Constraints'!B3)</f>
        <v/>
      </c>
      <c r="C64" s="40">
        <f>IF('Risk &amp; Constraints'!C3="","",'Risk &amp; Constraints'!C3)</f>
        <v/>
      </c>
      <c r="D64" s="40">
        <f>IF('Risk &amp; Constraints'!D3="","",'Risk &amp; Constraints'!D3)</f>
        <v/>
      </c>
      <c r="E64" s="40">
        <f>IF('Risk &amp; Constraints'!E3="","",'Risk &amp; Constraints'!E3)</f>
        <v/>
      </c>
      <c r="F64" s="39">
        <f>IF('Risk &amp; Constraints'!F3="","",'Risk &amp; Constraints'!F3)</f>
        <v/>
      </c>
      <c r="G64" s="40">
        <f>IF('Risk &amp; Constraints'!G3="","",'Risk &amp; Constraints'!G3)</f>
        <v/>
      </c>
    </row>
    <row r="65">
      <c r="A65" s="38">
        <f>IF('Risk &amp; Constraints'!A4="","",'Risk &amp; Constraints'!A4)</f>
        <v/>
      </c>
      <c r="B65" s="38">
        <f>IF('Risk &amp; Constraints'!B4="","",'Risk &amp; Constraints'!B4)</f>
        <v/>
      </c>
      <c r="C65" s="38">
        <f>IF('Risk &amp; Constraints'!C4="","",'Risk &amp; Constraints'!C4)</f>
        <v/>
      </c>
      <c r="D65" s="38">
        <f>IF('Risk &amp; Constraints'!D4="","",'Risk &amp; Constraints'!D4)</f>
        <v/>
      </c>
      <c r="E65" s="38">
        <f>IF('Risk &amp; Constraints'!E4="","",'Risk &amp; Constraints'!E4)</f>
        <v/>
      </c>
      <c r="F65" s="39">
        <f>IF('Risk &amp; Constraints'!F4="","",'Risk &amp; Constraints'!F4)</f>
        <v/>
      </c>
      <c r="G65" s="38">
        <f>IF('Risk &amp; Constraints'!G4="","",'Risk &amp; Constraints'!G4)</f>
        <v/>
      </c>
    </row>
    <row r="66">
      <c r="A66" s="40">
        <f>IF('Risk &amp; Constraints'!A5="","",'Risk &amp; Constraints'!A5)</f>
        <v/>
      </c>
      <c r="B66" s="40">
        <f>IF('Risk &amp; Constraints'!B5="","",'Risk &amp; Constraints'!B5)</f>
        <v/>
      </c>
      <c r="C66" s="40">
        <f>IF('Risk &amp; Constraints'!C5="","",'Risk &amp; Constraints'!C5)</f>
        <v/>
      </c>
      <c r="D66" s="40">
        <f>IF('Risk &amp; Constraints'!D5="","",'Risk &amp; Constraints'!D5)</f>
        <v/>
      </c>
      <c r="E66" s="40">
        <f>IF('Risk &amp; Constraints'!E5="","",'Risk &amp; Constraints'!E5)</f>
        <v/>
      </c>
      <c r="F66" s="39">
        <f>IF('Risk &amp; Constraints'!F5="","",'Risk &amp; Constraints'!F5)</f>
        <v/>
      </c>
      <c r="G66" s="40">
        <f>IF('Risk &amp; Constraints'!G5="","",'Risk &amp; Constraints'!G5)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top 3–5 clinical and operational pain points driving the CDS platform initiative?</t>
        </is>
      </c>
      <c r="E2" s="40" t="inlineStr">
        <is>
          <t>Describe current gaps in sepsis detection, readmission prevention, and alert fatigue in detail</t>
        </is>
      </c>
      <c r="F2" s="39" t="n"/>
      <c r="G2" s="40" t="inlineStr">
        <is>
          <t>Aligns technical solution with clinical and operational outcomes; drives feature prioritization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Success Criteria</t>
        </is>
      </c>
      <c r="D3" s="38" t="inlineStr">
        <is>
          <t>How will you measure the success of the CDS platform across sepsis mortality, readmission rates, and alert fatigue?</t>
        </is>
      </c>
      <c r="E3" s="38" t="inlineStr">
        <is>
          <t>Quantify targets: e.g. 15% sepsis mortality reduction, 20% readmission reduction, 40% false-positive decrease</t>
        </is>
      </c>
      <c r="F3" s="39" t="n"/>
      <c r="G3" s="38" t="inlineStr">
        <is>
          <t>Defines measurable KPIs required for project sign-off and ongoing model performance reviews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clinical staff adoption rate is acceptable within 90 days of go-live at each facility?</t>
        </is>
      </c>
      <c r="E4" s="40" t="inlineStr">
        <is>
          <t>Target is ≥75%; how will adoption be measured (logins, alert acknowledgements, workflow integration)?</t>
        </is>
      </c>
      <c r="F4" s="39" t="n"/>
      <c r="G4" s="40" t="inlineStr">
        <is>
          <t>Adoption metrics drive change management plan and training scope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Stakeholders</t>
        </is>
      </c>
      <c r="D5" s="38" t="inlineStr">
        <is>
          <t>Who are the key clinical and IT decision-makers and what are their sign-off authorities at each project phase?</t>
        </is>
      </c>
      <c r="E5" s="38" t="inlineStr">
        <is>
          <t>Identify CMO, CIO, Clinical Informatics Lead, CISO, EHR Integration Lead, and their approval roles</t>
        </is>
      </c>
      <c r="F5" s="39" t="n"/>
      <c r="G5" s="38" t="inlineStr">
        <is>
          <t>Governance map needed to structure steering committee and escalation paths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Business Drivers</t>
        </is>
      </c>
      <c r="D6" s="40" t="inlineStr">
        <is>
          <t>What specific clinical workflows (nursing, physician, rapid-response team) will be most affected by AI-generated alerts?</t>
        </is>
      </c>
      <c r="E6" s="40" t="inlineStr">
        <is>
          <t>Describe current alert consumption workflows across acute care, ICU, and ambulatory settings</t>
        </is>
      </c>
      <c r="F6" s="39" t="n"/>
      <c r="G6" s="40" t="inlineStr">
        <is>
          <t>Workflow impact analysis drives UX design and alert routing architecture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Timeline</t>
        </is>
      </c>
      <c r="D7" s="38" t="inlineStr">
        <is>
          <t>Is the Phase 1 (sepsis MVP) delivery date of 2026-10-31 a firm deadline, and what are the consequences if it slips past the Joint Commission review in November 2026?</t>
        </is>
      </c>
      <c r="E7" s="38" t="inlineStr">
        <is>
          <t>Confirm hard deadline and describe fallback plan if delivery is delayed</t>
        </is>
      </c>
      <c r="F7" s="39" t="n"/>
      <c r="G7" s="38" t="inlineStr">
        <is>
          <t>Joint Commission review is a regulatory constraint; any timeline risk must be flagged immediately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Please confirm the approved budget range ($1.2M–$1.6M) and the breakdown between implementation services, AWS run costs, and licensing.</t>
        </is>
      </c>
      <c r="E8" s="40" t="inlineStr">
        <is>
          <t>Clarify CapEx vs. OpEx split, internal resource allocation, and contingency reserve</t>
        </is>
      </c>
      <c r="F8" s="39" t="n"/>
      <c r="G8" s="40" t="inlineStr">
        <is>
          <t>Budget envelope drives design decisions on managed vs. self-managed services and model complexity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Budget</t>
        </is>
      </c>
      <c r="D9" s="38" t="inlineStr">
        <is>
          <t>What is the approved monthly AWS steady-state budget range ($18K–$24K/month), and who holds approval authority for overages?</t>
        </is>
      </c>
      <c r="E9" s="38" t="inlineStr">
        <is>
          <t>Confirm budget owner and approval threshold for unexpected cost spikes</t>
        </is>
      </c>
      <c r="F9" s="39" t="n"/>
      <c r="G9" s="38" t="inlineStr">
        <is>
          <t>Cost governance drives right-sizing decisions for SageMaker, Kinesis, HealthLake, and Bedrock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Regulatory Drivers</t>
        </is>
      </c>
      <c r="D10" s="40" t="inlineStr">
        <is>
          <t>Beyond HIPAA and HITECH, are there any state-level healthcare data privacy regulations (e.g. Tennessee data breach law) or Joint Commission standards that must be addressed?</t>
        </is>
      </c>
      <c r="E10" s="40" t="inlineStr">
        <is>
          <t>List all regulatory frameworks that apply to PHI handling and clinical AI decision support</t>
        </is>
      </c>
      <c r="F10" s="39" t="n"/>
      <c r="G10" s="40" t="inlineStr">
        <is>
          <t>Regulatory scope determines audit log design, PHI de-identification requirements, and model governance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Stakeholders</t>
        </is>
      </c>
      <c r="D11" s="38" t="inlineStr">
        <is>
          <t>Has MedCore engaged its clinical ethics committee or patient safety board regarding AI-driven clinical alerts?</t>
        </is>
      </c>
      <c r="E11" s="38" t="inlineStr">
        <is>
          <t>Describe any internal governance reviews required before deploying AI risk scores at the bedside</t>
        </is>
      </c>
      <c r="F11" s="39" t="n"/>
      <c r="G11" s="38" t="inlineStr">
        <is>
          <t>Clinical AI governance sign-off may add lead time; needs to be factored into Phase 1 timeline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Describe your current Epic EHR deployment — version, hosting model (Epic-hosted vs. on-premise), and which FHIR R4 API resources are currently enabled.</t>
        </is>
      </c>
      <c r="E2" s="40" t="inlineStr">
        <is>
          <t>Include Epic version, Interconnect configuration, and list of exposed FHIR R4 resource types (Observation, Patient, Encounter, MedicationRequest, etc.)</t>
        </is>
      </c>
      <c r="F2" s="39" t="n"/>
      <c r="G2" s="40" t="inlineStr">
        <is>
          <t>Epic API capability directly determines which clinical data elements are available for model features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Describe your Mirth Connect integration engine deployment — version, current message volume (HL7 v2.3 messages/day), and existing outbound channel configurations.</t>
        </is>
      </c>
      <c r="E3" s="38" t="inlineStr">
        <is>
          <t>Include Mirth Connect version, server specs, and daily HL7 v2.3 message throughput from Philips and GE monitors</t>
        </is>
      </c>
      <c r="F3" s="39" t="n"/>
      <c r="G3" s="38" t="inlineStr">
        <is>
          <t>Mirth Connect throughput and version determine the event-driven ingestion architecture into AWS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Data Sources</t>
        </is>
      </c>
      <c r="D4" s="40" t="inlineStr">
        <is>
          <t>What structured patient data elements are currently captured and available for model features (vitals, labs, medications, EHR events)?</t>
        </is>
      </c>
      <c r="E4" s="40" t="inlineStr">
        <is>
          <t>Provide a data dictionary or list: heart rate, blood pressure, temperature, WBC, creatinine, lactate, medication administration records, etc.</t>
        </is>
      </c>
      <c r="F4" s="39" t="n"/>
      <c r="G4" s="40" t="inlineStr">
        <is>
          <t>Feature availability drives model architecture; missing data elements may require additional integration work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Data Sources</t>
        </is>
      </c>
      <c r="D5" s="38" t="inlineStr">
        <is>
          <t>How frequently are lab results, vitals, and medication administration records updated in Epic and bedside monitors?</t>
        </is>
      </c>
      <c r="E5" s="38" t="inlineStr">
        <is>
          <t>Specify update frequency per data type: e.g. vitals every 15 minutes, labs within 30 minutes of resulted, MAR on administration</t>
        </is>
      </c>
      <c r="F5" s="39" t="n"/>
      <c r="G5" s="38" t="inlineStr">
        <is>
          <t>Data refresh cadence determines pipeline latency design and Kinesis stream partitioning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Data Volume</t>
        </is>
      </c>
      <c r="D6" s="40" t="inlineStr">
        <is>
          <t>What is the current and projected patient census across all 18 hospitals and 60+ clinics?</t>
        </is>
      </c>
      <c r="E6" s="40" t="inlineStr">
        <is>
          <t>Provide average daily census (ADC) per facility and total; include peak census periods (flu season, etc.)</t>
        </is>
      </c>
      <c r="F6" s="39" t="n"/>
      <c r="G6" s="40" t="inlineStr">
        <is>
          <t>Patient census drives Kinesis shard count, SageMaker endpoint scaling, and HealthLake storage sizing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Data Volume</t>
        </is>
      </c>
      <c r="D7" s="38" t="inlineStr">
        <is>
          <t>Estimate the total daily volume of HL7 messages (v2.3 and FHIR R4) expected from all facilities once fully live.</t>
        </is>
      </c>
      <c r="E7" s="38" t="inlineStr">
        <is>
          <t>Include both real-time monitor streams and EHR event notifications; provide messages/hour at peak</t>
        </is>
      </c>
      <c r="F7" s="39" t="n"/>
      <c r="G7" s="38" t="inlineStr">
        <is>
          <t>Message throughput determines Kinesis Data Streams capacity and Lambda concurrency limits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AI/ML Requirements</t>
        </is>
      </c>
      <c r="D8" s="40" t="inlineStr">
        <is>
          <t>What predictive models are in scope: sepsis risk, 30-day readmission, rapid response events — any others?</t>
        </is>
      </c>
      <c r="E8" s="40" t="inlineStr">
        <is>
          <t>Confirm the full model portfolio; specify whether models are binary classifiers, risk scores (0–100), or probability estimates</t>
        </is>
      </c>
      <c r="F8" s="39" t="n"/>
      <c r="G8" s="40" t="inlineStr">
        <is>
          <t>Model portfolio determines SageMaker training jobs, endpoint count, and MLflow/model registry scope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AI/ML Requirements</t>
        </is>
      </c>
      <c r="D9" s="38" t="inlineStr">
        <is>
          <t>Does MedCore have existing ML models, clinical scoring algorithms (e.g. NEWS2, qSOFA), or training datasets that can seed the initial models?</t>
        </is>
      </c>
      <c r="E9" s="38" t="inlineStr">
        <is>
          <t>Describe any existing models, labeled datasets, or clinical scoring logic to be incorporated or replaced</t>
        </is>
      </c>
      <c r="F9" s="39" t="n"/>
      <c r="G9" s="38" t="inlineStr">
        <is>
          <t>Existing assets can accelerate Phase 1 model development; absence requires full de-novo training pipeline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AI/ML Requirements</t>
        </is>
      </c>
      <c r="D10" s="40" t="inlineStr">
        <is>
          <t>What model explainability format is required for clinical staff — SHAP values, feature contribution lists, natural-language explanations, or all three?</t>
        </is>
      </c>
      <c r="E10" s="40" t="inlineStr">
        <is>
          <t>Describe how clinicians expect to see the explanation: bedside dashboard, EHR alert note, mobile push?</t>
        </is>
      </c>
      <c r="F10" s="39" t="n"/>
      <c r="G10" s="40" t="inlineStr">
        <is>
          <t>Explainability output format drives Bedrock prompt design and SageMaker Clarify integration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AI/ML Requirements</t>
        </is>
      </c>
      <c r="D11" s="38" t="inlineStr">
        <is>
          <t>What minimum acceptable model accuracy/AUC is required before a model can be deployed to production?</t>
        </is>
      </c>
      <c r="E11" s="38" t="inlineStr">
        <is>
          <t>Specify AUC, sensitivity, specificity, PPV, NPV thresholds by model type (sepsis, readmission, rapid response)</t>
        </is>
      </c>
      <c r="F11" s="39" t="n"/>
      <c r="G11" s="38" t="inlineStr">
        <is>
          <t>Model acceptance thresholds gate production deployment and define clinical validation process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LLM/Summarization</t>
        </is>
      </c>
      <c r="D12" s="40" t="inlineStr">
        <is>
          <t>Which AWS Bedrock foundation models are preferred or approved for generating clinical narrative summaries?</t>
        </is>
      </c>
      <c r="E12" s="40" t="inlineStr">
        <is>
          <t>e.g. Anthropic Claude 3, Amazon Titan — any model restrictions based on vendor security review?</t>
        </is>
      </c>
      <c r="F12" s="39" t="n"/>
      <c r="G12" s="40" t="inlineStr">
        <is>
          <t>Bedrock model selection impacts token cost, latency, and summarization quality; vendor approval may be needed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EHR Integration</t>
        </is>
      </c>
      <c r="D13" s="38" t="inlineStr">
        <is>
          <t>What Epic integration method is preferred for writing alert notifications back into Epic — Smart-on-FHIR app, FHIR R4 write-back, HL7 v2.x ADT/ORU message, or Epic Secure Chat?</t>
        </is>
      </c>
      <c r="E13" s="38" t="inlineStr">
        <is>
          <t>Confirm with EHR Integration Lead; describe current Epic Interconnect capabilities for inbound messages</t>
        </is>
      </c>
      <c r="F13" s="39" t="n"/>
      <c r="G13" s="38" t="inlineStr">
        <is>
          <t>Alert write-back method determines Phase 3 integration architecture and Epic configuration scope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EHR Integration</t>
        </is>
      </c>
      <c r="D14" s="40" t="inlineStr">
        <is>
          <t>Is MedCore's Epic HL7 FHIR R4 endpoint accessible directly from AWS, or does it require traversal through an on-premises API gateway or VPN?</t>
        </is>
      </c>
      <c r="E14" s="40" t="inlineStr">
        <is>
          <t>Describe network path: AWS → Mirth Connect / API gateway → Epic; include firewall and latency considerations</t>
        </is>
      </c>
      <c r="F14" s="39" t="n"/>
      <c r="G14" s="40" t="inlineStr">
        <is>
          <t>Network topology determines AWS Direct Connect vs. VPN design and end-to-end latency feasibility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Cloud Platform</t>
        </is>
      </c>
      <c r="D15" s="38" t="inlineStr">
        <is>
          <t>Confirm the target AWS regions for the CDS platform (primary and DR) and any constraints imposed by the existing AWS Organization landing zone.</t>
        </is>
      </c>
      <c r="E15" s="38" t="inlineStr">
        <is>
          <t>Specify primary region (e.g. us-east-1), DR region (e.g. us-west-2), and OU/account structure under Clinical Applications OU</t>
        </is>
      </c>
      <c r="F15" s="39" t="n"/>
      <c r="G15" s="38" t="inlineStr">
        <is>
          <t>Region selection determines HealthLake availability, SageMaker endpoint regions, and data residency compliance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Cloud Platform</t>
        </is>
      </c>
      <c r="D16" s="40" t="inlineStr">
        <is>
          <t>What AWS services has the IT team pre-approved for use within the Clinical Applications OU (Service Control Policies, approved service list)?</t>
        </is>
      </c>
      <c r="E16" s="40" t="inlineStr">
        <is>
          <t>List any SCP restrictions (e.g. blocked regions, unapproved services) and required tagging/naming conventions</t>
        </is>
      </c>
      <c r="F16" s="39" t="n"/>
      <c r="G16" s="40" t="inlineStr">
        <is>
          <t>SCP and landing zone constraints may block certain AWS services; must be resolved before architecture design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Performance</t>
        </is>
      </c>
      <c r="D17" s="38" t="inlineStr">
        <is>
          <t>What is the maximum acceptable end-to-end latency from patient data arrival (at Mirth Connect or Epic FHIR API) to risk score alert delivery to clinical staff?</t>
        </is>
      </c>
      <c r="E17" s="38" t="inlineStr">
        <is>
          <t>Confirm 3-second inference latency target; specify whether this is p50, p95, or p99</t>
        </is>
      </c>
      <c r="F17" s="39" t="n"/>
      <c r="G17" s="38" t="inlineStr">
        <is>
          <t>Latency SLA drives Kinesis-to-Lambda-to-SageMaker pipeline design and endpoint instance type selection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Performance</t>
        </is>
      </c>
      <c r="D18" s="40" t="inlineStr">
        <is>
          <t>What is the expected peak concurrent alert volume (simultaneous patients with active risk scores) across all facilities?</t>
        </is>
      </c>
      <c r="E18" s="40" t="inlineStr">
        <is>
          <t>Estimate peak concurrent patients in monitored state: e.g. all ICU + med-surg beds = ~2,000 patients</t>
        </is>
      </c>
      <c r="F18" s="39" t="n"/>
      <c r="G18" s="40" t="inlineStr">
        <is>
          <t>Concurrent patient load drives SageMaker auto-scaling policy and Kinesis consumer parallelism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Integration</t>
        </is>
      </c>
      <c r="D19" s="38" t="inlineStr">
        <is>
          <t>What downstream systems need to receive readmission outcome data from the CDS platform (e.g. SQL Server data warehouse, Revenue Cycle system)?</t>
        </is>
      </c>
      <c r="E19" s="38" t="inlineStr">
        <is>
          <t>Confirm nightly export format (CSV, HL7, FHIR) and target endpoint for the SQL Server 2016 data warehouse</t>
        </is>
      </c>
      <c r="F19" s="39" t="n"/>
      <c r="G19" s="38" t="inlineStr">
        <is>
          <t>Downstream integration scope determines ETL pipeline and AWS Glue/Data Pipeline configuration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Analytics</t>
        </is>
      </c>
      <c r="D20" s="40" t="inlineStr">
        <is>
          <t>What longitudinal outcome tracking and model performance dashboards are required post go-live?</t>
        </is>
      </c>
      <c r="E20" s="40" t="inlineStr">
        <is>
          <t>Describe required metrics: AUROC drift, alert accuracy, patient outcomes by facility, clinician response time</t>
        </is>
      </c>
      <c r="F20" s="39" t="n"/>
      <c r="G20" s="40" t="inlineStr">
        <is>
          <t>Analytics requirements drive Amazon QuickSight dashboard design and SageMaker Model Monitor configuration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Identity &amp; Access</t>
        </is>
      </c>
      <c r="D21" s="38" t="inlineStr">
        <is>
          <t>Confirm the Azure Active Directory tenant configuration for SAML 2.0 federation to Amazon Cognito — is AD FS or Azure AD Enterprise Application the preferred federation method?</t>
        </is>
      </c>
      <c r="E21" s="38" t="inlineStr">
        <is>
          <t>Specify Azure AD tenant ID, supported SAML claims (UPN, role, facility), and MFA enforcement policy</t>
        </is>
      </c>
      <c r="F21" s="39" t="n"/>
      <c r="G21" s="38" t="inlineStr">
        <is>
          <t>SSO federation design determines Cognito User Pool configuration and RBAC attribute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Confirm which compliance frameworks formally apply to the CDS platform: HIPAA, HITECH, SOC 2 Type II — any others (HITRUST, NIST CSF, CMS)?</t>
        </is>
      </c>
      <c r="E2" s="40" t="inlineStr">
        <is>
          <t>List all frameworks requiring formal attestation or audit evidence; confirm SOC 2 Type II audit scope</t>
        </is>
      </c>
      <c r="F2" s="39" t="n"/>
      <c r="G2" s="40" t="inlineStr">
        <is>
          <t>Framework scope determines control implementation effort and audit timeline; drives AWS Config rules and GuardDuty policies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PHI Data Handling</t>
        </is>
      </c>
      <c r="D3" s="38" t="inlineStr">
        <is>
          <t>What PHI data elements will be stored and processed by the CDS platform, and what is the required data retention period?</t>
        </is>
      </c>
      <c r="E3" s="38" t="inlineStr">
        <is>
          <t>List PHI fields: patient ID, name, DOB, MRN, vitals, labs, diagnoses, medications; specify retention (e.g. 7 years per HIPAA)</t>
        </is>
      </c>
      <c r="F3" s="39" t="n"/>
      <c r="G3" s="38" t="inlineStr">
        <is>
          <t>PHI inventory is required for BAA scope, data classification, and HealthLake/S3 encryption key policy design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PHI Data Handling</t>
        </is>
      </c>
      <c r="D4" s="40" t="inlineStr">
        <is>
          <t>Is there a requirement to de-identify or pseudonymize PHI for model training datasets, or can identifiable PHI be used under BAA?</t>
        </is>
      </c>
      <c r="E4" s="40" t="inlineStr">
        <is>
          <t>Describe data de-identification policy: HIPAA Safe Harbor vs. Expert Determination method</t>
        </is>
      </c>
      <c r="F4" s="39" t="n"/>
      <c r="G4" s="40" t="inlineStr">
        <is>
          <t>De-identification requirement impacts model training pipeline design and SageMaker training data preparation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Data Residency</t>
        </is>
      </c>
      <c r="D5" s="38" t="inlineStr">
        <is>
          <t>Confirm that all PHI must remain within US AWS regions at all times — are there any specific state-level data residency restrictions beyond federal HIPAA requirements?</t>
        </is>
      </c>
      <c r="E5" s="38" t="inlineStr">
        <is>
          <t>Specify allowed AWS regions; confirm no cross-border data transfer is permitted</t>
        </is>
      </c>
      <c r="F5" s="39" t="n"/>
      <c r="G5" s="38" t="inlineStr">
        <is>
          <t>Data residency constraint enforces region-pinned S3 bucket policies and HealthLake configuration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Encryption</t>
        </is>
      </c>
      <c r="D6" s="40" t="inlineStr">
        <is>
          <t>What encryption standard is required for PHI at rest and in transit — AES-256, TLS 1.2+, and who manages the KMS keys (AWS-managed vs. customer-managed CMKs)?</t>
        </is>
      </c>
      <c r="E6" s="40" t="inlineStr">
        <is>
          <t>Specify KMS key management preference, key rotation policy, and who holds key administrator role</t>
        </is>
      </c>
      <c r="F6" s="39" t="n"/>
      <c r="G6" s="40" t="inlineStr">
        <is>
          <t>KMS CMK design impacts operational complexity and compliance audit evidence for HIPAA encryption controls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Audit Logging</t>
        </is>
      </c>
      <c r="D7" s="38" t="inlineStr">
        <is>
          <t>What is the required format, retention period, and access control for the HIPAA-compliant PHI access audit log?</t>
        </is>
      </c>
      <c r="E7" s="38" t="inlineStr">
        <is>
          <t>Describe required log fields (who, what, when, from where), retention (minimum 6 years under HIPAA), and SIEM integration</t>
        </is>
      </c>
      <c r="F7" s="39" t="n"/>
      <c r="G7" s="38" t="inlineStr">
        <is>
          <t>Audit log design drives CloudTrail, CloudWatch Logs, and optional SIEM (Splunk/Sentinel) integration scope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Authentication</t>
        </is>
      </c>
      <c r="D8" s="40" t="inlineStr">
        <is>
          <t>What MFA method is mandated for clinical staff accessing the CDS platform — TOTP, hardware token, or Azure AD Conditional Access MFA?</t>
        </is>
      </c>
      <c r="E8" s="40" t="inlineStr">
        <is>
          <t>Confirm MFA enforcement point: Azure AD Conditional Access before SAML assertion, or Cognito-level MFA</t>
        </is>
      </c>
      <c r="F8" s="39" t="n"/>
      <c r="G8" s="40" t="inlineStr">
        <is>
          <t>MFA architecture determines Cognito configuration and Azure AD Conditional Access policy requirements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Authorization</t>
        </is>
      </c>
      <c r="D9" s="38" t="inlineStr">
        <is>
          <t>Define the required role-based access control model — what permissions does each role (nurse, physician, administrator, data scientist) have?</t>
        </is>
      </c>
      <c r="E9" s="38" t="inlineStr">
        <is>
          <t>Map roles to actions: view alerts, acknowledge alerts, view risk scores, access model performance dashboards, manage users</t>
        </is>
      </c>
      <c r="F9" s="39" t="n"/>
      <c r="G9" s="38" t="inlineStr">
        <is>
          <t>RBAC model drives Cognito group policy, IAM role design, and API Gateway authorization layer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Network Security</t>
        </is>
      </c>
      <c r="D10" s="40" t="inlineStr">
        <is>
          <t>What network segmentation and perimeter controls are required between the AWS CDS platform and MedCore's on-premises Epic/Mirth Connect environment?</t>
        </is>
      </c>
      <c r="E10" s="40" t="inlineStr">
        <is>
          <t>Describe VPN or Direct Connect preference, firewall rules, and whether a WAF is required for internet-facing endpoints</t>
        </is>
      </c>
      <c r="F10" s="39" t="n"/>
      <c r="G10" s="40" t="inlineStr">
        <is>
          <t>Network security controls determine AWS Transit Gateway, Site-to-Site VPN, and WAF configuration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Vulnerability Management</t>
        </is>
      </c>
      <c r="D11" s="38" t="inlineStr">
        <is>
          <t>What is MedCore's policy for patching and vulnerability scanning of AWS infrastructure — who owns this for the CDS platform?</t>
        </is>
      </c>
      <c r="E11" s="38" t="inlineStr">
        <is>
          <t>Clarify responsibility: Amatra manages during build; post-handover to MedCore IT or co-managed?</t>
        </is>
      </c>
      <c r="F11" s="39" t="n"/>
      <c r="G11" s="38" t="inlineStr">
        <is>
          <t>Vulnerability management scope impacts project cost and determines whether Amazon Inspector is in scope</t>
        </is>
      </c>
    </row>
    <row r="12">
      <c r="A12" s="40" t="inlineStr">
        <is>
          <t>SEC-011</t>
        </is>
      </c>
      <c r="B12" s="40" t="inlineStr">
        <is>
          <t>Security &amp; Compliance</t>
        </is>
      </c>
      <c r="C12" s="40" t="inlineStr">
        <is>
          <t>BAA Governance</t>
        </is>
      </c>
      <c r="D12" s="40" t="inlineStr">
        <is>
          <t>Has MedCore executed or is prepared to execute a BAA with AWS for the CDS platform account?</t>
        </is>
      </c>
      <c r="E12" s="40" t="inlineStr">
        <is>
          <t>Confirm BAA status with AWS; identify any additional vendor BAAs required (e.g. Bedrock third-party model providers)</t>
        </is>
      </c>
      <c r="F12" s="39" t="n"/>
      <c r="G12" s="40" t="inlineStr">
        <is>
          <t>BAA must be in place before any PHI enters the AWS environment; blocks Phase 1 start if not 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What is the preferred deployment approach for Phase 1 — greenfield build in the new dedicated AWS account, and what sign-off is needed from the IT landing zone team?</t>
        </is>
      </c>
      <c r="E2" s="40" t="inlineStr">
        <is>
          <t>Confirm greenfield deployment; identify AWS Organization account vending process and lead time</t>
        </is>
      </c>
      <c r="F2" s="39" t="n"/>
      <c r="G2" s="40" t="inlineStr">
        <is>
          <t>Account provisioning lead time can affect Phase 1 schedule; must be initiated 4–6 weeks before build start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Phased Rollout</t>
        </is>
      </c>
      <c r="D3" s="38" t="inlineStr">
        <is>
          <t>How many hospitals and clinics will be onboarded in each phase, and what is the criteria for graduating a facility from pilot to full production?</t>
        </is>
      </c>
      <c r="E3" s="38" t="inlineStr">
        <is>
          <t>Define facility selection criteria for Phase 1 pilot (e.g. 2 flagship hospitals), and graduation checklist</t>
        </is>
      </c>
      <c r="F3" s="39" t="n"/>
      <c r="G3" s="38" t="inlineStr">
        <is>
          <t>Phased facility rollout determines integration effort per site and resource allocation across all three phases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Downtime Tolerance</t>
        </is>
      </c>
      <c r="D4" s="40" t="inlineStr">
        <is>
          <t>What is the maximum acceptable downtime for EHR integration cutovers, and what maintenance windows are available?</t>
        </is>
      </c>
      <c r="E4" s="40" t="inlineStr">
        <is>
          <t>Specify allowed maintenance windows by facility type (acute care vs. ambulatory); confirm 99.95% availability target</t>
        </is>
      </c>
      <c r="F4" s="39" t="n"/>
      <c r="G4" s="40" t="inlineStr">
        <is>
          <t>Downtime tolerance drives multi-AZ vs. multi-region active-active architecture and cutover runbook design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Data Migration</t>
        </is>
      </c>
      <c r="D5" s="38" t="inlineStr">
        <is>
          <t>Does MedCore need to backfill historical patient data (vitals, labs, EHR events) into the platform for initial model training, and if so, what is the historical data volume and format?</t>
        </is>
      </c>
      <c r="E5" s="38" t="inlineStr">
        <is>
          <t>Estimate years of history required, data format (HL7, CSV, SQL export), and Epic data extract capability</t>
        </is>
      </c>
      <c r="F5" s="39" t="n"/>
      <c r="G5" s="38" t="inlineStr">
        <is>
          <t>Historical backfill scope is a major implementation effort; impacts Phase 1 timeline and SageMaker training pipeline design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 Availability</t>
        </is>
      </c>
      <c r="D6" s="40" t="inlineStr">
        <is>
          <t>Which MedCore internal teams (IT, Clinical Informatics, Epic Integration, CISO office) are available to support the build, and what is their estimated weekly time commitment?</t>
        </is>
      </c>
      <c r="E6" s="40" t="inlineStr">
        <is>
          <t>Identify named resources per team and their availability (FTE percentage, conflicting projects)</t>
        </is>
      </c>
      <c r="F6" s="39" t="n"/>
      <c r="G6" s="40" t="inlineStr">
        <is>
          <t>Internal resource availability is a key project risk; under-resourced client teams frequently cause schedule slippage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Training Needs</t>
        </is>
      </c>
      <c r="D7" s="38" t="inlineStr">
        <is>
          <t>What training is required for clinical staff, nursing managers, administrators, and IT operations personnel?</t>
        </is>
      </c>
      <c r="E7" s="38" t="inlineStr">
        <is>
          <t>Specify training modality preferences: in-person, virtual, train-the-trainer, LMS e-learning; estimate learner count per role</t>
        </is>
      </c>
      <c r="F7" s="39" t="n"/>
      <c r="G7" s="38" t="inlineStr">
        <is>
          <t>Training scope and timeline are deliverables in Phase 3; must be designed 6–8 weeks before facility go-live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UAT</t>
        </is>
      </c>
      <c r="D8" s="40" t="inlineStr">
        <is>
          <t>Who owns User Acceptance Testing for the CDS platform, and what is the minimum UAT duration before production go-live at each facility?</t>
        </is>
      </c>
      <c r="E8" s="40" t="inlineStr">
        <is>
          <t>Identify UAT lead (Clinical Informatics or Quality &amp; Patient Safety), test case owners, and pass/fail criteria</t>
        </is>
      </c>
      <c r="F8" s="39" t="n"/>
      <c r="G8" s="40" t="inlineStr">
        <is>
          <t>UAT process must be budgeted into Phase 2 and Phase 3 timelines; inadequate UAT is a top-3 go-live risk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Change Management</t>
        </is>
      </c>
      <c r="D9" s="38" t="inlineStr">
        <is>
          <t>What change management and clinical communication plan exists for introducing AI-generated alerts to nursing and physician workflows?</t>
        </is>
      </c>
      <c r="E9" s="38" t="inlineStr">
        <is>
          <t>Describe existing change management resources (Organizational Change Management team, CMO communications)</t>
        </is>
      </c>
      <c r="F9" s="39" t="n"/>
      <c r="G9" s="38" t="inlineStr">
        <is>
          <t>Clinical adoption (≥75% target) depends heavily on structured change management; absence is a project risk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Go-Live Readiness</t>
        </is>
      </c>
      <c r="D10" s="40" t="inlineStr">
        <is>
          <t>What are the go-live readiness criteria for Phase 1 (sepsis model only) in advance of the November 2026 Joint Commission review?</t>
        </is>
      </c>
      <c r="E10" s="40" t="inlineStr">
        <is>
          <t>Define checklist: data pipeline validated, model AUC threshold met, alert workflow tested, audit logging verified, BAA confirmed</t>
        </is>
      </c>
      <c r="F10" s="39" t="n"/>
      <c r="G10" s="40" t="inlineStr">
        <is>
          <t>Joint Commission readiness criteria must be documented and signed off by CISO and CMO before go-live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Recovery Time Objective (RTO) for the CDS platform in the event of a regional AWS outage?</t>
        </is>
      </c>
      <c r="E2" s="40" t="inlineStr">
        <is>
          <t>Specify RTO per component: ingestion pipeline, inference endpoints, clinical dashboard, alert delivery</t>
        </is>
      </c>
      <c r="F2" s="39" t="n"/>
      <c r="G2" s="40" t="inlineStr">
        <is>
          <t>RTO drives multi-region active-active vs. active-passive design and Route 53 health-check failover configuration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Recovery Point Objective (RPO) for patient risk score data and audit logs in the event of data loss?</t>
        </is>
      </c>
      <c r="E3" s="38" t="inlineStr">
        <is>
          <t>Maximum acceptable data loss in minutes; distinguish between real-time scores (low RPO) and historical analytics (higher RPO)</t>
        </is>
      </c>
      <c r="F3" s="39" t="n"/>
      <c r="G3" s="38" t="inlineStr">
        <is>
          <t>RPO drives Kinesis Data Firehose backup frequency, HealthLake cross-region replication, and S3 versioning policy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</t>
        </is>
      </c>
      <c r="D4" s="40" t="inlineStr">
        <is>
          <t>What monitoring and alerting is required for the CDS platform — infrastructure, ML model performance, pipeline latency, and clinical alert delivery?</t>
        </is>
      </c>
      <c r="E4" s="40" t="inlineStr">
        <is>
          <t>Specify monitoring tools: Amazon CloudWatch, Grafana, Datadog, or MedCore's existing monitoring platform</t>
        </is>
      </c>
      <c r="F4" s="39" t="n"/>
      <c r="G4" s="40" t="inlineStr">
        <is>
          <t>Monitoring scope determines CloudWatch dashboard design, SageMaker Model Monitor schedules, and PagerDuty integration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Support Coverage</t>
        </is>
      </c>
      <c r="D5" s="38" t="inlineStr">
        <is>
          <t>What support coverage is required for the CDS platform post go-live — 24x7 for clinical alert delivery, business hours for model management?</t>
        </is>
      </c>
      <c r="E5" s="38" t="inlineStr">
        <is>
          <t>Specify SLA tiers by component: critical (alert pipeline) = 24x7; non-critical (analytics) = business hours</t>
        </is>
      </c>
      <c r="F5" s="39" t="n"/>
      <c r="G5" s="38" t="inlineStr">
        <is>
          <t>Support coverage tiers drive Amatra managed services scope and escalation runbook design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Capacity Planning</t>
        </is>
      </c>
      <c r="D6" s="40" t="inlineStr">
        <is>
          <t>How will capacity scaling be governed — AWS auto-scaling policies managed by MedCore IT, or delegated to Amatra under a managed services agreement?</t>
        </is>
      </c>
      <c r="E6" s="40" t="inlineStr">
        <is>
          <t>Describe internal AWS operations maturity; identify AWS-certified resources on MedCore's IT team</t>
        </is>
      </c>
      <c r="F6" s="39" t="n"/>
      <c r="G6" s="40" t="inlineStr">
        <is>
          <t>Capacity governance model determines whether SageMaker endpoint auto-scaling and Kinesis scaling are self-managed or co-managed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Backup &amp; Recovery</t>
        </is>
      </c>
      <c r="D7" s="38" t="inlineStr">
        <is>
          <t>What is the backup policy for HealthLake patient data, SageMaker model artifacts, and the clinical audit log — frequency, retention, and tested restore cadence?</t>
        </is>
      </c>
      <c r="E7" s="38" t="inlineStr">
        <is>
          <t>Specify backup frequency per data type and required restore test schedule (e.g. quarterly DR drill)</t>
        </is>
      </c>
      <c r="F7" s="39" t="n"/>
      <c r="G7" s="38" t="inlineStr">
        <is>
          <t>Backup policy drives AWS Backup configuration and compliance evidence for HIPAA contingency plan control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Model Operations</t>
        </is>
      </c>
      <c r="D8" s="40" t="inlineStr">
        <is>
          <t>What process is required for ongoing model retraining, version management, and promotion from staging to production?</t>
        </is>
      </c>
      <c r="E8" s="40" t="inlineStr">
        <is>
          <t>Describe MLOps maturity: does MedCore have a data science team to own model retraining, or does Amatra manage post go-live?</t>
        </is>
      </c>
      <c r="F8" s="39" t="n"/>
      <c r="G8" s="40" t="inlineStr">
        <is>
          <t>MLOps ownership model determines whether SageMaker Pipelines and MLflow are handed over or remain Amatra-managed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Maintenance Windows</t>
        </is>
      </c>
      <c r="D9" s="38" t="inlineStr">
        <is>
          <t>What maintenance windows are available for infrastructure patching, model deployments, and Epic integration updates?</t>
        </is>
      </c>
      <c r="E9" s="38" t="inlineStr">
        <is>
          <t>Specify days and times; confirm whether 99.95% availability SLA excludes planned maintenance</t>
        </is>
      </c>
      <c r="F9" s="39" t="n"/>
      <c r="G9" s="38" t="inlineStr">
        <is>
          <t>Maintenance windows must be formalized in the Operations Runbook and communicated to clinical leadership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Project Risks</t>
        </is>
      </c>
      <c r="D2" s="40" t="inlineStr">
        <is>
          <t>What is the risk if the Epic FHIR R4 API does not expose all required clinical data elements (e.g. lactate, culture results) in time for Phase 1?</t>
        </is>
      </c>
      <c r="E2" s="40" t="inlineStr">
        <is>
          <t>Describe Epic upgrade timeline and any pending API enablement requests with Epic support</t>
        </is>
      </c>
      <c r="F2" s="39" t="n"/>
      <c r="G2" s="40" t="inlineStr">
        <is>
          <t>Missing EHR data elements are the highest technical risk to Phase 1 model accuracy; mitigation plan required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Dependencies</t>
        </is>
      </c>
      <c r="D3" s="38" t="inlineStr">
        <is>
          <t>What third-party or vendor dependencies could delay the project — Epic configuration changes, Philips/GE monitor firmware updates, AWS service availability?</t>
        </is>
      </c>
      <c r="E3" s="38" t="inlineStr">
        <is>
          <t>List all vendor dependencies with lead times; identify single points of failure in the integration chain</t>
        </is>
      </c>
      <c r="F3" s="39" t="n"/>
      <c r="G3" s="38" t="inlineStr">
        <is>
          <t>Vendor dependency mapping is required for Phase 1 risk register and Joint Commission deadline contingency plan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Constraints</t>
        </is>
      </c>
      <c r="D4" s="40" t="inlineStr">
        <is>
          <t>Are there any AWS Service Control Policy restrictions in the existing Organization landing zone that could block required services (SageMaker, HealthLake, Bedrock, Kinesis)?</t>
        </is>
      </c>
      <c r="E4" s="40" t="inlineStr">
        <is>
          <t>Request a review of the Clinical Applications OU SCPs from the IT landing zone team before architecture finalization</t>
        </is>
      </c>
      <c r="F4" s="39" t="n"/>
      <c r="G4" s="40" t="inlineStr">
        <is>
          <t>SCP conflicts must be resolved in the first two weeks of the project; late discovery is a schedule risk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Assumptions</t>
        </is>
      </c>
      <c r="D5" s="38" t="inlineStr">
        <is>
          <t>Does MedCore assume that Amatra will manage all AWS infrastructure and MLOps tooling through general availability, or will a knowledge-transfer handover occur at Phase 3 completion?</t>
        </is>
      </c>
      <c r="E5" s="38" t="inlineStr">
        <is>
          <t>Clarify operating model post-GA: fully managed, co-managed, or full handover to MedCore IT</t>
        </is>
      </c>
      <c r="F5" s="39" t="n"/>
      <c r="G5" s="38" t="inlineStr">
        <is>
          <t>Operating model assumption drives project budget, staffing, and managed services contract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2026-06-29T23:27:03Z</dcterms:modified>
  <cp:lastModifiedBy>Kishan Siram</cp:lastModifiedBy>
</cp:coreProperties>
</file>