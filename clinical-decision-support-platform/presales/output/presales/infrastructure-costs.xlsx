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Costs'!$A$2:$K$34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29, 2026</t>
        </is>
      </c>
    </row>
    <row r="6" ht="18" customHeight="1">
      <c r="B6" s="2" t="inlineStr">
        <is>
          <t>Solution:</t>
        </is>
      </c>
      <c r="C6" s="3" t="inlineStr">
        <is>
          <t>Tmp2Vuewb8H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Inference Requests</t>
        </is>
      </c>
      <c r="C3" s="38" t="inlineStr">
        <is>
          <t>&lt;1M/month</t>
        </is>
      </c>
      <c r="D3" s="38" t="inlineStr">
        <is>
          <t>1M-10M/month</t>
        </is>
      </c>
      <c r="E3" s="38" t="inlineStr">
        <is>
          <t>&gt;10M/month</t>
        </is>
      </c>
      <c r="F3" s="37" t="inlineStr">
        <is>
          <t>Real-time patient risk score updates per month</t>
        </is>
      </c>
    </row>
    <row r="4" ht="26" customHeight="1">
      <c r="A4" s="39" t="inlineStr">
        <is>
          <t>Cloud Services</t>
        </is>
      </c>
      <c r="B4" s="40" t="inlineStr">
        <is>
          <t>SageMaker Endpoints</t>
        </is>
      </c>
      <c r="C4" s="41" t="inlineStr">
        <is>
          <t>1-2 endpoints</t>
        </is>
      </c>
      <c r="D4" s="41" t="inlineStr">
        <is>
          <t>3-5 endpoints</t>
        </is>
      </c>
      <c r="E4" s="41" t="inlineStr">
        <is>
          <t>6+ endpoints</t>
        </is>
      </c>
      <c r="F4" s="40" t="inlineStr">
        <is>
          <t>Deployed real-time ML inference endpoints</t>
        </is>
      </c>
    </row>
    <row r="5" ht="26" customHeight="1">
      <c r="A5" s="36" t="inlineStr">
        <is>
          <t>Cloud Services</t>
        </is>
      </c>
      <c r="B5" s="37" t="inlineStr">
        <is>
          <t>Training Data Volume</t>
        </is>
      </c>
      <c r="C5" s="38" t="inlineStr">
        <is>
          <t>&lt;100 GB</t>
        </is>
      </c>
      <c r="D5" s="38" t="inlineStr">
        <is>
          <t>100 GB - 1 TB</t>
        </is>
      </c>
      <c r="E5" s="38" t="inlineStr">
        <is>
          <t>&gt;1 TB</t>
        </is>
      </c>
      <c r="F5" s="37" t="inlineStr">
        <is>
          <t>Labelled clinical dataset for model training</t>
        </is>
      </c>
    </row>
    <row r="6" ht="26" customHeight="1">
      <c r="A6" s="39" t="inlineStr">
        <is>
          <t>Cloud Services</t>
        </is>
      </c>
      <c r="B6" s="40" t="inlineStr">
        <is>
          <t>Kinesis Shards</t>
        </is>
      </c>
      <c r="C6" s="41" t="inlineStr">
        <is>
          <t>2-5 shards</t>
        </is>
      </c>
      <c r="D6" s="41" t="inlineStr">
        <is>
          <t>10-20 shards</t>
        </is>
      </c>
      <c r="E6" s="41" t="inlineStr">
        <is>
          <t>40+ shards</t>
        </is>
      </c>
      <c r="F6" s="40" t="inlineStr">
        <is>
          <t>Aggregate throughput for HL7/FHIR data ingestion</t>
        </is>
      </c>
    </row>
    <row r="7" ht="26" customHeight="1">
      <c r="A7" s="36" t="inlineStr">
        <is>
          <t>Cloud Services</t>
        </is>
      </c>
      <c r="B7" s="37" t="inlineStr">
        <is>
          <t>HealthLake Storage</t>
        </is>
      </c>
      <c r="C7" s="38" t="inlineStr">
        <is>
          <t>&lt;500 GB</t>
        </is>
      </c>
      <c r="D7" s="38" t="inlineStr">
        <is>
          <t>500 GB - 2 TB</t>
        </is>
      </c>
      <c r="E7" s="38" t="inlineStr">
        <is>
          <t>&gt;2 TB</t>
        </is>
      </c>
      <c r="F7" s="37" t="inlineStr">
        <is>
          <t>PHI-compliant FHIR datastore capacity</t>
        </is>
      </c>
    </row>
    <row r="8" ht="26" customHeight="1">
      <c r="A8" s="39" t="inlineStr">
        <is>
          <t>Cloud Services</t>
        </is>
      </c>
      <c r="B8" s="40" t="inlineStr">
        <is>
          <t>Bedrock Token Consumption</t>
        </is>
      </c>
      <c r="C8" s="41" t="inlineStr">
        <is>
          <t>&lt;5M tokens/month</t>
        </is>
      </c>
      <c r="D8" s="41" t="inlineStr">
        <is>
          <t>5M-20M/month</t>
        </is>
      </c>
      <c r="E8" s="41" t="inlineStr">
        <is>
          <t>&gt;20M tokens/month</t>
        </is>
      </c>
      <c r="F8" s="40" t="inlineStr">
        <is>
          <t>LLM tokens for clinical narrative generation</t>
        </is>
      </c>
    </row>
    <row r="9" ht="26" customHeight="1">
      <c r="A9" s="36" t="inlineStr">
        <is>
          <t>Software Licenses</t>
        </is>
      </c>
      <c r="B9" s="37" t="inlineStr">
        <is>
          <t>Facility Count</t>
        </is>
      </c>
      <c r="C9" s="38" t="inlineStr">
        <is>
          <t>1-3 hospitals</t>
        </is>
      </c>
      <c r="D9" s="38" t="inlineStr">
        <is>
          <t>4-10 hospitals</t>
        </is>
      </c>
      <c r="E9" s="38" t="inlineStr">
        <is>
          <t>11-18 hospitals</t>
        </is>
      </c>
      <c r="F9" s="37" t="inlineStr">
        <is>
          <t>Number of hospital sites receiving CDS alerts</t>
        </is>
      </c>
    </row>
    <row r="10" ht="26" customHeight="1">
      <c r="A10" s="39" t="inlineStr">
        <is>
          <t>Support &amp; Maintenance</t>
        </is>
      </c>
      <c r="B10" s="40" t="inlineStr">
        <is>
          <t>Support Level</t>
        </is>
      </c>
      <c r="C10" s="41" t="inlineStr">
        <is>
          <t>Business hours</t>
        </is>
      </c>
      <c r="D10" s="41" t="inlineStr">
        <is>
          <t>24x5</t>
        </is>
      </c>
      <c r="E10" s="41" t="inlineStr">
        <is>
          <t>24x7 premium</t>
        </is>
      </c>
      <c r="F10" s="40" t="inlineStr">
        <is>
          <t>AWS support SLA and response coverage</t>
        </is>
      </c>
    </row>
    <row r="11" ht="26" customHeight="1">
      <c r="A11" s="36" t="inlineStr">
        <is>
          <t>Connectivity</t>
        </is>
      </c>
      <c r="B11" s="37" t="inlineStr">
        <is>
          <t>EHR Integration Bandwidth</t>
        </is>
      </c>
      <c r="C11" s="38" t="inlineStr">
        <is>
          <t>100 Mbps</t>
        </is>
      </c>
      <c r="D11" s="38" t="inlineStr">
        <is>
          <t>500 Mbps</t>
        </is>
      </c>
      <c r="E11" s="38" t="inlineStr">
        <is>
          <t>1+ Gbps</t>
        </is>
      </c>
      <c r="F11" s="37" t="inlineStr">
        <is>
          <t>HL7 FHIR R4 and HL7 v2.3 feed throughput</t>
        </is>
      </c>
    </row>
    <row r="12" ht="26" customHeight="1">
      <c r="A12" s="39" t="inlineStr">
        <is>
          <t>Cloud Services</t>
        </is>
      </c>
      <c r="B12" s="40" t="inlineStr">
        <is>
          <t>Concurrent Active Patients</t>
        </is>
      </c>
      <c r="C12" s="41" t="inlineStr">
        <is>
          <t>&lt;500</t>
        </is>
      </c>
      <c r="D12" s="41" t="inlineStr">
        <is>
          <t>500-2500</t>
        </is>
      </c>
      <c r="E12" s="41" t="inlineStr">
        <is>
          <t>&gt;2500</t>
        </is>
      </c>
      <c r="F12" s="40" t="inlineStr">
        <is>
          <t>Simultaneously monitored inpatient records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SageMaker Inference Endpoints</t>
        </is>
      </c>
      <c r="C3" s="43" t="inlineStr">
        <is>
          <t>ml.m5.xlarge real-time endpoints x4 (sepsis + readmission + rapid-response + ensemble)</t>
        </is>
      </c>
      <c r="D3" s="44" t="n">
        <v>4</v>
      </c>
      <c r="E3" s="43" t="inlineStr">
        <is>
          <t>Instance/Month</t>
        </is>
      </c>
      <c r="F3" s="45" t="n">
        <v>420</v>
      </c>
      <c r="G3" s="45">
        <f>D3*F3*12</f>
        <v/>
      </c>
      <c r="H3" s="45">
        <f>G3</f>
        <v/>
      </c>
      <c r="I3" s="45">
        <f>G3*1.1</f>
        <v/>
      </c>
      <c r="J3" s="45">
        <f>G3+H3+I3</f>
        <v/>
      </c>
      <c r="K3" s="43" t="inlineStr">
        <is>
          <t>Real-time risk scoring; Year 3 adds model complexity uplift</t>
        </is>
      </c>
    </row>
    <row r="4" ht="26" customHeight="1">
      <c r="A4" s="46" t="inlineStr">
        <is>
          <t>Cloud Services</t>
        </is>
      </c>
      <c r="B4" s="47" t="inlineStr">
        <is>
          <t>SageMaker Training Jobs</t>
        </is>
      </c>
      <c r="C4" s="47" t="inlineStr">
        <is>
          <t>On-demand ml.p3.2xlarge training; ~8 hrs/week model retraining and improvement</t>
        </is>
      </c>
      <c r="D4" s="48" t="n">
        <v>1</v>
      </c>
      <c r="E4" s="47" t="inlineStr">
        <is>
          <t>Service/Month</t>
        </is>
      </c>
      <c r="F4" s="49" t="n">
        <v>680</v>
      </c>
      <c r="G4" s="49">
        <f>D4*F4*12</f>
        <v/>
      </c>
      <c r="H4" s="49">
        <f>G4</f>
        <v/>
      </c>
      <c r="I4" s="49">
        <f>G4</f>
        <v/>
      </c>
      <c r="J4" s="49">
        <f>G4+H4+I4</f>
        <v/>
      </c>
      <c r="K4" s="47" t="inlineStr">
        <is>
          <t>Weekly retraining and batch evaluation jobs</t>
        </is>
      </c>
    </row>
    <row r="5" ht="26" customHeight="1">
      <c r="A5" s="42" t="inlineStr">
        <is>
          <t>Cloud Services</t>
        </is>
      </c>
      <c r="B5" s="43" t="inlineStr">
        <is>
          <t>Kinesis Data Streams</t>
        </is>
      </c>
      <c r="C5" s="43" t="inlineStr">
        <is>
          <t>10 shards ingesting HL7 FHIR R4 events and HL7 v2.3 vitals streams from 18 hospitals</t>
        </is>
      </c>
      <c r="D5" s="44" t="n">
        <v>10</v>
      </c>
      <c r="E5" s="43" t="inlineStr">
        <is>
          <t>Shard/Month</t>
        </is>
      </c>
      <c r="F5" s="45" t="n">
        <v>15</v>
      </c>
      <c r="G5" s="45">
        <f>D5*F5*12</f>
        <v/>
      </c>
      <c r="H5" s="45">
        <f>G5</f>
        <v/>
      </c>
      <c r="I5" s="45">
        <f>G5*1.1</f>
        <v/>
      </c>
      <c r="J5" s="45">
        <f>G5+H5+I5</f>
        <v/>
      </c>
      <c r="K5" s="43" t="inlineStr">
        <is>
          <t>Event-driven real-time data ingestion pipeline</t>
        </is>
      </c>
    </row>
    <row r="6" ht="26" customHeight="1">
      <c r="A6" s="46" t="inlineStr">
        <is>
          <t>Cloud Services</t>
        </is>
      </c>
      <c r="B6" s="47" t="inlineStr">
        <is>
          <t>Amazon MSK (Kafka)</t>
        </is>
      </c>
      <c r="C6" s="47" t="inlineStr">
        <is>
          <t>3-broker msk.m5.large cluster for internal event bus between ingestion and inference</t>
        </is>
      </c>
      <c r="D6" s="48" t="n">
        <v>3</v>
      </c>
      <c r="E6" s="47" t="inlineStr">
        <is>
          <t>Broker/Month</t>
        </is>
      </c>
      <c r="F6" s="49" t="n">
        <v>215</v>
      </c>
      <c r="G6" s="49">
        <f>D6*F6*12</f>
        <v/>
      </c>
      <c r="H6" s="49">
        <f>G6</f>
        <v/>
      </c>
      <c r="I6" s="49">
        <f>G6</f>
        <v/>
      </c>
      <c r="J6" s="49">
        <f>G6+H6+I6</f>
        <v/>
      </c>
      <c r="K6" s="47" t="inlineStr">
        <is>
          <t>Decoupled messaging between pipeline stages</t>
        </is>
      </c>
    </row>
    <row r="7" ht="26" customHeight="1">
      <c r="A7" s="42" t="inlineStr">
        <is>
          <t>Cloud Services</t>
        </is>
      </c>
      <c r="B7" s="43" t="inlineStr">
        <is>
          <t>Amazon HealthLake</t>
        </is>
      </c>
      <c r="C7" s="43" t="inlineStr">
        <is>
          <t>FHIR R4-compliant PHI datastore; 1 TB active storage + 500 GB import volume/month</t>
        </is>
      </c>
      <c r="D7" s="44" t="n">
        <v>1</v>
      </c>
      <c r="E7" s="43" t="inlineStr">
        <is>
          <t>Service/Month</t>
        </is>
      </c>
      <c r="F7" s="45" t="n">
        <v>1800</v>
      </c>
      <c r="G7" s="45">
        <f>D7*F7*12</f>
        <v/>
      </c>
      <c r="H7" s="45">
        <f>G7</f>
        <v/>
      </c>
      <c r="I7" s="45">
        <f>G7*1.1</f>
        <v/>
      </c>
      <c r="J7" s="45">
        <f>G7+H7+I7</f>
        <v/>
      </c>
      <c r="K7" s="43" t="inlineStr">
        <is>
          <t>HIPAA-eligible FHIR store with search and audit</t>
        </is>
      </c>
    </row>
    <row r="8" ht="26" customHeight="1">
      <c r="A8" s="46" t="inlineStr">
        <is>
          <t>Cloud Services</t>
        </is>
      </c>
      <c r="B8" s="47" t="inlineStr">
        <is>
          <t>Amazon Bedrock (Claude)</t>
        </is>
      </c>
      <c r="C8" s="47" t="inlineStr">
        <is>
          <t>LLM inference for clinical narrative generation; ~8M tokens/month across all facilities</t>
        </is>
      </c>
      <c r="D8" s="48" t="n">
        <v>1</v>
      </c>
      <c r="E8" s="47" t="inlineStr">
        <is>
          <t>Service/Month</t>
        </is>
      </c>
      <c r="F8" s="49" t="n">
        <v>1400</v>
      </c>
      <c r="G8" s="49">
        <f>D8*F8*12</f>
        <v/>
      </c>
      <c r="H8" s="49">
        <f>G8</f>
        <v/>
      </c>
      <c r="I8" s="49">
        <f>G8*1.15</f>
        <v/>
      </c>
      <c r="J8" s="49">
        <f>G8+H8+I8</f>
        <v/>
      </c>
      <c r="K8" s="47" t="inlineStr">
        <is>
          <t>Plain-language alert summaries for bedside staff; token growth in Year 3</t>
        </is>
      </c>
    </row>
    <row r="9" ht="26" customHeight="1">
      <c r="A9" s="42" t="inlineStr">
        <is>
          <t>Cloud Services</t>
        </is>
      </c>
      <c r="B9" s="43" t="inlineStr">
        <is>
          <t>Amazon RDS (Aurora PostgreSQL)</t>
        </is>
      </c>
      <c r="C9" s="43" t="inlineStr">
        <is>
          <t>db.r6g.large Multi-AZ cluster; operational data store for risk scores and alert history</t>
        </is>
      </c>
      <c r="D9" s="44" t="n">
        <v>2</v>
      </c>
      <c r="E9" s="43" t="inlineStr">
        <is>
          <t>Instance/Month</t>
        </is>
      </c>
      <c r="F9" s="45" t="n">
        <v>340</v>
      </c>
      <c r="G9" s="45">
        <f>D9*F9*12</f>
        <v/>
      </c>
      <c r="H9" s="45">
        <f>G9</f>
        <v/>
      </c>
      <c r="I9" s="45">
        <f>G9</f>
        <v/>
      </c>
      <c r="J9" s="45">
        <f>G9+H9+I9</f>
        <v/>
      </c>
      <c r="K9" s="43" t="inlineStr">
        <is>
          <t>Persistent risk score and audit trail storage</t>
        </is>
      </c>
    </row>
    <row r="10" ht="26" customHeight="1">
      <c r="A10" s="46" t="inlineStr">
        <is>
          <t>Cloud Services</t>
        </is>
      </c>
      <c r="B10" s="47" t="inlineStr">
        <is>
          <t>Amazon Redshift</t>
        </is>
      </c>
      <c r="C10" s="47" t="inlineStr">
        <is>
          <t>ra3.xlplus node; longitudinal outcomes warehouse for model performance monitoring</t>
        </is>
      </c>
      <c r="D10" s="48" t="n">
        <v>1</v>
      </c>
      <c r="E10" s="47" t="inlineStr">
        <is>
          <t>Node/Month</t>
        </is>
      </c>
      <c r="F10" s="49" t="n">
        <v>650</v>
      </c>
      <c r="G10" s="49">
        <f>D10*F10*12</f>
        <v/>
      </c>
      <c r="H10" s="49">
        <f>G10</f>
        <v/>
      </c>
      <c r="I10" s="49">
        <f>G10</f>
        <v/>
      </c>
      <c r="J10" s="49">
        <f>G10+H10+I10</f>
        <v/>
      </c>
      <c r="K10" s="47" t="inlineStr">
        <is>
          <t>Analytics and model drift monitoring</t>
        </is>
      </c>
    </row>
    <row r="11" ht="26" customHeight="1">
      <c r="A11" s="42" t="inlineStr">
        <is>
          <t>Cloud Services</t>
        </is>
      </c>
      <c r="B11" s="43" t="inlineStr">
        <is>
          <t>Amazon ElastiCache (Redis)</t>
        </is>
      </c>
      <c r="C11" s="43" t="inlineStr">
        <is>
          <t>cache.r7g.large cluster; real-time patient context cache for sub-3s inference latency</t>
        </is>
      </c>
      <c r="D11" s="44" t="n">
        <v>2</v>
      </c>
      <c r="E11" s="43" t="inlineStr">
        <is>
          <t>Node/Month</t>
        </is>
      </c>
      <c r="F11" s="45" t="n">
        <v>215</v>
      </c>
      <c r="G11" s="45">
        <f>D11*F11*12</f>
        <v/>
      </c>
      <c r="H11" s="45">
        <f>G11</f>
        <v/>
      </c>
      <c r="I11" s="45">
        <f>G11</f>
        <v/>
      </c>
      <c r="J11" s="45">
        <f>G11+H11+I11</f>
        <v/>
      </c>
      <c r="K11" s="43" t="inlineStr">
        <is>
          <t>Low-latency patient feature store for inference</t>
        </is>
      </c>
    </row>
    <row r="12" ht="26" customHeight="1">
      <c r="A12" s="46" t="inlineStr">
        <is>
          <t>Cloud Services</t>
        </is>
      </c>
      <c r="B12" s="47" t="inlineStr">
        <is>
          <t>Application Load Balancer</t>
        </is>
      </c>
      <c r="C12" s="47" t="inlineStr">
        <is>
          <t>2 ALBs: clinical dashboard API tier and internal ML inference routing</t>
        </is>
      </c>
      <c r="D12" s="48" t="n">
        <v>2</v>
      </c>
      <c r="E12" s="47" t="inlineStr">
        <is>
          <t>ALB/Month</t>
        </is>
      </c>
      <c r="F12" s="49" t="n">
        <v>22</v>
      </c>
      <c r="G12" s="49">
        <f>D12*F12*12</f>
        <v/>
      </c>
      <c r="H12" s="49">
        <f>G12</f>
        <v/>
      </c>
      <c r="I12" s="49">
        <f>G12</f>
        <v/>
      </c>
      <c r="J12" s="49">
        <f>G12+H12+I12</f>
        <v/>
      </c>
      <c r="K12" s="47" t="inlineStr">
        <is>
          <t>HTTPS termination and routing</t>
        </is>
      </c>
    </row>
    <row r="13" ht="26" customHeight="1">
      <c r="A13" s="42" t="inlineStr">
        <is>
          <t>Cloud Services</t>
        </is>
      </c>
      <c r="B13" s="43" t="inlineStr">
        <is>
          <t>AWS Lambda</t>
        </is>
      </c>
      <c r="C13" s="43" t="inlineStr">
        <is>
          <t>Serverless alert dispatch and EHR write-back functions; ~12M invocations/month</t>
        </is>
      </c>
      <c r="D13" s="44" t="n">
        <v>1</v>
      </c>
      <c r="E13" s="43" t="inlineStr">
        <is>
          <t>Service/Month</t>
        </is>
      </c>
      <c r="F13" s="45" t="n">
        <v>180</v>
      </c>
      <c r="G13" s="45">
        <f>D13*F13*12</f>
        <v/>
      </c>
      <c r="H13" s="45">
        <f>G13</f>
        <v/>
      </c>
      <c r="I13" s="45">
        <f>G13</f>
        <v/>
      </c>
      <c r="J13" s="45">
        <f>G13+H13+I13</f>
        <v/>
      </c>
      <c r="K13" s="43" t="inlineStr">
        <is>
          <t>Epic FHIR write-back and SNS notification dispatch</t>
        </is>
      </c>
    </row>
    <row r="14" ht="26" customHeight="1">
      <c r="A14" s="46" t="inlineStr">
        <is>
          <t>Cloud Services</t>
        </is>
      </c>
      <c r="B14" s="47" t="inlineStr">
        <is>
          <t>Amazon S3</t>
        </is>
      </c>
      <c r="C14" s="47" t="inlineStr">
        <is>
          <t>Raw data lake: HL7 event archive + model artefacts + audit exports; 5 TB</t>
        </is>
      </c>
      <c r="D14" s="48" t="n">
        <v>5000</v>
      </c>
      <c r="E14" s="47" t="inlineStr">
        <is>
          <t>GB/Month</t>
        </is>
      </c>
      <c r="F14" s="49" t="n">
        <v>0.023</v>
      </c>
      <c r="G14" s="49">
        <f>D14*F14*12</f>
        <v/>
      </c>
      <c r="H14" s="49">
        <f>G14</f>
        <v/>
      </c>
      <c r="I14" s="49">
        <f>G14</f>
        <v/>
      </c>
      <c r="J14" s="49">
        <f>G14+H14+I14</f>
        <v/>
      </c>
      <c r="K14" s="47" t="inlineStr">
        <is>
          <t>Versioned storage with Object Lock for HIPAA retention</t>
        </is>
      </c>
    </row>
    <row r="15" ht="26" customHeight="1">
      <c r="A15" s="42" t="inlineStr">
        <is>
          <t>Cloud Services</t>
        </is>
      </c>
      <c r="B15" s="43" t="inlineStr">
        <is>
          <t>Amazon EBS</t>
        </is>
      </c>
      <c r="C15" s="43" t="inlineStr">
        <is>
          <t>gp3 volumes attached to ECS/EC2 application tier nodes; 2 TB aggregate</t>
        </is>
      </c>
      <c r="D15" s="44" t="n">
        <v>2000</v>
      </c>
      <c r="E15" s="43" t="inlineStr">
        <is>
          <t>GB/Month</t>
        </is>
      </c>
      <c r="F15" s="45" t="n">
        <v>0.08</v>
      </c>
      <c r="G15" s="45">
        <f>D15*F15*12</f>
        <v/>
      </c>
      <c r="H15" s="45">
        <f>G15</f>
        <v/>
      </c>
      <c r="I15" s="45">
        <f>G15</f>
        <v/>
      </c>
      <c r="J15" s="45">
        <f>G15+H15+I15</f>
        <v/>
      </c>
      <c r="K15" s="43" t="inlineStr">
        <is>
          <t>Block storage for containerised application workloads</t>
        </is>
      </c>
    </row>
    <row r="16" ht="26" customHeight="1">
      <c r="A16" s="46" t="inlineStr">
        <is>
          <t>Cloud Services</t>
        </is>
      </c>
      <c r="B16" s="47" t="inlineStr">
        <is>
          <t>Amazon ECS (Fargate)</t>
        </is>
      </c>
      <c r="C16" s="47" t="inlineStr">
        <is>
          <t>Clinical dashboard and API services; ~8 vCPU / 16 GB running continuously</t>
        </is>
      </c>
      <c r="D16" s="48" t="n">
        <v>1</v>
      </c>
      <c r="E16" s="47" t="inlineStr">
        <is>
          <t>Service/Month</t>
        </is>
      </c>
      <c r="F16" s="49" t="n">
        <v>520</v>
      </c>
      <c r="G16" s="49">
        <f>D16*F16*12</f>
        <v/>
      </c>
      <c r="H16" s="49">
        <f>G16</f>
        <v/>
      </c>
      <c r="I16" s="49">
        <f>G16</f>
        <v/>
      </c>
      <c r="J16" s="49">
        <f>G16+H16+I16</f>
        <v/>
      </c>
      <c r="K16" s="47" t="inlineStr">
        <is>
          <t>Containerised app tier; scales with facility rollout</t>
        </is>
      </c>
    </row>
    <row r="17" ht="26" customHeight="1">
      <c r="A17" s="42" t="inlineStr">
        <is>
          <t>Cloud Services</t>
        </is>
      </c>
      <c r="B17" s="43" t="inlineStr">
        <is>
          <t>Amazon Cognito</t>
        </is>
      </c>
      <c r="C17" s="43" t="inlineStr">
        <is>
          <t>SAML 2.0 federation with MedCore Azure AD; ~4200 MAU clinical staff</t>
        </is>
      </c>
      <c r="D17" s="44" t="n">
        <v>1</v>
      </c>
      <c r="E17" s="43" t="inlineStr">
        <is>
          <t>Service/Month</t>
        </is>
      </c>
      <c r="F17" s="45" t="n">
        <v>90</v>
      </c>
      <c r="G17" s="45">
        <f>D17*F17*12</f>
        <v/>
      </c>
      <c r="H17" s="45">
        <f>G17</f>
        <v/>
      </c>
      <c r="I17" s="45">
        <f>G17</f>
        <v/>
      </c>
      <c r="J17" s="45">
        <f>G17+H17+I17</f>
        <v/>
      </c>
      <c r="K17" s="43" t="inlineStr">
        <is>
          <t>SSO identity federation for all clinical roles</t>
        </is>
      </c>
    </row>
    <row r="18" ht="26" customHeight="1">
      <c r="A18" s="46" t="inlineStr">
        <is>
          <t>Cloud Services</t>
        </is>
      </c>
      <c r="B18" s="47" t="inlineStr">
        <is>
          <t>VPC NAT Gateway</t>
        </is>
      </c>
      <c r="C18" s="47" t="inlineStr">
        <is>
          <t>2 AZ NAT Gateways for private subnet egress; HA across us-east-1 AZs</t>
        </is>
      </c>
      <c r="D18" s="48" t="n">
        <v>2</v>
      </c>
      <c r="E18" s="47" t="inlineStr">
        <is>
          <t>Gateway/Month</t>
        </is>
      </c>
      <c r="F18" s="49" t="n">
        <v>80</v>
      </c>
      <c r="G18" s="49">
        <f>D18*F18*12</f>
        <v/>
      </c>
      <c r="H18" s="49">
        <f>G18</f>
        <v/>
      </c>
      <c r="I18" s="49">
        <f>G18</f>
        <v/>
      </c>
      <c r="J18" s="49">
        <f>G18+H18+I18</f>
        <v/>
      </c>
      <c r="K18" s="47" t="inlineStr">
        <is>
          <t>Outbound internet for managed service APIs</t>
        </is>
      </c>
    </row>
    <row r="19" ht="26" customHeight="1">
      <c r="A19" s="42" t="inlineStr">
        <is>
          <t>Cloud Services</t>
        </is>
      </c>
      <c r="B19" s="43" t="inlineStr">
        <is>
          <t>Data Transfer Out</t>
        </is>
      </c>
      <c r="C19" s="43" t="inlineStr">
        <is>
          <t>~2 TB/month outbound to Epic system and clinical staff browsers</t>
        </is>
      </c>
      <c r="D19" s="44" t="n">
        <v>2000</v>
      </c>
      <c r="E19" s="43" t="inlineStr">
        <is>
          <t>GB/Month</t>
        </is>
      </c>
      <c r="F19" s="45" t="n">
        <v>0.09</v>
      </c>
      <c r="G19" s="45">
        <f>D19*F19*12</f>
        <v/>
      </c>
      <c r="H19" s="45">
        <f>G19</f>
        <v/>
      </c>
      <c r="I19" s="45">
        <f>G19*1.1</f>
        <v/>
      </c>
      <c r="J19" s="45">
        <f>G19+H19+I19</f>
        <v/>
      </c>
      <c r="K19" s="43" t="inlineStr">
        <is>
          <t>Egress charges; grows with facility count in Year 3</t>
        </is>
      </c>
    </row>
    <row r="20" ht="26" customHeight="1">
      <c r="A20" s="46" t="inlineStr">
        <is>
          <t>Cloud Services</t>
        </is>
      </c>
      <c r="B20" s="47" t="inlineStr">
        <is>
          <t>Amazon CloudWatch</t>
        </is>
      </c>
      <c r="C20" s="47" t="inlineStr">
        <is>
          <t>Log ingestion 100 GB/month + dashboards + alarms for all pipeline components</t>
        </is>
      </c>
      <c r="D20" s="48" t="n">
        <v>1</v>
      </c>
      <c r="E20" s="47" t="inlineStr">
        <is>
          <t>Service/Month</t>
        </is>
      </c>
      <c r="F20" s="49" t="n">
        <v>350</v>
      </c>
      <c r="G20" s="49">
        <f>D20*F20*12</f>
        <v/>
      </c>
      <c r="H20" s="49">
        <f>G20</f>
        <v/>
      </c>
      <c r="I20" s="49">
        <f>G20</f>
        <v/>
      </c>
      <c r="J20" s="49">
        <f>G20+H20+I20</f>
        <v/>
      </c>
      <c r="K20" s="47" t="inlineStr">
        <is>
          <t>Observability for pipeline latency and model drift</t>
        </is>
      </c>
    </row>
    <row r="21" ht="26" customHeight="1">
      <c r="A21" s="42" t="inlineStr">
        <is>
          <t>Cloud Services</t>
        </is>
      </c>
      <c r="B21" s="43" t="inlineStr">
        <is>
          <t>AWS CloudTrail</t>
        </is>
      </c>
      <c r="C21" s="43" t="inlineStr">
        <is>
          <t>HIPAA audit log of all PHI access events; organisation-level trail</t>
        </is>
      </c>
      <c r="D21" s="44" t="n">
        <v>1</v>
      </c>
      <c r="E21" s="43" t="inlineStr">
        <is>
          <t>Service/Month</t>
        </is>
      </c>
      <c r="F21" s="45" t="n">
        <v>60</v>
      </c>
      <c r="G21" s="45">
        <f>D21*F21*12</f>
        <v/>
      </c>
      <c r="H21" s="45">
        <f>G21</f>
        <v/>
      </c>
      <c r="I21" s="45">
        <f>G21</f>
        <v/>
      </c>
      <c r="J21" s="45">
        <f>G21+H21+I21</f>
        <v/>
      </c>
      <c r="K21" s="43" t="inlineStr">
        <is>
          <t>Mandatory PHI access audit for HIPAA compliance</t>
        </is>
      </c>
    </row>
    <row r="22" ht="26" customHeight="1">
      <c r="A22" s="46" t="inlineStr">
        <is>
          <t>Cloud Services</t>
        </is>
      </c>
      <c r="B22" s="47" t="inlineStr">
        <is>
          <t>AWS WAF</t>
        </is>
      </c>
      <c r="C22" s="47" t="inlineStr">
        <is>
          <t>Web ACL protecting ALBs and API Gateway; OWASP + healthcare rule set</t>
        </is>
      </c>
      <c r="D22" s="48" t="n">
        <v>1</v>
      </c>
      <c r="E22" s="47" t="inlineStr">
        <is>
          <t>Service/Month</t>
        </is>
      </c>
      <c r="F22" s="49" t="n">
        <v>75</v>
      </c>
      <c r="G22" s="49">
        <f>D22*F22*12</f>
        <v/>
      </c>
      <c r="H22" s="49">
        <f>G22</f>
        <v/>
      </c>
      <c r="I22" s="49">
        <f>G22</f>
        <v/>
      </c>
      <c r="J22" s="49">
        <f>G22+H22+I22</f>
        <v/>
      </c>
      <c r="K22" s="47" t="inlineStr">
        <is>
          <t>Layer 7 protection for clinical API endpoints</t>
        </is>
      </c>
    </row>
    <row r="23" ht="26" customHeight="1">
      <c r="A23" s="42" t="inlineStr">
        <is>
          <t>Cloud Services</t>
        </is>
      </c>
      <c r="B23" s="43" t="inlineStr">
        <is>
          <t>AWS KMS</t>
        </is>
      </c>
      <c r="C23" s="43" t="inlineStr">
        <is>
          <t>CMKs for PHI encryption at rest across HealthLake, RDS, S3, and EBS</t>
        </is>
      </c>
      <c r="D23" s="44" t="n">
        <v>1</v>
      </c>
      <c r="E23" s="43" t="inlineStr">
        <is>
          <t>Service/Month</t>
        </is>
      </c>
      <c r="F23" s="45" t="n">
        <v>80</v>
      </c>
      <c r="G23" s="45">
        <f>D23*F23*12</f>
        <v/>
      </c>
      <c r="H23" s="45">
        <f>G23</f>
        <v/>
      </c>
      <c r="I23" s="45">
        <f>G23</f>
        <v/>
      </c>
      <c r="J23" s="45">
        <f>G23+H23+I23</f>
        <v/>
      </c>
      <c r="K23" s="43" t="inlineStr">
        <is>
          <t>HIPAA-required encryption key management</t>
        </is>
      </c>
    </row>
    <row r="24" ht="26" customHeight="1">
      <c r="A24" s="46" t="inlineStr">
        <is>
          <t>Cloud Services</t>
        </is>
      </c>
      <c r="B24" s="47" t="inlineStr">
        <is>
          <t>AWS Secrets Manager</t>
        </is>
      </c>
      <c r="C24" s="47" t="inlineStr">
        <is>
          <t>Secrets rotation for RDS credentials, Epic API tokens, and integration keys</t>
        </is>
      </c>
      <c r="D24" s="48" t="n">
        <v>1</v>
      </c>
      <c r="E24" s="47" t="inlineStr">
        <is>
          <t>Service/Month</t>
        </is>
      </c>
      <c r="F24" s="49" t="n">
        <v>25</v>
      </c>
      <c r="G24" s="49">
        <f>D24*F24*12</f>
        <v/>
      </c>
      <c r="H24" s="49">
        <f>G24</f>
        <v/>
      </c>
      <c r="I24" s="49">
        <f>G24</f>
        <v/>
      </c>
      <c r="J24" s="49">
        <f>G24+H24+I24</f>
        <v/>
      </c>
      <c r="K24" s="47" t="inlineStr">
        <is>
          <t>Centralised secrets store</t>
        </is>
      </c>
    </row>
    <row r="25" ht="26" customHeight="1">
      <c r="A25" s="42" t="inlineStr">
        <is>
          <t>Cloud Services</t>
        </is>
      </c>
      <c r="B25" s="43" t="inlineStr">
        <is>
          <t>Amazon GuardDuty</t>
        </is>
      </c>
      <c r="C25" s="43" t="inlineStr">
        <is>
          <t>Threat detection across all accounts in Clinical Applications OU</t>
        </is>
      </c>
      <c r="D25" s="44" t="n">
        <v>1</v>
      </c>
      <c r="E25" s="43" t="inlineStr">
        <is>
          <t>Service/Month</t>
        </is>
      </c>
      <c r="F25" s="45" t="n">
        <v>90</v>
      </c>
      <c r="G25" s="45">
        <f>D25*F25*12</f>
        <v/>
      </c>
      <c r="H25" s="45">
        <f>G25</f>
        <v/>
      </c>
      <c r="I25" s="45">
        <f>G25</f>
        <v/>
      </c>
      <c r="J25" s="45">
        <f>G25+H25+I25</f>
        <v/>
      </c>
      <c r="K25" s="43" t="inlineStr">
        <is>
          <t>Continuous cloud threat monitoring for HIPAA</t>
        </is>
      </c>
    </row>
    <row r="26" ht="26" customHeight="1">
      <c r="A26" s="46" t="inlineStr">
        <is>
          <t>Cloud Services</t>
        </is>
      </c>
      <c r="B26" s="47" t="inlineStr">
        <is>
          <t>AWS Config</t>
        </is>
      </c>
      <c r="C26" s="47" t="inlineStr">
        <is>
          <t>Configuration compliance rules for HIPAA and SOC 2 posture checks</t>
        </is>
      </c>
      <c r="D26" s="48" t="n">
        <v>1</v>
      </c>
      <c r="E26" s="47" t="inlineStr">
        <is>
          <t>Service/Month</t>
        </is>
      </c>
      <c r="F26" s="49" t="n">
        <v>55</v>
      </c>
      <c r="G26" s="49">
        <f>D26*F26*12</f>
        <v/>
      </c>
      <c r="H26" s="49">
        <f>G26</f>
        <v/>
      </c>
      <c r="I26" s="49">
        <f>G26</f>
        <v/>
      </c>
      <c r="J26" s="49">
        <f>G26+H26+I26</f>
        <v/>
      </c>
      <c r="K26" s="47" t="inlineStr">
        <is>
          <t>Continuous compliance evidence for SOC 2 Type II</t>
        </is>
      </c>
    </row>
    <row r="27" ht="26" customHeight="1">
      <c r="A27" s="42" t="inlineStr">
        <is>
          <t>Cloud Services</t>
        </is>
      </c>
      <c r="B27" s="43" t="inlineStr">
        <is>
          <t>Amazon SNS</t>
        </is>
      </c>
      <c r="C27" s="43" t="inlineStr">
        <is>
          <t>Alert notification delivery to Epic and clinical staff mobile devices</t>
        </is>
      </c>
      <c r="D27" s="44" t="n">
        <v>1</v>
      </c>
      <c r="E27" s="43" t="inlineStr">
        <is>
          <t>Service/Month</t>
        </is>
      </c>
      <c r="F27" s="45" t="n">
        <v>30</v>
      </c>
      <c r="G27" s="45">
        <f>D27*F27*12</f>
        <v/>
      </c>
      <c r="H27" s="45">
        <f>G27</f>
        <v/>
      </c>
      <c r="I27" s="45">
        <f>G27</f>
        <v/>
      </c>
      <c r="J27" s="45">
        <f>G27+H27+I27</f>
        <v/>
      </c>
      <c r="K27" s="43" t="inlineStr">
        <is>
          <t>Push notifications for risk score alerts</t>
        </is>
      </c>
    </row>
    <row r="28" ht="26" customHeight="1">
      <c r="A28" s="46" t="inlineStr">
        <is>
          <t>Connectivity</t>
        </is>
      </c>
      <c r="B28" s="47" t="inlineStr">
        <is>
          <t>AWS Direct Connect</t>
        </is>
      </c>
      <c r="C28" s="47" t="inlineStr">
        <is>
          <t>1 Gbps hosted connection from MedCore Nashville DC to AWS us-east-1; HA pair</t>
        </is>
      </c>
      <c r="D28" s="48" t="n">
        <v>1</v>
      </c>
      <c r="E28" s="47" t="inlineStr">
        <is>
          <t>Port/Month</t>
        </is>
      </c>
      <c r="F28" s="49" t="n">
        <v>750</v>
      </c>
      <c r="G28" s="49">
        <f>D28*F28*12</f>
        <v/>
      </c>
      <c r="H28" s="49">
        <f>G28</f>
        <v/>
      </c>
      <c r="I28" s="49">
        <f>G28</f>
        <v/>
      </c>
      <c r="J28" s="49">
        <f>G28+H28+I28</f>
        <v/>
      </c>
      <c r="K28" s="47" t="inlineStr">
        <is>
          <t>Dedicated private link for Epic and HL7 feed ingestion</t>
        </is>
      </c>
    </row>
    <row r="29" ht="26" customHeight="1">
      <c r="A29" s="42" t="inlineStr">
        <is>
          <t>Connectivity</t>
        </is>
      </c>
      <c r="B29" s="43" t="inlineStr">
        <is>
          <t>VPN Backup</t>
        </is>
      </c>
      <c r="C29" s="43" t="inlineStr">
        <is>
          <t>Site-to-site VPN as secondary path for Direct Connect failover</t>
        </is>
      </c>
      <c r="D29" s="44" t="n">
        <v>1</v>
      </c>
      <c r="E29" s="43" t="inlineStr">
        <is>
          <t>Connection/Month</t>
        </is>
      </c>
      <c r="F29" s="45" t="n">
        <v>36</v>
      </c>
      <c r="G29" s="45">
        <f>D29*F29*12</f>
        <v/>
      </c>
      <c r="H29" s="45">
        <f>G29</f>
        <v/>
      </c>
      <c r="I29" s="45">
        <f>G29</f>
        <v/>
      </c>
      <c r="J29" s="45">
        <f>G29+H29+I29</f>
        <v/>
      </c>
      <c r="K29" s="43" t="inlineStr">
        <is>
          <t>Redundant connectivity for 99.95% availability SLA</t>
        </is>
      </c>
    </row>
    <row r="30" ht="26" customHeight="1">
      <c r="A30" s="46" t="inlineStr">
        <is>
          <t>Support &amp; Maintenance</t>
        </is>
      </c>
      <c r="B30" s="47" t="inlineStr">
        <is>
          <t>AWS Business Support</t>
        </is>
      </c>
      <c r="C30" s="47" t="inlineStr">
        <is>
          <t>AWS Business Support tier; 24/7 access and &lt;1 hour critical response time</t>
        </is>
      </c>
      <c r="D30" s="48" t="n">
        <v>1</v>
      </c>
      <c r="E30" s="47" t="inlineStr">
        <is>
          <t>Service/Month</t>
        </is>
      </c>
      <c r="F30" s="49" t="n">
        <v>1800</v>
      </c>
      <c r="G30" s="49">
        <f>D30*F30*12</f>
        <v/>
      </c>
      <c r="H30" s="49">
        <f>G30</f>
        <v/>
      </c>
      <c r="I30" s="49">
        <f>G30</f>
        <v/>
      </c>
      <c r="J30" s="49">
        <f>G30+H30+I30</f>
        <v/>
      </c>
      <c r="K30" s="47" t="inlineStr">
        <is>
          <t>Estimated at 10% of monthly infrastructure; critical for clinical SLA</t>
        </is>
      </c>
    </row>
    <row r="31" ht="26" customHeight="1">
      <c r="A31" s="42" t="inlineStr">
        <is>
          <t>Software Licenses</t>
        </is>
      </c>
      <c r="B31" s="43" t="inlineStr">
        <is>
          <t>Datadog APM &amp; Logs</t>
        </is>
      </c>
      <c r="C31" s="43" t="inlineStr">
        <is>
          <t>Infrastructure APM + log management for 20 hosts across ECS and SageMaker</t>
        </is>
      </c>
      <c r="D31" s="44" t="n">
        <v>20</v>
      </c>
      <c r="E31" s="43" t="inlineStr">
        <is>
          <t>Host/Month</t>
        </is>
      </c>
      <c r="F31" s="45" t="n">
        <v>31</v>
      </c>
      <c r="G31" s="45">
        <f>D31*F31*12</f>
        <v/>
      </c>
      <c r="H31" s="45">
        <f>G31</f>
        <v/>
      </c>
      <c r="I31" s="45">
        <f>G31</f>
        <v/>
      </c>
      <c r="J31" s="45">
        <f>G31+H31+I31</f>
        <v/>
      </c>
      <c r="K31" s="43" t="inlineStr">
        <is>
          <t>Enhanced observability and real-time pipeline alerting</t>
        </is>
      </c>
    </row>
    <row r="32" ht="26" customHeight="1">
      <c r="A32" s="46" t="inlineStr">
        <is>
          <t>Software Licenses</t>
        </is>
      </c>
      <c r="B32" s="47" t="inlineStr">
        <is>
          <t>Snyk (Container Security)</t>
        </is>
      </c>
      <c r="C32" s="47" t="inlineStr">
        <is>
          <t>Container image scanning for ECS workloads; Business tier</t>
        </is>
      </c>
      <c r="D32" s="48" t="n">
        <v>1</v>
      </c>
      <c r="E32" s="47" t="inlineStr">
        <is>
          <t>Service/Month</t>
        </is>
      </c>
      <c r="F32" s="49" t="n">
        <v>300</v>
      </c>
      <c r="G32" s="49">
        <f>D32*F32*12</f>
        <v/>
      </c>
      <c r="H32" s="49">
        <f>G32</f>
        <v/>
      </c>
      <c r="I32" s="49">
        <f>G32</f>
        <v/>
      </c>
      <c r="J32" s="49">
        <f>G32+H32+I32</f>
        <v/>
      </c>
      <c r="K32" s="47" t="inlineStr">
        <is>
          <t>Shift-left security scanning for HIPAA posture</t>
        </is>
      </c>
    </row>
    <row r="33" ht="26" customHeight="1">
      <c r="A33" s="42" t="inlineStr">
        <is>
          <t>Facilities</t>
        </is>
      </c>
      <c r="B33" s="43" t="inlineStr">
        <is>
          <t>Data Center (Cloud-Only)</t>
        </is>
      </c>
      <c r="C33" s="43" t="inlineStr">
        <is>
          <t>No physical data center required; all workloads run in AWS us-east-1 and us-west-2</t>
        </is>
      </c>
      <c r="D33" s="44" t="n">
        <v>0</v>
      </c>
      <c r="E33" s="43" t="inlineStr">
        <is>
          <t>N/A</t>
        </is>
      </c>
      <c r="F33" s="45" t="n">
        <v>0</v>
      </c>
      <c r="G33" s="45" t="n">
        <v>0</v>
      </c>
      <c r="H33" s="44" t="n">
        <v>0</v>
      </c>
      <c r="I33" s="44" t="n">
        <v>0</v>
      </c>
      <c r="J33" s="44" t="n">
        <v>0</v>
      </c>
      <c r="K33" s="43" t="inlineStr">
        <is>
          <t>Cloud-native solution; no facilities cost</t>
        </is>
      </c>
    </row>
    <row r="34" ht="26" customHeight="1">
      <c r="A34" s="50" t="inlineStr">
        <is>
          <t>TOTAL</t>
        </is>
      </c>
      <c r="B34" s="51" t="n"/>
      <c r="C34" s="51" t="n"/>
      <c r="D34" s="51" t="n"/>
      <c r="E34" s="51" t="n"/>
      <c r="F34" s="51" t="n"/>
      <c r="G34" s="52">
        <f>SUM(G3:G33)</f>
        <v/>
      </c>
      <c r="H34" s="52">
        <f>SUM(H3:H33)</f>
        <v/>
      </c>
      <c r="I34" s="52">
        <f>SUM(I3:I33)</f>
        <v/>
      </c>
      <c r="J34" s="52">
        <f>SUM(J3:J33)</f>
        <v/>
      </c>
      <c r="K34" s="51" t="n"/>
    </row>
  </sheetData>
  <autoFilter ref="A2:K3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credits; fully cloud-native solution</t>
        </is>
      </c>
    </row>
    <row r="4" ht="26" customHeight="1">
      <c r="A4" s="46" t="inlineStr">
        <is>
          <t>Cloud Services</t>
        </is>
      </c>
      <c r="B4" s="47" t="inlineStr">
        <is>
          <t>AWS MAP Credit</t>
        </is>
      </c>
      <c r="C4" s="49" t="n">
        <v>-15000</v>
      </c>
      <c r="D4" s="47" t="inlineStr">
        <is>
          <t>AWS Migration Acceleration Program credit applied to Year 1 infrastructure consumption</t>
        </is>
      </c>
    </row>
    <row r="5" ht="26" customHeight="1">
      <c r="A5" s="42" t="inlineStr">
        <is>
          <t>Cloud Services</t>
        </is>
      </c>
      <c r="B5" s="43" t="inlineStr">
        <is>
          <t>Reserved Instance Savings</t>
        </is>
      </c>
      <c r="C5" s="45" t="n">
        <v>-18000</v>
      </c>
      <c r="D5" s="43" t="inlineStr">
        <is>
          <t>1-year Reserved Instance commitment on SageMaker, RDS, ElastiCache, and MSK (est. 30% discount)</t>
        </is>
      </c>
    </row>
    <row r="6" ht="26" customHeight="1">
      <c r="A6" s="46" t="inlineStr">
        <is>
          <t>Cloud Services</t>
        </is>
      </c>
      <c r="B6" s="47" t="inlineStr">
        <is>
          <t>AWS HealthLake Launch Credit</t>
        </is>
      </c>
      <c r="C6" s="49" t="n">
        <v>-5000</v>
      </c>
      <c r="D6" s="47" t="inlineStr">
        <is>
          <t>AWS healthcare sector program credit for HealthLake and Bedrock usage in Year 1</t>
        </is>
      </c>
    </row>
    <row r="7" ht="26" customHeight="1">
      <c r="A7" s="42" t="inlineStr">
        <is>
          <t>Software Licenses</t>
        </is>
      </c>
      <c r="B7" s="43" t="inlineStr">
        <is>
          <t>Datadog Partner Credit</t>
        </is>
      </c>
      <c r="C7" s="45" t="n">
        <v>-2400</v>
      </c>
      <c r="D7" s="43" t="inlineStr">
        <is>
          <t>Datadog AWS ISV partner program; 4 months free on 20-host APM subscription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connectivity credits available</t>
        </is>
      </c>
    </row>
    <row r="9" ht="26" customHeight="1">
      <c r="A9" s="42" t="inlineStr">
        <is>
          <t>Support &amp; Maintenance</t>
        </is>
      </c>
      <c r="B9" s="43" t="inlineStr">
        <is>
          <t>Program Credit</t>
        </is>
      </c>
      <c r="C9" s="45" t="n">
        <v>0</v>
      </c>
      <c r="D9" s="43" t="inlineStr">
        <is>
          <t>No support credits available for Business Support tier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costs; cloud-only solution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2026-06-29T23:27:03Z</dcterms:modified>
  <cp:lastModifiedBy>Kishan Siram</cp:lastModifiedBy>
</cp:coreProperties>
</file>