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Assumptions'!$A$2:$G$11</definedName>
    <definedName name="_xlnm._FilterDatabase" localSheetId="2" hidden="1">'Estimate Settings'!$A$2:$D$8</definedName>
    <definedName name="_xlnm._FilterDatabase" localSheetId="3" hidden="1">'LOE'!$A$2:$K$78</definedName>
    <definedName name="_xlnm._FilterDatabase" localSheetId="4" hidden="1">'Credits'!$A$2:$C$7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29, 2026</t>
        </is>
      </c>
    </row>
    <row r="6" ht="18" customHeight="1">
      <c r="B6" s="2" t="inlineStr">
        <is>
          <t>Solution:</t>
        </is>
      </c>
      <c r="C6" s="3" t="inlineStr">
        <is>
          <t>Tmp2Vuewb8H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Users / Clinical Staff</t>
        </is>
      </c>
      <c r="B3" s="37" t="inlineStr">
        <is>
          <t>Single hospital unit</t>
        </is>
      </c>
      <c r="C3" s="38" t="inlineStr">
        <is>
          <t>~4200 staff across 18 hospitals and 60+ clinics</t>
        </is>
      </c>
      <c r="D3" s="37" t="inlineStr">
        <is>
          <t>50-100 users</t>
        </is>
      </c>
      <c r="E3" s="37" t="inlineStr">
        <is>
          <t>500-1000 users</t>
        </is>
      </c>
      <c r="F3" s="37" t="inlineStr">
        <is>
          <t>4000+ users</t>
        </is>
      </c>
      <c r="G3" s="37" t="inlineStr">
        <is>
          <t>Alert consumers include nurses, hospitalists, and admins; phased rollout per facility</t>
        </is>
      </c>
    </row>
    <row r="4" ht="26" customHeight="1">
      <c r="A4" s="39" t="inlineStr">
        <is>
          <t>Regions / Facilities</t>
        </is>
      </c>
      <c r="B4" s="40" t="inlineStr">
        <is>
          <t>Single facility</t>
        </is>
      </c>
      <c r="C4" s="38" t="inlineStr">
        <is>
          <t>18 hospitals + 60+ outpatient clinics (southeastern US)</t>
        </is>
      </c>
      <c r="D4" s="40" t="inlineStr">
        <is>
          <t>1 site</t>
        </is>
      </c>
      <c r="E4" s="40" t="inlineStr">
        <is>
          <t>2-5 sites</t>
        </is>
      </c>
      <c r="F4" s="40" t="inlineStr">
        <is>
          <t>18+ sites</t>
        </is>
      </c>
      <c r="G4" s="40" t="inlineStr">
        <is>
          <t>Multi-region AWS resiliency required; phased go-live by facility cohort</t>
        </is>
      </c>
    </row>
    <row r="5" ht="26" customHeight="1">
      <c r="A5" s="36" t="inlineStr">
        <is>
          <t>Data Volume / Patient Records</t>
        </is>
      </c>
      <c r="B5" s="37" t="inlineStr">
        <is>
          <t>Low-volume EHR feeds</t>
        </is>
      </c>
      <c r="C5" s="38" t="inlineStr">
        <is>
          <t>~2.1 million patients annually; real-time vitals, labs, and EHR events</t>
        </is>
      </c>
      <c r="D5" s="37" t="inlineStr">
        <is>
          <t>&lt; 100K records/yr</t>
        </is>
      </c>
      <c r="E5" s="37" t="inlineStr">
        <is>
          <t>100K-1M records/yr</t>
        </is>
      </c>
      <c r="F5" s="37" t="inlineStr">
        <is>
          <t>2M+ records/yr</t>
        </is>
      </c>
      <c r="G5" s="37" t="inlineStr">
        <is>
          <t>Real-time streaming via Kinesis; latency SLA &lt; 3 seconds end-to-end</t>
        </is>
      </c>
    </row>
    <row r="6" ht="26" customHeight="1">
      <c r="A6" s="39" t="inlineStr">
        <is>
          <t>Integration Points</t>
        </is>
      </c>
      <c r="B6" s="40" t="inlineStr">
        <is>
          <t>No external integrations</t>
        </is>
      </c>
      <c r="C6" s="38" t="inlineStr">
        <is>
          <t>Epic FHIR R4 API, Mirth Connect HL7 v2.3, Azure AD SSO, SQL Server nightly export</t>
        </is>
      </c>
      <c r="D6" s="40" t="inlineStr">
        <is>
          <t>1-2 integrations</t>
        </is>
      </c>
      <c r="E6" s="40" t="inlineStr">
        <is>
          <t>3-5 integrations</t>
        </is>
      </c>
      <c r="F6" s="40" t="inlineStr">
        <is>
          <t>6+ integrations</t>
        </is>
      </c>
      <c r="G6" s="40" t="inlineStr">
        <is>
          <t>Event-driven only (no batch); Philips and GE bedside monitor streams included</t>
        </is>
      </c>
    </row>
    <row r="7" ht="26" customHeight="1">
      <c r="A7" s="36" t="inlineStr">
        <is>
          <t>Environments</t>
        </is>
      </c>
      <c r="B7" s="37" t="inlineStr">
        <is>
          <t>Single environment</t>
        </is>
      </c>
      <c r="C7" s="38" t="inlineStr">
        <is>
          <t>Dev / QA / Staging / Production (4 environments)</t>
        </is>
      </c>
      <c r="D7" s="37" t="inlineStr">
        <is>
          <t>1 (prod only)</t>
        </is>
      </c>
      <c r="E7" s="37" t="inlineStr">
        <is>
          <t>2 (dev + prod)</t>
        </is>
      </c>
      <c r="F7" s="37" t="inlineStr">
        <is>
          <t>4 (dev, QA, staging, prod)</t>
        </is>
      </c>
      <c r="G7" s="37" t="inlineStr">
        <is>
          <t>Dedicated AWS account under MedCore Clinical Applications OU</t>
        </is>
      </c>
    </row>
    <row r="8" ht="26" customHeight="1">
      <c r="A8" s="39" t="inlineStr">
        <is>
          <t>AI/ML Models</t>
        </is>
      </c>
      <c r="B8" s="40" t="inlineStr">
        <is>
          <t>Single pre-built model</t>
        </is>
      </c>
      <c r="C8" s="38" t="inlineStr">
        <is>
          <t>3 custom models (sepsis; readmission; rapid response) + LLM summarization</t>
        </is>
      </c>
      <c r="D8" s="40" t="inlineStr">
        <is>
          <t>1 model (pre-built)</t>
        </is>
      </c>
      <c r="E8" s="40" t="inlineStr">
        <is>
          <t>2-3 models (custom)</t>
        </is>
      </c>
      <c r="F8" s="40" t="inlineStr">
        <is>
          <t>4+ models + LLM</t>
        </is>
      </c>
      <c r="G8" s="40" t="inlineStr">
        <is>
          <t>Model explainability required per alert; continuous retraining pipeline required</t>
        </is>
      </c>
    </row>
    <row r="9" ht="26" customHeight="1">
      <c r="A9" s="36" t="inlineStr">
        <is>
          <t>Compliance Frameworks</t>
        </is>
      </c>
      <c r="B9" s="37" t="inlineStr">
        <is>
          <t>No specific compliance</t>
        </is>
      </c>
      <c r="C9" s="38" t="inlineStr">
        <is>
          <t>HIPAA BAA + HITECH + SOC 2 Type II + PHI audit logging</t>
        </is>
      </c>
      <c r="D9" s="37" t="inlineStr">
        <is>
          <t>No regulatory requirements</t>
        </is>
      </c>
      <c r="E9" s="37" t="inlineStr">
        <is>
          <t>HIPAA baseline</t>
        </is>
      </c>
      <c r="F9" s="37" t="inlineStr">
        <is>
          <t>HIPAA + HITECH + SOC 2 Type II</t>
        </is>
      </c>
      <c r="G9" s="37" t="inlineStr">
        <is>
          <t>BAA with AWS required; all PHI must remain in US AWS regions; full audit log mandatory</t>
        </is>
      </c>
    </row>
    <row r="10" ht="26" customHeight="1">
      <c r="A10" s="39" t="inlineStr">
        <is>
          <t>SLA / Availability Target</t>
        </is>
      </c>
      <c r="B10" s="40" t="inlineStr">
        <is>
          <t>Best-effort (99.0%)</t>
        </is>
      </c>
      <c r="C10" s="38" t="inlineStr">
        <is>
          <t>99.95% platform availability (excluding maintenance windows)</t>
        </is>
      </c>
      <c r="D10" s="40" t="inlineStr">
        <is>
          <t>99.0%</t>
        </is>
      </c>
      <c r="E10" s="40" t="inlineStr">
        <is>
          <t>99.9%</t>
        </is>
      </c>
      <c r="F10" s="40" t="inlineStr">
        <is>
          <t>99.95%</t>
        </is>
      </c>
      <c r="G10" s="40" t="inlineStr">
        <is>
          <t>Multi-AZ + multi-region active/passive; automated failover required</t>
        </is>
      </c>
    </row>
    <row r="11" ht="26" customHeight="1">
      <c r="A11" s="36" t="inlineStr">
        <is>
          <t>Timeline Phases</t>
        </is>
      </c>
      <c r="B11" s="37" t="inlineStr">
        <is>
          <t>Single-phase delivery</t>
        </is>
      </c>
      <c r="C11" s="38" t="inlineStr">
        <is>
          <t>3 phases: Phase 1 by 2026-10-31; Phase 2 by 2027-02-28; Phase 3 by 2027-06-30</t>
        </is>
      </c>
      <c r="D11" s="37" t="inlineStr">
        <is>
          <t>1 phase</t>
        </is>
      </c>
      <c r="E11" s="37" t="inlineStr">
        <is>
          <t>2 phases</t>
        </is>
      </c>
      <c r="F11" s="37" t="inlineStr">
        <is>
          <t>3 phases</t>
        </is>
      </c>
      <c r="G11" s="37" t="inlineStr">
        <is>
          <t>Phase 1 hard deadline tied to Joint Commission accreditation review (Nov 2026)</t>
        </is>
      </c>
    </row>
  </sheetData>
  <autoFilter ref="A2:G11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1.2</v>
      </c>
      <c r="D3" s="37" t="inlineStr">
        <is>
          <t>Elevated due to complex HIPAA/PHI requirements and multi-stakeholder clinical environment</t>
        </is>
      </c>
    </row>
    <row r="4" ht="26" customHeight="1">
      <c r="A4" s="39" t="inlineStr">
        <is>
          <t>Planning</t>
        </is>
      </c>
      <c r="B4" s="40" t="inlineStr">
        <is>
          <t>planning_factor</t>
        </is>
      </c>
      <c r="C4" s="42" t="n">
        <v>1.3</v>
      </c>
      <c r="D4" s="40" t="inlineStr">
        <is>
          <t>Large-scale AWS AI/ML platform design with multi-region HA and EHR integration complexity</t>
        </is>
      </c>
    </row>
    <row r="5" ht="26" customHeight="1">
      <c r="A5" s="36" t="inlineStr">
        <is>
          <t>Development</t>
        </is>
      </c>
      <c r="B5" s="37" t="inlineStr">
        <is>
          <t>development_factor</t>
        </is>
      </c>
      <c r="C5" s="41" t="n">
        <v>1.5</v>
      </c>
      <c r="D5" s="37" t="inlineStr">
        <is>
          <t>Custom ML model development + real-time streaming pipeline + Epic FHIR integration at enterprise scale</t>
        </is>
      </c>
    </row>
    <row r="6" ht="26" customHeight="1">
      <c r="A6" s="39" t="inlineStr">
        <is>
          <t>Testing</t>
        </is>
      </c>
      <c r="B6" s="40" t="inlineStr">
        <is>
          <t>testing_factor</t>
        </is>
      </c>
      <c r="C6" s="42" t="n">
        <v>1.3</v>
      </c>
      <c r="D6" s="40" t="inlineStr">
        <is>
          <t>Clinical validation and model accuracy testing required alongside standard QA; compliance testing mandatory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1.2</v>
      </c>
      <c r="D7" s="37" t="inlineStr">
        <is>
          <t>Phased rollout across 18 facilities with per-facility UAT and go-live coordination</t>
        </is>
      </c>
    </row>
    <row r="8" ht="26" customHeight="1">
      <c r="A8" s="39" t="inlineStr">
        <is>
          <t>Management</t>
        </is>
      </c>
      <c r="B8" s="40" t="inlineStr">
        <is>
          <t>management_factor</t>
        </is>
      </c>
      <c r="C8" s="42" t="n">
        <v>1</v>
      </c>
      <c r="D8" s="40" t="inlineStr">
        <is>
          <t>Project management and technical leadership overhead (10% of engineering hours)</t>
        </is>
      </c>
    </row>
    <row r="10" ht="20" customHeight="1">
      <c r="A10" s="43" t="inlineStr">
        <is>
          <t>EO Sales Engineer Updates Multipliers Based on Customer Scope</t>
        </is>
      </c>
    </row>
  </sheetData>
  <autoFilter ref="A2:D8"/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Initiation</t>
        </is>
      </c>
      <c r="C3" s="45" t="inlineStr">
        <is>
          <t>Project kickoff meeting and stakeholder alignment across CMO, CIO, CISO and EHR Lead</t>
        </is>
      </c>
      <c r="D3" s="45" t="inlineStr">
        <is>
          <t>Project Manager</t>
        </is>
      </c>
      <c r="E3" s="46" t="n">
        <v>12</v>
      </c>
      <c r="F3" s="47" t="n">
        <v>1.2</v>
      </c>
      <c r="G3" s="46" t="n">
        <v>14</v>
      </c>
      <c r="H3" s="48" t="n">
        <v>175</v>
      </c>
      <c r="I3" s="48" t="n">
        <v>2450</v>
      </c>
      <c r="J3" s="45" t="inlineStr"/>
      <c r="K3" s="45" t="inlineStr">
        <is>
          <t>Multi-stakeholder kickoff; establish RACI and communication cadence</t>
        </is>
      </c>
    </row>
    <row r="4" ht="26" customHeight="1">
      <c r="A4" s="49" t="inlineStr">
        <is>
          <t>Discovery</t>
        </is>
      </c>
      <c r="B4" s="50" t="inlineStr">
        <is>
          <t>Project Initiation</t>
        </is>
      </c>
      <c r="C4" s="50" t="inlineStr">
        <is>
          <t>Clinical workflow discovery sessions with nursing staff and hospitalists</t>
        </is>
      </c>
      <c r="D4" s="50" t="inlineStr">
        <is>
          <t>Solution Architect</t>
        </is>
      </c>
      <c r="E4" s="51" t="n">
        <v>24</v>
      </c>
      <c r="F4" s="52" t="n">
        <v>1.2</v>
      </c>
      <c r="G4" s="51" t="n">
        <v>29</v>
      </c>
      <c r="H4" s="53" t="n">
        <v>225</v>
      </c>
      <c r="I4" s="53" t="n">
        <v>6525</v>
      </c>
      <c r="J4" s="50" t="inlineStr">
        <is>
          <t>Kickoff complete</t>
        </is>
      </c>
      <c r="K4" s="50" t="inlineStr">
        <is>
          <t>Document current alert workflow and pain points</t>
        </is>
      </c>
    </row>
    <row r="5" ht="26" customHeight="1">
      <c r="A5" s="44" t="inlineStr">
        <is>
          <t>Discovery</t>
        </is>
      </c>
      <c r="B5" s="45" t="inlineStr">
        <is>
          <t>Current State Assessment</t>
        </is>
      </c>
      <c r="C5" s="45" t="inlineStr">
        <is>
          <t>Assess Epic FHIR R4 API capabilities and HL7 v2.3 Mirth Connect integration topology</t>
        </is>
      </c>
      <c r="D5" s="45" t="inlineStr">
        <is>
          <t>Solutions Engineer</t>
        </is>
      </c>
      <c r="E5" s="46" t="n">
        <v>32</v>
      </c>
      <c r="F5" s="47" t="n">
        <v>1.2</v>
      </c>
      <c r="G5" s="46" t="n">
        <v>38</v>
      </c>
      <c r="H5" s="48" t="n">
        <v>200</v>
      </c>
      <c r="I5" s="48" t="n">
        <v>7600</v>
      </c>
      <c r="J5" s="45" t="inlineStr"/>
      <c r="K5" s="45" t="inlineStr">
        <is>
          <t>Catalog available FHIR resource types and Mirth adapter configurations</t>
        </is>
      </c>
    </row>
    <row r="6" ht="26" customHeight="1">
      <c r="A6" s="49" t="inlineStr">
        <is>
          <t>Discovery</t>
        </is>
      </c>
      <c r="B6" s="50" t="inlineStr">
        <is>
          <t>Current State Assessment</t>
        </is>
      </c>
      <c r="C6" s="50" t="inlineStr">
        <is>
          <t>Review existing on-premises data warehouse (SQL Server 2016) and downstream reporting dependencies</t>
        </is>
      </c>
      <c r="D6" s="50" t="inlineStr">
        <is>
          <t>Data Engineer</t>
        </is>
      </c>
      <c r="E6" s="51" t="n">
        <v>16</v>
      </c>
      <c r="F6" s="52" t="n">
        <v>1.2</v>
      </c>
      <c r="G6" s="51" t="n">
        <v>19</v>
      </c>
      <c r="H6" s="53" t="n">
        <v>200</v>
      </c>
      <c r="I6" s="53" t="n">
        <v>3800</v>
      </c>
      <c r="J6" s="50" t="inlineStr"/>
      <c r="K6" s="50" t="inlineStr">
        <is>
          <t>Out-of-scope for build but nightly export of readmission outcomes must be planned</t>
        </is>
      </c>
    </row>
    <row r="7" ht="26" customHeight="1">
      <c r="A7" s="44" t="inlineStr">
        <is>
          <t>Discovery</t>
        </is>
      </c>
      <c r="B7" s="45" t="inlineStr">
        <is>
          <t>Current State Assessment</t>
        </is>
      </c>
      <c r="C7" s="45" t="inlineStr">
        <is>
          <t>Document MedCore AWS Organization structure and Clinical Applications OU landing zone</t>
        </is>
      </c>
      <c r="D7" s="45" t="inlineStr">
        <is>
          <t>Cloud Engineer</t>
        </is>
      </c>
      <c r="E7" s="46" t="n">
        <v>12</v>
      </c>
      <c r="F7" s="47" t="n">
        <v>1.2</v>
      </c>
      <c r="G7" s="46" t="n">
        <v>14</v>
      </c>
      <c r="H7" s="48" t="n">
        <v>200</v>
      </c>
      <c r="I7" s="48" t="n">
        <v>2800</v>
      </c>
      <c r="J7" s="45" t="inlineStr"/>
      <c r="K7" s="45" t="inlineStr">
        <is>
          <t>Identify account vending process and network connectivity to on-prem Mirth Connect</t>
        </is>
      </c>
    </row>
    <row r="8" ht="26" customHeight="1">
      <c r="A8" s="49" t="inlineStr">
        <is>
          <t>Discovery</t>
        </is>
      </c>
      <c r="B8" s="50" t="inlineStr">
        <is>
          <t>Requirements Gathering</t>
        </is>
      </c>
      <c r="C8" s="50" t="inlineStr">
        <is>
          <t>Facilitate requirements workshops for sepsis model (Phase 1) feature inputs and alert thresholds</t>
        </is>
      </c>
      <c r="D8" s="50" t="inlineStr">
        <is>
          <t>Solution Architect</t>
        </is>
      </c>
      <c r="E8" s="51" t="n">
        <v>32</v>
      </c>
      <c r="F8" s="52" t="n">
        <v>1.2</v>
      </c>
      <c r="G8" s="51" t="n">
        <v>38</v>
      </c>
      <c r="H8" s="53" t="n">
        <v>225</v>
      </c>
      <c r="I8" s="53" t="n">
        <v>8550</v>
      </c>
      <c r="J8" s="50" t="inlineStr">
        <is>
          <t>Current State Assessment</t>
        </is>
      </c>
      <c r="K8" s="50" t="inlineStr">
        <is>
          <t>Clinical Informatics Lead must validate lab/vital signal list</t>
        </is>
      </c>
    </row>
    <row r="9" ht="26" customHeight="1">
      <c r="A9" s="44" t="inlineStr">
        <is>
          <t>Discovery</t>
        </is>
      </c>
      <c r="B9" s="45" t="inlineStr">
        <is>
          <t>Requirements Gathering</t>
        </is>
      </c>
      <c r="C9" s="45" t="inlineStr">
        <is>
          <t>Document HIPAA BAA governance requirements and PHI data-handling rules with CISO</t>
        </is>
      </c>
      <c r="D9" s="45" t="inlineStr">
        <is>
          <t>Security Engineer</t>
        </is>
      </c>
      <c r="E9" s="46" t="n">
        <v>24</v>
      </c>
      <c r="F9" s="47" t="n">
        <v>1.2</v>
      </c>
      <c r="G9" s="46" t="n">
        <v>29</v>
      </c>
      <c r="H9" s="48" t="n">
        <v>225</v>
      </c>
      <c r="I9" s="48" t="n">
        <v>6525</v>
      </c>
      <c r="J9" s="45" t="inlineStr"/>
      <c r="K9" s="45" t="inlineStr">
        <is>
          <t>HIPAA, HITECH and SOC 2 Type II constraints captured; audit log requirements defined</t>
        </is>
      </c>
    </row>
    <row r="10" ht="26" customHeight="1">
      <c r="A10" s="49" t="inlineStr">
        <is>
          <t>Discovery</t>
        </is>
      </c>
      <c r="B10" s="50" t="inlineStr">
        <is>
          <t>Requirements Gathering</t>
        </is>
      </c>
      <c r="C10" s="50" t="inlineStr">
        <is>
          <t>Capture model explainability and LLM narrative requirements with clinical informatics team</t>
        </is>
      </c>
      <c r="D10" s="50" t="inlineStr">
        <is>
          <t>ML/AI Engineer</t>
        </is>
      </c>
      <c r="E10" s="51" t="n">
        <v>20</v>
      </c>
      <c r="F10" s="52" t="n">
        <v>1.2</v>
      </c>
      <c r="G10" s="51" t="n">
        <v>24</v>
      </c>
      <c r="H10" s="53" t="n">
        <v>275</v>
      </c>
      <c r="I10" s="53" t="n">
        <v>6600</v>
      </c>
      <c r="J10" s="50" t="inlineStr"/>
      <c r="K10" s="50" t="inlineStr">
        <is>
          <t>Explainability output must accompany every alert; plain-language narrative for bedside staff</t>
        </is>
      </c>
    </row>
    <row r="11" ht="26" customHeight="1">
      <c r="A11" s="44" t="inlineStr">
        <is>
          <t>Discovery</t>
        </is>
      </c>
      <c r="B11" s="45" t="inlineStr">
        <is>
          <t>Gap Analysis</t>
        </is>
      </c>
      <c r="C11" s="45" t="inlineStr">
        <is>
          <t>Identify gaps in existing AWS landing zone for HIPAA-compliant ML workloads</t>
        </is>
      </c>
      <c r="D11" s="45" t="inlineStr">
        <is>
          <t>Solution Architect</t>
        </is>
      </c>
      <c r="E11" s="46" t="n">
        <v>16</v>
      </c>
      <c r="F11" s="47" t="n">
        <v>1.2</v>
      </c>
      <c r="G11" s="46" t="n">
        <v>19</v>
      </c>
      <c r="H11" s="48" t="n">
        <v>225</v>
      </c>
      <c r="I11" s="48" t="n">
        <v>4275</v>
      </c>
      <c r="J11" s="45" t="inlineStr">
        <is>
          <t>Requirements Gathering</t>
        </is>
      </c>
      <c r="K11" s="45" t="inlineStr">
        <is>
          <t>Gaps include HealthLake provisioning and VPC/PrivateLink configuration</t>
        </is>
      </c>
    </row>
    <row r="12" ht="26" customHeight="1">
      <c r="A12" s="49" t="inlineStr">
        <is>
          <t>Discovery</t>
        </is>
      </c>
      <c r="B12" s="50" t="inlineStr">
        <is>
          <t>Gap Analysis</t>
        </is>
      </c>
      <c r="C12" s="50" t="inlineStr">
        <is>
          <t>Assess Azure AD federation requirements for Cognito SAML 2.0 SSO</t>
        </is>
      </c>
      <c r="D12" s="50" t="inlineStr">
        <is>
          <t>Security Engineer</t>
        </is>
      </c>
      <c r="E12" s="51" t="n">
        <v>12</v>
      </c>
      <c r="F12" s="52" t="n">
        <v>1.2</v>
      </c>
      <c r="G12" s="51" t="n">
        <v>14</v>
      </c>
      <c r="H12" s="53" t="n">
        <v>225</v>
      </c>
      <c r="I12" s="53" t="n">
        <v>3150</v>
      </c>
      <c r="J12" s="50" t="inlineStr"/>
      <c r="K12" s="50" t="inlineStr">
        <is>
          <t>Validate SAML metadata exchange and attribute mapping for role-based access</t>
        </is>
      </c>
    </row>
    <row r="13" ht="26" customHeight="1">
      <c r="A13" s="44" t="inlineStr">
        <is>
          <t>Discovery</t>
        </is>
      </c>
      <c r="B13" s="45" t="inlineStr">
        <is>
          <t>Data Assessment</t>
        </is>
      </c>
      <c r="C13" s="45" t="inlineStr">
        <is>
          <t>Evaluate data quality and completeness of FHIR R4 resources for ML feature engineering</t>
        </is>
      </c>
      <c r="D13" s="45" t="inlineStr">
        <is>
          <t>Data Engineer</t>
        </is>
      </c>
      <c r="E13" s="46" t="n">
        <v>32</v>
      </c>
      <c r="F13" s="47" t="n">
        <v>1.2</v>
      </c>
      <c r="G13" s="46" t="n">
        <v>38</v>
      </c>
      <c r="H13" s="48" t="n">
        <v>200</v>
      </c>
      <c r="I13" s="48" t="n">
        <v>7600</v>
      </c>
      <c r="J13" s="45" t="inlineStr"/>
      <c r="K13" s="45" t="inlineStr">
        <is>
          <t>Identify missing/sparse fields that may degrade model accuracy</t>
        </is>
      </c>
    </row>
    <row r="14" ht="26" customHeight="1">
      <c r="A14" s="49" t="inlineStr">
        <is>
          <t>Discovery</t>
        </is>
      </c>
      <c r="B14" s="50" t="inlineStr">
        <is>
          <t>Risk Assessment</t>
        </is>
      </c>
      <c r="C14" s="50" t="inlineStr">
        <is>
          <t>Identify project risks and mitigation strategies (clinical safety, data privacy, timeline)</t>
        </is>
      </c>
      <c r="D14" s="50" t="inlineStr">
        <is>
          <t>Project Manager</t>
        </is>
      </c>
      <c r="E14" s="51" t="n">
        <v>12</v>
      </c>
      <c r="F14" s="52" t="n">
        <v>1.2</v>
      </c>
      <c r="G14" s="51" t="n">
        <v>14</v>
      </c>
      <c r="H14" s="53" t="n">
        <v>175</v>
      </c>
      <c r="I14" s="53" t="n">
        <v>2450</v>
      </c>
      <c r="J14" s="50" t="inlineStr"/>
      <c r="K14" s="50" t="inlineStr">
        <is>
          <t>Joint Commission deadline risk for Phase 1 is highest-priority risk item</t>
        </is>
      </c>
    </row>
    <row r="15" ht="26" customHeight="1">
      <c r="A15" s="44" t="inlineStr">
        <is>
          <t>Discovery</t>
        </is>
      </c>
      <c r="B15" s="45" t="inlineStr">
        <is>
          <t>Assessment Report</t>
        </is>
      </c>
      <c r="C15" s="45" t="inlineStr">
        <is>
          <t>Document discovery findings, architecture approach, and go/no-go recommendation</t>
        </is>
      </c>
      <c r="D15" s="45" t="inlineStr">
        <is>
          <t>Solution Architect</t>
        </is>
      </c>
      <c r="E15" s="46" t="n">
        <v>20</v>
      </c>
      <c r="F15" s="47" t="n">
        <v>1.2</v>
      </c>
      <c r="G15" s="46" t="n">
        <v>24</v>
      </c>
      <c r="H15" s="48" t="n">
        <v>225</v>
      </c>
      <c r="I15" s="48" t="n">
        <v>5400</v>
      </c>
      <c r="J15" s="45" t="inlineStr">
        <is>
          <t>All Discovery tasks</t>
        </is>
      </c>
      <c r="K15" s="45" t="inlineStr">
        <is>
          <t>Deliverable reviewed and approved by CMO and CIO before Planning phase begins</t>
        </is>
      </c>
    </row>
    <row r="16" ht="26" customHeight="1">
      <c r="A16" s="49" t="inlineStr">
        <is>
          <t>Planning</t>
        </is>
      </c>
      <c r="B16" s="50" t="inlineStr">
        <is>
          <t>Detailed Architecture Design</t>
        </is>
      </c>
      <c r="C16" s="50" t="inlineStr">
        <is>
          <t>Design multi-region AWS architecture: VPC, subnets, Transit Gateway and PrivateLink to Mirth Connect</t>
        </is>
      </c>
      <c r="D16" s="50" t="inlineStr">
        <is>
          <t>Solution Architect</t>
        </is>
      </c>
      <c r="E16" s="51" t="n">
        <v>40</v>
      </c>
      <c r="F16" s="52" t="n">
        <v>1.3</v>
      </c>
      <c r="G16" s="51" t="n">
        <v>52</v>
      </c>
      <c r="H16" s="53" t="n">
        <v>225</v>
      </c>
      <c r="I16" s="53" t="n">
        <v>11700</v>
      </c>
      <c r="J16" s="50" t="inlineStr">
        <is>
          <t>Assessment Report</t>
        </is>
      </c>
      <c r="K16" s="50" t="inlineStr">
        <is>
          <t>Multi-AZ primary + passive secondary region for 99.95% SLA</t>
        </is>
      </c>
    </row>
    <row r="17" ht="26" customHeight="1">
      <c r="A17" s="44" t="inlineStr">
        <is>
          <t>Planning</t>
        </is>
      </c>
      <c r="B17" s="45" t="inlineStr">
        <is>
          <t>Detailed Architecture Design</t>
        </is>
      </c>
      <c r="C17" s="45" t="inlineStr">
        <is>
          <t>Design real-time data ingestion pipeline: Kinesis Data Streams, Kinesis Data Firehose, Lambda and HealthLake</t>
        </is>
      </c>
      <c r="D17" s="45" t="inlineStr">
        <is>
          <t>Solution Architect</t>
        </is>
      </c>
      <c r="E17" s="46" t="n">
        <v>32</v>
      </c>
      <c r="F17" s="47" t="n">
        <v>1.3</v>
      </c>
      <c r="G17" s="46" t="n">
        <v>42</v>
      </c>
      <c r="H17" s="48" t="n">
        <v>225</v>
      </c>
      <c r="I17" s="48" t="n">
        <v>9450</v>
      </c>
      <c r="J17" s="45" t="inlineStr">
        <is>
          <t>Assessment Report</t>
        </is>
      </c>
      <c r="K17" s="45" t="inlineStr">
        <is>
          <t>&lt; 3-second end-to-end latency constraint drives architecture choices</t>
        </is>
      </c>
    </row>
    <row r="18" ht="26" customHeight="1">
      <c r="A18" s="49" t="inlineStr">
        <is>
          <t>Planning</t>
        </is>
      </c>
      <c r="B18" s="50" t="inlineStr">
        <is>
          <t>Detailed Architecture Design</t>
        </is>
      </c>
      <c r="C18" s="50" t="inlineStr">
        <is>
          <t>Design ML platform: SageMaker Pipelines, Model Registry, real-time endpoints and Feature Store</t>
        </is>
      </c>
      <c r="D18" s="50" t="inlineStr">
        <is>
          <t>ML/AI Engineer</t>
        </is>
      </c>
      <c r="E18" s="51" t="n">
        <v>40</v>
      </c>
      <c r="F18" s="52" t="n">
        <v>1.3</v>
      </c>
      <c r="G18" s="51" t="n">
        <v>52</v>
      </c>
      <c r="H18" s="53" t="n">
        <v>275</v>
      </c>
      <c r="I18" s="53" t="n">
        <v>14300</v>
      </c>
      <c r="J18" s="50" t="inlineStr">
        <is>
          <t>Assessment Report</t>
        </is>
      </c>
      <c r="K18" s="50" t="inlineStr">
        <is>
          <t>Support training, versioning, and real-time serving for 3 custom models</t>
        </is>
      </c>
    </row>
    <row r="19" ht="26" customHeight="1">
      <c r="A19" s="44" t="inlineStr">
        <is>
          <t>Planning</t>
        </is>
      </c>
      <c r="B19" s="45" t="inlineStr">
        <is>
          <t>Detailed Architecture Design</t>
        </is>
      </c>
      <c r="C19" s="45" t="inlineStr">
        <is>
          <t>Design LLM summarization layer using Amazon Bedrock with clinical prompt templates</t>
        </is>
      </c>
      <c r="D19" s="45" t="inlineStr">
        <is>
          <t>ML/AI Engineer</t>
        </is>
      </c>
      <c r="E19" s="46" t="n">
        <v>24</v>
      </c>
      <c r="F19" s="47" t="n">
        <v>1.3</v>
      </c>
      <c r="G19" s="46" t="n">
        <v>31</v>
      </c>
      <c r="H19" s="48" t="n">
        <v>275</v>
      </c>
      <c r="I19" s="48" t="n">
        <v>8525</v>
      </c>
      <c r="J19" s="45" t="inlineStr">
        <is>
          <t>ML platform design</t>
        </is>
      </c>
      <c r="K19" s="45" t="inlineStr">
        <is>
          <t>Bedrock invocation must meet &lt; 3-second inference SLA</t>
        </is>
      </c>
    </row>
    <row r="20" ht="26" customHeight="1">
      <c r="A20" s="49" t="inlineStr">
        <is>
          <t>Planning</t>
        </is>
      </c>
      <c r="B20" s="50" t="inlineStr">
        <is>
          <t>Infrastructure Provisioning</t>
        </is>
      </c>
      <c r="C20" s="50" t="inlineStr">
        <is>
          <t>Define Infrastructure-as-Code (Terraform/CDK) standards and CI/CD pipeline for platform deployments</t>
        </is>
      </c>
      <c r="D20" s="50" t="inlineStr">
        <is>
          <t>DevOps Engineer</t>
        </is>
      </c>
      <c r="E20" s="51" t="n">
        <v>32</v>
      </c>
      <c r="F20" s="52" t="n">
        <v>1.3</v>
      </c>
      <c r="G20" s="51" t="n">
        <v>42</v>
      </c>
      <c r="H20" s="53" t="n">
        <v>200</v>
      </c>
      <c r="I20" s="53" t="n">
        <v>8400</v>
      </c>
      <c r="J20" s="50" t="inlineStr">
        <is>
          <t>Architecture designs complete</t>
        </is>
      </c>
      <c r="K20" s="50" t="inlineStr">
        <is>
          <t>All environments provisioned via IaC; no manual console changes in prod</t>
        </is>
      </c>
    </row>
    <row r="21" ht="26" customHeight="1">
      <c r="A21" s="44" t="inlineStr">
        <is>
          <t>Planning</t>
        </is>
      </c>
      <c r="B21" s="45" t="inlineStr">
        <is>
          <t>Security &amp; Compliance Design</t>
        </is>
      </c>
      <c r="C21" s="45" t="inlineStr">
        <is>
          <t>Design PHI encryption strategy: KMS CMKs, S3 SSE, HealthLake encryption and TLS 1.2+ in transit</t>
        </is>
      </c>
      <c r="D21" s="45" t="inlineStr">
        <is>
          <t>Security Engineer</t>
        </is>
      </c>
      <c r="E21" s="46" t="n">
        <v>32</v>
      </c>
      <c r="F21" s="47" t="n">
        <v>1.3</v>
      </c>
      <c r="G21" s="46" t="n">
        <v>42</v>
      </c>
      <c r="H21" s="48" t="n">
        <v>225</v>
      </c>
      <c r="I21" s="48" t="n">
        <v>9450</v>
      </c>
      <c r="J21" s="45" t="inlineStr">
        <is>
          <t>Architecture designs complete</t>
        </is>
      </c>
      <c r="K21" s="45" t="inlineStr">
        <is>
          <t>Every PHI data store must use CMK managed by MedCore</t>
        </is>
      </c>
    </row>
    <row r="22" ht="26" customHeight="1">
      <c r="A22" s="49" t="inlineStr">
        <is>
          <t>Planning</t>
        </is>
      </c>
      <c r="B22" s="50" t="inlineStr">
        <is>
          <t>Security &amp; Compliance Design</t>
        </is>
      </c>
      <c r="C22" s="50" t="inlineStr">
        <is>
          <t>Design HIPAA-compliant audit logging architecture (CloudTrail, CloudWatch and Security Hub)</t>
        </is>
      </c>
      <c r="D22" s="50" t="inlineStr">
        <is>
          <t>Security Engineer</t>
        </is>
      </c>
      <c r="E22" s="51" t="n">
        <v>24</v>
      </c>
      <c r="F22" s="52" t="n">
        <v>1.3</v>
      </c>
      <c r="G22" s="51" t="n">
        <v>31</v>
      </c>
      <c r="H22" s="53" t="n">
        <v>225</v>
      </c>
      <c r="I22" s="53" t="n">
        <v>6975</v>
      </c>
      <c r="J22" s="50" t="inlineStr">
        <is>
          <t>Security design</t>
        </is>
      </c>
      <c r="K22" s="50" t="inlineStr">
        <is>
          <t>Every PHI access event logged; audit log retention 7 years per HIPAA</t>
        </is>
      </c>
    </row>
    <row r="23" ht="26" customHeight="1">
      <c r="A23" s="44" t="inlineStr">
        <is>
          <t>Planning</t>
        </is>
      </c>
      <c r="B23" s="45" t="inlineStr">
        <is>
          <t>Security &amp; Compliance Design</t>
        </is>
      </c>
      <c r="C23" s="45" t="inlineStr">
        <is>
          <t>Design RBAC model: Cognito user pools, SAML 2.0 federation to Azure AD and IAM policies per clinical role</t>
        </is>
      </c>
      <c r="D23" s="45" t="inlineStr">
        <is>
          <t>Security Engineer</t>
        </is>
      </c>
      <c r="E23" s="46" t="n">
        <v>20</v>
      </c>
      <c r="F23" s="47" t="n">
        <v>1.3</v>
      </c>
      <c r="G23" s="46" t="n">
        <v>26</v>
      </c>
      <c r="H23" s="48" t="n">
        <v>225</v>
      </c>
      <c r="I23" s="48" t="n">
        <v>5850</v>
      </c>
      <c r="J23" s="45" t="inlineStr">
        <is>
          <t>Security design</t>
        </is>
      </c>
      <c r="K23" s="45" t="inlineStr">
        <is>
          <t>Roles: nurse, physician, admin, data scientist; enforce least privilege</t>
        </is>
      </c>
    </row>
    <row r="24" ht="26" customHeight="1">
      <c r="A24" s="49" t="inlineStr">
        <is>
          <t>Planning</t>
        </is>
      </c>
      <c r="B24" s="50" t="inlineStr">
        <is>
          <t>Monitoring Design</t>
        </is>
      </c>
      <c r="C24" s="50" t="inlineStr">
        <is>
          <t>Design observability stack: CloudWatch dashboards, alarms and X-Ray tracing for inference latency</t>
        </is>
      </c>
      <c r="D24" s="50" t="inlineStr">
        <is>
          <t>DevOps Engineer</t>
        </is>
      </c>
      <c r="E24" s="51" t="n">
        <v>20</v>
      </c>
      <c r="F24" s="52" t="n">
        <v>1.3</v>
      </c>
      <c r="G24" s="51" t="n">
        <v>26</v>
      </c>
      <c r="H24" s="53" t="n">
        <v>200</v>
      </c>
      <c r="I24" s="53" t="n">
        <v>5200</v>
      </c>
      <c r="J24" s="50" t="inlineStr">
        <is>
          <t>Architecture designs complete</t>
        </is>
      </c>
      <c r="K24" s="50" t="inlineStr">
        <is>
          <t>Latency alarm threshold: 3 seconds; availability alarm: &lt; 99.95%</t>
        </is>
      </c>
    </row>
    <row r="25" ht="26" customHeight="1">
      <c r="A25" s="44" t="inlineStr">
        <is>
          <t>Planning</t>
        </is>
      </c>
      <c r="B25" s="45" t="inlineStr">
        <is>
          <t>Design Documentation</t>
        </is>
      </c>
      <c r="C25" s="45" t="inlineStr">
        <is>
          <t>Produce HLD and LLD architecture documents and data flow diagrams</t>
        </is>
      </c>
      <c r="D25" s="45" t="inlineStr">
        <is>
          <t>Solution Architect</t>
        </is>
      </c>
      <c r="E25" s="46" t="n">
        <v>32</v>
      </c>
      <c r="F25" s="47" t="n">
        <v>1.3</v>
      </c>
      <c r="G25" s="46" t="n">
        <v>42</v>
      </c>
      <c r="H25" s="48" t="n">
        <v>225</v>
      </c>
      <c r="I25" s="48" t="n">
        <v>9450</v>
      </c>
      <c r="J25" s="45" t="inlineStr">
        <is>
          <t>All Planning tasks</t>
        </is>
      </c>
      <c r="K25" s="45" t="inlineStr">
        <is>
          <t>Deliverables: HLD, LLD, Data Flow Diagram, Security Architecture doc</t>
        </is>
      </c>
    </row>
    <row r="26" ht="26" customHeight="1">
      <c r="A26" s="49" t="inlineStr">
        <is>
          <t>Planning</t>
        </is>
      </c>
      <c r="B26" s="50" t="inlineStr">
        <is>
          <t>Design Documentation</t>
        </is>
      </c>
      <c r="C26" s="50" t="inlineStr">
        <is>
          <t>Produce data dictionary and FHIR resource mapping specification</t>
        </is>
      </c>
      <c r="D26" s="50" t="inlineStr">
        <is>
          <t>Data Engineer</t>
        </is>
      </c>
      <c r="E26" s="51" t="n">
        <v>20</v>
      </c>
      <c r="F26" s="52" t="n">
        <v>1.3</v>
      </c>
      <c r="G26" s="51" t="n">
        <v>26</v>
      </c>
      <c r="H26" s="53" t="n">
        <v>200</v>
      </c>
      <c r="I26" s="53" t="n">
        <v>5200</v>
      </c>
      <c r="J26" s="50" t="inlineStr">
        <is>
          <t>Data Assessment</t>
        </is>
      </c>
      <c r="K26" s="50" t="inlineStr">
        <is>
          <t>Maps Epic FHIR R4 resource fields to ML feature store schema</t>
        </is>
      </c>
    </row>
    <row r="27" ht="26" customHeight="1">
      <c r="A27" s="44" t="inlineStr">
        <is>
          <t>Development</t>
        </is>
      </c>
      <c r="B27" s="45" t="inlineStr">
        <is>
          <t>Environment Setup</t>
        </is>
      </c>
      <c r="C27" s="45" t="inlineStr">
        <is>
          <t>Provision Dev, QA, Staging and Production AWS accounts and VPCs via IaC</t>
        </is>
      </c>
      <c r="D27" s="45" t="inlineStr">
        <is>
          <t>Cloud Engineer</t>
        </is>
      </c>
      <c r="E27" s="46" t="n">
        <v>40</v>
      </c>
      <c r="F27" s="47" t="n">
        <v>1.5</v>
      </c>
      <c r="G27" s="46" t="n">
        <v>60</v>
      </c>
      <c r="H27" s="48" t="n">
        <v>200</v>
      </c>
      <c r="I27" s="48" t="n">
        <v>12000</v>
      </c>
      <c r="J27" s="45" t="inlineStr">
        <is>
          <t>Design Documentation</t>
        </is>
      </c>
      <c r="K27" s="45" t="inlineStr">
        <is>
          <t>Accounts under Clinical Applications OU; apply SCPs and GuardRails</t>
        </is>
      </c>
    </row>
    <row r="28" ht="26" customHeight="1">
      <c r="A28" s="49" t="inlineStr">
        <is>
          <t>Development</t>
        </is>
      </c>
      <c r="B28" s="50" t="inlineStr">
        <is>
          <t>Environment Setup</t>
        </is>
      </c>
      <c r="C28" s="50" t="inlineStr">
        <is>
          <t>Configure Transit Gateway and PrivateLink connectivity to on-premises Mirth Connect engine</t>
        </is>
      </c>
      <c r="D28" s="50" t="inlineStr">
        <is>
          <t>Cloud Engineer</t>
        </is>
      </c>
      <c r="E28" s="51" t="n">
        <v>24</v>
      </c>
      <c r="F28" s="52" t="n">
        <v>1.5</v>
      </c>
      <c r="G28" s="51" t="n">
        <v>36</v>
      </c>
      <c r="H28" s="53" t="n">
        <v>200</v>
      </c>
      <c r="I28" s="53" t="n">
        <v>7200</v>
      </c>
      <c r="J28" s="50" t="inlineStr">
        <is>
          <t>Environment provisioning</t>
        </is>
      </c>
      <c r="K28" s="50" t="inlineStr">
        <is>
          <t>Private routing only; no public internet traversal for PHI data</t>
        </is>
      </c>
    </row>
    <row r="29" ht="26" customHeight="1">
      <c r="A29" s="44" t="inlineStr">
        <is>
          <t>Development</t>
        </is>
      </c>
      <c r="B29" s="45" t="inlineStr">
        <is>
          <t>EHR Integration</t>
        </is>
      </c>
      <c r="C29" s="45" t="inlineStr">
        <is>
          <t>Develop Epic FHIR R4 API connector for real-time patient data ingestion (vitals, labs, medications)</t>
        </is>
      </c>
      <c r="D29" s="45" t="inlineStr">
        <is>
          <t>Solutions Engineer</t>
        </is>
      </c>
      <c r="E29" s="46" t="n">
        <v>80</v>
      </c>
      <c r="F29" s="47" t="n">
        <v>1.5</v>
      </c>
      <c r="G29" s="46" t="n">
        <v>120</v>
      </c>
      <c r="H29" s="48" t="n">
        <v>200</v>
      </c>
      <c r="I29" s="48" t="n">
        <v>24000</v>
      </c>
      <c r="J29" s="45" t="inlineStr">
        <is>
          <t>Environment Setup</t>
        </is>
      </c>
      <c r="K29" s="45" t="inlineStr">
        <is>
          <t>Event-driven using FHIR subscription notifications; handle OAuth 2.0 SMART on FHIR</t>
        </is>
      </c>
    </row>
    <row r="30" ht="26" customHeight="1">
      <c r="A30" s="49" t="inlineStr">
        <is>
          <t>Development</t>
        </is>
      </c>
      <c r="B30" s="50" t="inlineStr">
        <is>
          <t>EHR Integration</t>
        </is>
      </c>
      <c r="C30" s="50" t="inlineStr">
        <is>
          <t>Develop HL7 v2.3 adapter for Mirth Connect bedside monitor streams (Philips and GE)</t>
        </is>
      </c>
      <c r="D30" s="50" t="inlineStr">
        <is>
          <t>Solutions Engineer</t>
        </is>
      </c>
      <c r="E30" s="51" t="n">
        <v>64</v>
      </c>
      <c r="F30" s="52" t="n">
        <v>1.5</v>
      </c>
      <c r="G30" s="51" t="n">
        <v>96</v>
      </c>
      <c r="H30" s="53" t="n">
        <v>200</v>
      </c>
      <c r="I30" s="53" t="n">
        <v>19200</v>
      </c>
      <c r="J30" s="50" t="inlineStr">
        <is>
          <t>Environment Setup</t>
        </is>
      </c>
      <c r="K30" s="50" t="inlineStr">
        <is>
          <t>Parse and normalize HL7 v2.3 ADT and ORU message types</t>
        </is>
      </c>
    </row>
    <row r="31" ht="26" customHeight="1">
      <c r="A31" s="44" t="inlineStr">
        <is>
          <t>Development</t>
        </is>
      </c>
      <c r="B31" s="45" t="inlineStr">
        <is>
          <t>EHR Integration</t>
        </is>
      </c>
      <c r="C31" s="45" t="inlineStr">
        <is>
          <t>Implement Azure AD SAML 2.0 federation with Amazon Cognito for SSO</t>
        </is>
      </c>
      <c r="D31" s="45" t="inlineStr">
        <is>
          <t>Security Engineer</t>
        </is>
      </c>
      <c r="E31" s="46" t="n">
        <v>24</v>
      </c>
      <c r="F31" s="47" t="n">
        <v>1.5</v>
      </c>
      <c r="G31" s="46" t="n">
        <v>36</v>
      </c>
      <c r="H31" s="48" t="n">
        <v>225</v>
      </c>
      <c r="I31" s="48" t="n">
        <v>8100</v>
      </c>
      <c r="J31" s="45" t="inlineStr">
        <is>
          <t>Environment Setup</t>
        </is>
      </c>
      <c r="K31" s="45" t="inlineStr">
        <is>
          <t>Attribute mapping for clinical role claims; test with all 4 role types</t>
        </is>
      </c>
    </row>
    <row r="32" ht="26" customHeight="1">
      <c r="A32" s="49" t="inlineStr">
        <is>
          <t>Development</t>
        </is>
      </c>
      <c r="B32" s="50" t="inlineStr">
        <is>
          <t>Data Pipeline</t>
        </is>
      </c>
      <c r="C32" s="50" t="inlineStr">
        <is>
          <t>Build Kinesis Data Streams ingestion pipeline with schema validation and dead-letter queue</t>
        </is>
      </c>
      <c r="D32" s="50" t="inlineStr">
        <is>
          <t>Data Engineer</t>
        </is>
      </c>
      <c r="E32" s="51" t="n">
        <v>48</v>
      </c>
      <c r="F32" s="52" t="n">
        <v>1.5</v>
      </c>
      <c r="G32" s="51" t="n">
        <v>72</v>
      </c>
      <c r="H32" s="53" t="n">
        <v>200</v>
      </c>
      <c r="I32" s="53" t="n">
        <v>14400</v>
      </c>
      <c r="J32" s="50" t="inlineStr">
        <is>
          <t>EHR Integration</t>
        </is>
      </c>
      <c r="K32" s="50" t="inlineStr">
        <is>
          <t>Validate FHIR and HL7 payloads before ingestion; DLQ for malformed messages</t>
        </is>
      </c>
    </row>
    <row r="33" ht="26" customHeight="1">
      <c r="A33" s="44" t="inlineStr">
        <is>
          <t>Development</t>
        </is>
      </c>
      <c r="B33" s="45" t="inlineStr">
        <is>
          <t>Data Pipeline</t>
        </is>
      </c>
      <c r="C33" s="45" t="inlineStr">
        <is>
          <t>Build SageMaker Feature Store pipelines for feature extraction from patient data streams</t>
        </is>
      </c>
      <c r="D33" s="45" t="inlineStr">
        <is>
          <t>Data Engineer</t>
        </is>
      </c>
      <c r="E33" s="46" t="n">
        <v>64</v>
      </c>
      <c r="F33" s="47" t="n">
        <v>1.5</v>
      </c>
      <c r="G33" s="46" t="n">
        <v>96</v>
      </c>
      <c r="H33" s="48" t="n">
        <v>200</v>
      </c>
      <c r="I33" s="48" t="n">
        <v>19200</v>
      </c>
      <c r="J33" s="45" t="inlineStr">
        <is>
          <t>Kinesis pipeline</t>
        </is>
      </c>
      <c r="K33" s="45" t="inlineStr">
        <is>
          <t>Real-time feature group for inference; offline feature group for training</t>
        </is>
      </c>
    </row>
    <row r="34" ht="26" customHeight="1">
      <c r="A34" s="49" t="inlineStr">
        <is>
          <t>Development</t>
        </is>
      </c>
      <c r="B34" s="50" t="inlineStr">
        <is>
          <t>Data Pipeline</t>
        </is>
      </c>
      <c r="C34" s="50" t="inlineStr">
        <is>
          <t>Build AWS HealthLake FHIR data store ingestion and query layer</t>
        </is>
      </c>
      <c r="D34" s="50" t="inlineStr">
        <is>
          <t>Data Engineer</t>
        </is>
      </c>
      <c r="E34" s="51" t="n">
        <v>40</v>
      </c>
      <c r="F34" s="52" t="n">
        <v>1.5</v>
      </c>
      <c r="G34" s="51" t="n">
        <v>60</v>
      </c>
      <c r="H34" s="53" t="n">
        <v>200</v>
      </c>
      <c r="I34" s="53" t="n">
        <v>12000</v>
      </c>
      <c r="J34" s="50" t="inlineStr">
        <is>
          <t>SageMaker Feature Store</t>
        </is>
      </c>
      <c r="K34" s="50" t="inlineStr">
        <is>
          <t>HIPAA-compliant FHIR persistence; supports longitudinal patient tracking</t>
        </is>
      </c>
    </row>
    <row r="35" ht="26" customHeight="1">
      <c r="A35" s="44" t="inlineStr">
        <is>
          <t>Development</t>
        </is>
      </c>
      <c r="B35" s="45" t="inlineStr">
        <is>
          <t>ML Model Development</t>
        </is>
      </c>
      <c r="C35" s="45" t="inlineStr">
        <is>
          <t>Develop and train sepsis risk prediction model (Phase 1) using SageMaker Pipelines</t>
        </is>
      </c>
      <c r="D35" s="45" t="inlineStr">
        <is>
          <t>ML/AI Engineer</t>
        </is>
      </c>
      <c r="E35" s="46" t="n">
        <v>120</v>
      </c>
      <c r="F35" s="47" t="n">
        <v>1.5</v>
      </c>
      <c r="G35" s="46" t="n">
        <v>180</v>
      </c>
      <c r="H35" s="48" t="n">
        <v>275</v>
      </c>
      <c r="I35" s="48" t="n">
        <v>49500</v>
      </c>
      <c r="J35" s="45" t="inlineStr">
        <is>
          <t>Feature Store</t>
        </is>
      </c>
      <c r="K35" s="45" t="inlineStr">
        <is>
          <t>XGBoost/ensemble model; minimum AUROC &gt;= 0.85 clinical acceptance threshold</t>
        </is>
      </c>
    </row>
    <row r="36" ht="26" customHeight="1">
      <c r="A36" s="49" t="inlineStr">
        <is>
          <t>Development</t>
        </is>
      </c>
      <c r="B36" s="50" t="inlineStr">
        <is>
          <t>ML Model Development</t>
        </is>
      </c>
      <c r="C36" s="50" t="inlineStr">
        <is>
          <t>Develop model explainability pipeline using SHAP values output per inference call</t>
        </is>
      </c>
      <c r="D36" s="50" t="inlineStr">
        <is>
          <t>ML/AI Engineer</t>
        </is>
      </c>
      <c r="E36" s="51" t="n">
        <v>40</v>
      </c>
      <c r="F36" s="52" t="n">
        <v>1.5</v>
      </c>
      <c r="G36" s="51" t="n">
        <v>60</v>
      </c>
      <c r="H36" s="53" t="n">
        <v>275</v>
      </c>
      <c r="I36" s="53" t="n">
        <v>16500</v>
      </c>
      <c r="J36" s="50" t="inlineStr">
        <is>
          <t>Sepsis model</t>
        </is>
      </c>
      <c r="K36" s="50" t="inlineStr">
        <is>
          <t>SHAP output bundled with each risk score alert payload</t>
        </is>
      </c>
    </row>
    <row r="37" ht="26" customHeight="1">
      <c r="A37" s="44" t="inlineStr">
        <is>
          <t>Development</t>
        </is>
      </c>
      <c r="B37" s="45" t="inlineStr">
        <is>
          <t>ML Model Development</t>
        </is>
      </c>
      <c r="C37" s="45" t="inlineStr">
        <is>
          <t>Develop and train 30-day readmission prediction model (Phase 2)</t>
        </is>
      </c>
      <c r="D37" s="45" t="inlineStr">
        <is>
          <t>ML/AI Engineer</t>
        </is>
      </c>
      <c r="E37" s="46" t="n">
        <v>100</v>
      </c>
      <c r="F37" s="47" t="n">
        <v>1.5</v>
      </c>
      <c r="G37" s="46" t="n">
        <v>150</v>
      </c>
      <c r="H37" s="48" t="n">
        <v>275</v>
      </c>
      <c r="I37" s="48" t="n">
        <v>41250</v>
      </c>
      <c r="J37" s="45" t="inlineStr">
        <is>
          <t>Feature Store</t>
        </is>
      </c>
      <c r="K37" s="45" t="inlineStr">
        <is>
          <t>Phase 2 deliverable; separate SageMaker training pipeline and endpoint</t>
        </is>
      </c>
    </row>
    <row r="38" ht="26" customHeight="1">
      <c r="A38" s="49" t="inlineStr">
        <is>
          <t>Development</t>
        </is>
      </c>
      <c r="B38" s="50" t="inlineStr">
        <is>
          <t>ML Model Development</t>
        </is>
      </c>
      <c r="C38" s="50" t="inlineStr">
        <is>
          <t>Develop and train rapid response / early deterioration model (Phase 2)</t>
        </is>
      </c>
      <c r="D38" s="50" t="inlineStr">
        <is>
          <t>ML/AI Engineer</t>
        </is>
      </c>
      <c r="E38" s="51" t="n">
        <v>100</v>
      </c>
      <c r="F38" s="52" t="n">
        <v>1.5</v>
      </c>
      <c r="G38" s="51" t="n">
        <v>150</v>
      </c>
      <c r="H38" s="53" t="n">
        <v>275</v>
      </c>
      <c r="I38" s="53" t="n">
        <v>41250</v>
      </c>
      <c r="J38" s="50" t="inlineStr">
        <is>
          <t>Feature Store</t>
        </is>
      </c>
      <c r="K38" s="50" t="inlineStr">
        <is>
          <t>Phase 2 deliverable; combined with readmission model release</t>
        </is>
      </c>
    </row>
    <row r="39" ht="26" customHeight="1">
      <c r="A39" s="44" t="inlineStr">
        <is>
          <t>Development</t>
        </is>
      </c>
      <c r="B39" s="45" t="inlineStr">
        <is>
          <t>LLM Integration</t>
        </is>
      </c>
      <c r="C39" s="45" t="inlineStr">
        <is>
          <t>Implement Amazon Bedrock integration for LLM-powered clinical narrative generation</t>
        </is>
      </c>
      <c r="D39" s="45" t="inlineStr">
        <is>
          <t>ML/AI Engineer</t>
        </is>
      </c>
      <c r="E39" s="46" t="n">
        <v>48</v>
      </c>
      <c r="F39" s="47" t="n">
        <v>1.5</v>
      </c>
      <c r="G39" s="46" t="n">
        <v>72</v>
      </c>
      <c r="H39" s="48" t="n">
        <v>275</v>
      </c>
      <c r="I39" s="48" t="n">
        <v>19800</v>
      </c>
      <c r="J39" s="45" t="inlineStr">
        <is>
          <t>ML Model Development</t>
        </is>
      </c>
      <c r="K39" s="45" t="inlineStr">
        <is>
          <t>Prompt engineering for clinical-grade plain-language summaries; latency &lt; 3 seconds</t>
        </is>
      </c>
    </row>
    <row r="40" ht="26" customHeight="1">
      <c r="A40" s="49" t="inlineStr">
        <is>
          <t>Development</t>
        </is>
      </c>
      <c r="B40" s="50" t="inlineStr">
        <is>
          <t>Alert &amp; Notification System</t>
        </is>
      </c>
      <c r="C40" s="50" t="inlineStr">
        <is>
          <t>Build real-time alert routing service (SNS/EventBridge) with role-based alert delivery</t>
        </is>
      </c>
      <c r="D40" s="50" t="inlineStr">
        <is>
          <t>Solutions Engineer</t>
        </is>
      </c>
      <c r="E40" s="51" t="n">
        <v>48</v>
      </c>
      <c r="F40" s="52" t="n">
        <v>1.5</v>
      </c>
      <c r="G40" s="51" t="n">
        <v>72</v>
      </c>
      <c r="H40" s="53" t="n">
        <v>200</v>
      </c>
      <c r="I40" s="53" t="n">
        <v>14400</v>
      </c>
      <c r="J40" s="50" t="inlineStr">
        <is>
          <t>LLM Integration</t>
        </is>
      </c>
      <c r="K40" s="50" t="inlineStr">
        <is>
          <t>Route alerts to correct clinical role; suppress duplicate alerts within window</t>
        </is>
      </c>
    </row>
    <row r="41" ht="26" customHeight="1">
      <c r="A41" s="44" t="inlineStr">
        <is>
          <t>Development</t>
        </is>
      </c>
      <c r="B41" s="45" t="inlineStr">
        <is>
          <t>Clinical Dashboard</t>
        </is>
      </c>
      <c r="C41" s="45" t="inlineStr">
        <is>
          <t>Develop clinical staff dashboard (React/Amplify) for risk score visualization and alert management</t>
        </is>
      </c>
      <c r="D41" s="45" t="inlineStr">
        <is>
          <t>Solutions Engineer</t>
        </is>
      </c>
      <c r="E41" s="46" t="n">
        <v>80</v>
      </c>
      <c r="F41" s="47" t="n">
        <v>1.5</v>
      </c>
      <c r="G41" s="46" t="n">
        <v>120</v>
      </c>
      <c r="H41" s="48" t="n">
        <v>200</v>
      </c>
      <c r="I41" s="48" t="n">
        <v>24000</v>
      </c>
      <c r="J41" s="45" t="inlineStr">
        <is>
          <t>Alert system</t>
        </is>
      </c>
      <c r="K41" s="45" t="inlineStr">
        <is>
          <t>Role-specific views; mobile-responsive for tablet use at bedside</t>
        </is>
      </c>
    </row>
    <row r="42" ht="26" customHeight="1">
      <c r="A42" s="49" t="inlineStr">
        <is>
          <t>Development</t>
        </is>
      </c>
      <c r="B42" s="50" t="inlineStr">
        <is>
          <t>Analytics Platform</t>
        </is>
      </c>
      <c r="C42" s="50" t="inlineStr">
        <is>
          <t>Build longitudinal outcome tracking and model performance monitoring dashboards (QuickSight)</t>
        </is>
      </c>
      <c r="D42" s="50" t="inlineStr">
        <is>
          <t>Data Engineer</t>
        </is>
      </c>
      <c r="E42" s="51" t="n">
        <v>48</v>
      </c>
      <c r="F42" s="52" t="n">
        <v>1.5</v>
      </c>
      <c r="G42" s="51" t="n">
        <v>72</v>
      </c>
      <c r="H42" s="53" t="n">
        <v>200</v>
      </c>
      <c r="I42" s="53" t="n">
        <v>14400</v>
      </c>
      <c r="J42" s="50" t="inlineStr">
        <is>
          <t>HealthLake</t>
        </is>
      </c>
      <c r="K42" s="50" t="inlineStr">
        <is>
          <t>Tracks sepsis mortality, readmission rates, alert false-positive rates; refreshed daily</t>
        </is>
      </c>
    </row>
    <row r="43" ht="26" customHeight="1">
      <c r="A43" s="44" t="inlineStr">
        <is>
          <t>Development</t>
        </is>
      </c>
      <c r="B43" s="45" t="inlineStr">
        <is>
          <t>Security Implementation</t>
        </is>
      </c>
      <c r="C43" s="45" t="inlineStr">
        <is>
          <t>Implement KMS CMK key policies and enforce encryption on all PHI data stores</t>
        </is>
      </c>
      <c r="D43" s="45" t="inlineStr">
        <is>
          <t>Security Engineer</t>
        </is>
      </c>
      <c r="E43" s="46" t="n">
        <v>24</v>
      </c>
      <c r="F43" s="47" t="n">
        <v>1.5</v>
      </c>
      <c r="G43" s="46" t="n">
        <v>36</v>
      </c>
      <c r="H43" s="48" t="n">
        <v>225</v>
      </c>
      <c r="I43" s="48" t="n">
        <v>8100</v>
      </c>
      <c r="J43" s="45" t="inlineStr">
        <is>
          <t>Environment Setup</t>
        </is>
      </c>
      <c r="K43" s="45" t="inlineStr">
        <is>
          <t>Separate CMK per data classification tier; annual key rotation enabled</t>
        </is>
      </c>
    </row>
    <row r="44" ht="26" customHeight="1">
      <c r="A44" s="49" t="inlineStr">
        <is>
          <t>Development</t>
        </is>
      </c>
      <c r="B44" s="50" t="inlineStr">
        <is>
          <t>Security Implementation</t>
        </is>
      </c>
      <c r="C44" s="50" t="inlineStr">
        <is>
          <t>Implement HIPAA audit logging (CloudTrail, CloudWatch Logs and Athena query layer)</t>
        </is>
      </c>
      <c r="D44" s="50" t="inlineStr">
        <is>
          <t>Security Engineer</t>
        </is>
      </c>
      <c r="E44" s="51" t="n">
        <v>24</v>
      </c>
      <c r="F44" s="52" t="n">
        <v>1.5</v>
      </c>
      <c r="G44" s="51" t="n">
        <v>36</v>
      </c>
      <c r="H44" s="53" t="n">
        <v>225</v>
      </c>
      <c r="I44" s="53" t="n">
        <v>8100</v>
      </c>
      <c r="J44" s="50" t="inlineStr">
        <is>
          <t>Security design</t>
        </is>
      </c>
      <c r="K44" s="50" t="inlineStr">
        <is>
          <t>Every PHI access logged with user, timestamp, resource ID; Athena for CISO audit queries</t>
        </is>
      </c>
    </row>
    <row r="45" ht="26" customHeight="1">
      <c r="A45" s="44" t="inlineStr">
        <is>
          <t>Development</t>
        </is>
      </c>
      <c r="B45" s="45" t="inlineStr">
        <is>
          <t>Security Implementation</t>
        </is>
      </c>
      <c r="C45" s="45" t="inlineStr">
        <is>
          <t>Implement AWS Config rules and Security Hub findings for continuous compliance posture</t>
        </is>
      </c>
      <c r="D45" s="45" t="inlineStr">
        <is>
          <t>Security Engineer</t>
        </is>
      </c>
      <c r="E45" s="46" t="n">
        <v>20</v>
      </c>
      <c r="F45" s="47" t="n">
        <v>1.5</v>
      </c>
      <c r="G45" s="46" t="n">
        <v>30</v>
      </c>
      <c r="H45" s="48" t="n">
        <v>225</v>
      </c>
      <c r="I45" s="48" t="n">
        <v>6750</v>
      </c>
      <c r="J45" s="45" t="inlineStr">
        <is>
          <t>Audit logging</t>
        </is>
      </c>
      <c r="K45" s="45" t="inlineStr">
        <is>
          <t>Automate detection of non-compliant resource configurations</t>
        </is>
      </c>
    </row>
    <row r="46" ht="26" customHeight="1">
      <c r="A46" s="49" t="inlineStr">
        <is>
          <t>Development</t>
        </is>
      </c>
      <c r="B46" s="50" t="inlineStr">
        <is>
          <t>CI/CD &amp; DevOps</t>
        </is>
      </c>
      <c r="C46" s="50" t="inlineStr">
        <is>
          <t>Build CI/CD pipelines (CodePipeline/CodeBuild) for model and application deployments</t>
        </is>
      </c>
      <c r="D46" s="50" t="inlineStr">
        <is>
          <t>DevOps Engineer</t>
        </is>
      </c>
      <c r="E46" s="51" t="n">
        <v>56</v>
      </c>
      <c r="F46" s="52" t="n">
        <v>1.5</v>
      </c>
      <c r="G46" s="51" t="n">
        <v>84</v>
      </c>
      <c r="H46" s="53" t="n">
        <v>200</v>
      </c>
      <c r="I46" s="53" t="n">
        <v>16800</v>
      </c>
      <c r="J46" s="50" t="inlineStr">
        <is>
          <t>Environment Setup</t>
        </is>
      </c>
      <c r="K46" s="50" t="inlineStr">
        <is>
          <t>Blue/green deployment for inference endpoints; automated rollback on latency breach</t>
        </is>
      </c>
    </row>
    <row r="47" ht="26" customHeight="1">
      <c r="A47" s="44" t="inlineStr">
        <is>
          <t>Development</t>
        </is>
      </c>
      <c r="B47" s="45" t="inlineStr">
        <is>
          <t>CI/CD &amp; DevOps</t>
        </is>
      </c>
      <c r="C47" s="45" t="inlineStr">
        <is>
          <t>Implement infrastructure drift detection and automated compliance remediation</t>
        </is>
      </c>
      <c r="D47" s="45" t="inlineStr">
        <is>
          <t>DevOps Engineer</t>
        </is>
      </c>
      <c r="E47" s="46" t="n">
        <v>32</v>
      </c>
      <c r="F47" s="47" t="n">
        <v>1.5</v>
      </c>
      <c r="G47" s="46" t="n">
        <v>48</v>
      </c>
      <c r="H47" s="48" t="n">
        <v>200</v>
      </c>
      <c r="I47" s="48" t="n">
        <v>9600</v>
      </c>
      <c r="J47" s="45" t="inlineStr">
        <is>
          <t>CI/CD pipelines</t>
        </is>
      </c>
      <c r="K47" s="45" t="inlineStr">
        <is>
          <t>AWS Config + Lambda auto-remediation for common drift scenarios</t>
        </is>
      </c>
    </row>
    <row r="48" ht="26" customHeight="1">
      <c r="A48" s="49" t="inlineStr">
        <is>
          <t>Development</t>
        </is>
      </c>
      <c r="B48" s="50" t="inlineStr">
        <is>
          <t>Configuration Documentation</t>
        </is>
      </c>
      <c r="C48" s="50" t="inlineStr">
        <is>
          <t>Document all component configurations, IaC modules, and operational procedures</t>
        </is>
      </c>
      <c r="D48" s="50" t="inlineStr">
        <is>
          <t>Technical Writer</t>
        </is>
      </c>
      <c r="E48" s="51" t="n">
        <v>48</v>
      </c>
      <c r="F48" s="52" t="n">
        <v>1.5</v>
      </c>
      <c r="G48" s="51" t="n">
        <v>72</v>
      </c>
      <c r="H48" s="53" t="n">
        <v>125</v>
      </c>
      <c r="I48" s="53" t="n">
        <v>9000</v>
      </c>
      <c r="J48" s="50" t="inlineStr">
        <is>
          <t>All Development tasks</t>
        </is>
      </c>
      <c r="K48" s="50" t="inlineStr">
        <is>
          <t>As-built configuration catalog; stored in version-controlled documentation repository</t>
        </is>
      </c>
    </row>
    <row r="49" ht="26" customHeight="1">
      <c r="A49" s="44" t="inlineStr">
        <is>
          <t>Testing</t>
        </is>
      </c>
      <c r="B49" s="45" t="inlineStr">
        <is>
          <t>Test Plan Development</t>
        </is>
      </c>
      <c r="C49" s="45" t="inlineStr">
        <is>
          <t>Develop comprehensive test plan covering functional, integration, performance, security, and clinical acceptance</t>
        </is>
      </c>
      <c r="D49" s="45" t="inlineStr">
        <is>
          <t>QA Engineer</t>
        </is>
      </c>
      <c r="E49" s="46" t="n">
        <v>20</v>
      </c>
      <c r="F49" s="47" t="n">
        <v>1.3</v>
      </c>
      <c r="G49" s="46" t="n">
        <v>26</v>
      </c>
      <c r="H49" s="48" t="n">
        <v>150</v>
      </c>
      <c r="I49" s="48" t="n">
        <v>3900</v>
      </c>
      <c r="J49" s="45" t="inlineStr">
        <is>
          <t>Development complete</t>
        </is>
      </c>
      <c r="K49" s="45" t="inlineStr">
        <is>
          <t>Test plan reviewed and approved by Clinical Informatics Lead and CISO</t>
        </is>
      </c>
    </row>
    <row r="50" ht="26" customHeight="1">
      <c r="A50" s="49" t="inlineStr">
        <is>
          <t>Testing</t>
        </is>
      </c>
      <c r="B50" s="50" t="inlineStr">
        <is>
          <t>Functional Testing</t>
        </is>
      </c>
      <c r="C50" s="50" t="inlineStr">
        <is>
          <t>Execute functional test cases for data ingestion pipeline and feature store</t>
        </is>
      </c>
      <c r="D50" s="50" t="inlineStr">
        <is>
          <t>QA Engineer</t>
        </is>
      </c>
      <c r="E50" s="51" t="n">
        <v>32</v>
      </c>
      <c r="F50" s="52" t="n">
        <v>1.3</v>
      </c>
      <c r="G50" s="51" t="n">
        <v>42</v>
      </c>
      <c r="H50" s="53" t="n">
        <v>150</v>
      </c>
      <c r="I50" s="53" t="n">
        <v>6300</v>
      </c>
      <c r="J50" s="50" t="inlineStr">
        <is>
          <t>Test Plan</t>
        </is>
      </c>
      <c r="K50" s="50" t="inlineStr">
        <is>
          <t>Validate FHIR and HL7 message processing and feature extraction accuracy</t>
        </is>
      </c>
    </row>
    <row r="51" ht="26" customHeight="1">
      <c r="A51" s="44" t="inlineStr">
        <is>
          <t>Testing</t>
        </is>
      </c>
      <c r="B51" s="45" t="inlineStr">
        <is>
          <t>Functional Testing</t>
        </is>
      </c>
      <c r="C51" s="45" t="inlineStr">
        <is>
          <t>Execute functional test cases for ML inference endpoints and explainability output</t>
        </is>
      </c>
      <c r="D51" s="45" t="inlineStr">
        <is>
          <t>QA Engineer</t>
        </is>
      </c>
      <c r="E51" s="46" t="n">
        <v>32</v>
      </c>
      <c r="F51" s="47" t="n">
        <v>1.3</v>
      </c>
      <c r="G51" s="46" t="n">
        <v>42</v>
      </c>
      <c r="H51" s="48" t="n">
        <v>150</v>
      </c>
      <c r="I51" s="48" t="n">
        <v>6300</v>
      </c>
      <c r="J51" s="45" t="inlineStr">
        <is>
          <t>Test Plan</t>
        </is>
      </c>
      <c r="K51" s="45" t="inlineStr">
        <is>
          <t>Validate risk score computation and SHAP output structure per alert</t>
        </is>
      </c>
    </row>
    <row r="52" ht="26" customHeight="1">
      <c r="A52" s="49" t="inlineStr">
        <is>
          <t>Testing</t>
        </is>
      </c>
      <c r="B52" s="50" t="inlineStr">
        <is>
          <t>Integration Testing</t>
        </is>
      </c>
      <c r="C52" s="50" t="inlineStr">
        <is>
          <t>Test Epic FHIR R4 integration end-to-end with MedCore test environment</t>
        </is>
      </c>
      <c r="D52" s="50" t="inlineStr">
        <is>
          <t>Solutions Engineer</t>
        </is>
      </c>
      <c r="E52" s="51" t="n">
        <v>40</v>
      </c>
      <c r="F52" s="52" t="n">
        <v>1.3</v>
      </c>
      <c r="G52" s="51" t="n">
        <v>52</v>
      </c>
      <c r="H52" s="53" t="n">
        <v>200</v>
      </c>
      <c r="I52" s="53" t="n">
        <v>10400</v>
      </c>
      <c r="J52" s="50" t="inlineStr">
        <is>
          <t>Functional Testing</t>
        </is>
      </c>
      <c r="K52" s="50" t="inlineStr">
        <is>
          <t>Use synthetic PHI in test environment; validate all FHIR resource types</t>
        </is>
      </c>
    </row>
    <row r="53" ht="26" customHeight="1">
      <c r="A53" s="44" t="inlineStr">
        <is>
          <t>Testing</t>
        </is>
      </c>
      <c r="B53" s="45" t="inlineStr">
        <is>
          <t>Integration Testing</t>
        </is>
      </c>
      <c r="C53" s="45" t="inlineStr">
        <is>
          <t>Test HL7 v2.3 Mirth Connect adapter with Philips and GE monitor test feeds</t>
        </is>
      </c>
      <c r="D53" s="45" t="inlineStr">
        <is>
          <t>Solutions Engineer</t>
        </is>
      </c>
      <c r="E53" s="46" t="n">
        <v>24</v>
      </c>
      <c r="F53" s="47" t="n">
        <v>1.3</v>
      </c>
      <c r="G53" s="46" t="n">
        <v>31</v>
      </c>
      <c r="H53" s="48" t="n">
        <v>200</v>
      </c>
      <c r="I53" s="48" t="n">
        <v>6200</v>
      </c>
      <c r="J53" s="45" t="inlineStr">
        <is>
          <t>Functional Testing</t>
        </is>
      </c>
      <c r="K53" s="45" t="inlineStr">
        <is>
          <t>Simulate ADT and ORU message types at production throughput rates</t>
        </is>
      </c>
    </row>
    <row r="54" ht="26" customHeight="1">
      <c r="A54" s="49" t="inlineStr">
        <is>
          <t>Testing</t>
        </is>
      </c>
      <c r="B54" s="50" t="inlineStr">
        <is>
          <t>Performance Testing</t>
        </is>
      </c>
      <c r="C54" s="50" t="inlineStr">
        <is>
          <t>Conduct end-to-end latency load test (target: &lt; 3 seconds per patient update at peak load)</t>
        </is>
      </c>
      <c r="D54" s="50" t="inlineStr">
        <is>
          <t>Solutions Engineer</t>
        </is>
      </c>
      <c r="E54" s="51" t="n">
        <v>32</v>
      </c>
      <c r="F54" s="52" t="n">
        <v>1.3</v>
      </c>
      <c r="G54" s="51" t="n">
        <v>42</v>
      </c>
      <c r="H54" s="53" t="n">
        <v>200</v>
      </c>
      <c r="I54" s="53" t="n">
        <v>8400</v>
      </c>
      <c r="J54" s="50" t="inlineStr">
        <is>
          <t>Integration Testing</t>
        </is>
      </c>
      <c r="K54" s="50" t="inlineStr">
        <is>
          <t>Simulate 18-hospital concurrent patient event load; stress test Kinesis and SageMaker endpoints</t>
        </is>
      </c>
    </row>
    <row r="55" ht="26" customHeight="1">
      <c r="A55" s="44" t="inlineStr">
        <is>
          <t>Testing</t>
        </is>
      </c>
      <c r="B55" s="45" t="inlineStr">
        <is>
          <t>Performance Testing</t>
        </is>
      </c>
      <c r="C55" s="45" t="inlineStr">
        <is>
          <t>Conduct availability failover test to validate 99.95% SLA with multi-region passive failover</t>
        </is>
      </c>
      <c r="D55" s="45" t="inlineStr">
        <is>
          <t>Cloud Engineer</t>
        </is>
      </c>
      <c r="E55" s="46" t="n">
        <v>20</v>
      </c>
      <c r="F55" s="47" t="n">
        <v>1.3</v>
      </c>
      <c r="G55" s="46" t="n">
        <v>26</v>
      </c>
      <c r="H55" s="48" t="n">
        <v>200</v>
      </c>
      <c r="I55" s="48" t="n">
        <v>5200</v>
      </c>
      <c r="J55" s="45" t="inlineStr">
        <is>
          <t>Integration Testing</t>
        </is>
      </c>
      <c r="K55" s="45" t="inlineStr">
        <is>
          <t>Simulate primary region outage; validate RTO and RPO meet clinical SLA</t>
        </is>
      </c>
    </row>
    <row r="56" ht="26" customHeight="1">
      <c r="A56" s="49" t="inlineStr">
        <is>
          <t>Testing</t>
        </is>
      </c>
      <c r="B56" s="50" t="inlineStr">
        <is>
          <t>Model Accuracy Validation</t>
        </is>
      </c>
      <c r="C56" s="50" t="inlineStr">
        <is>
          <t>Validate sepsis model AUROC, sensitivity and specificity against held-out clinical dataset</t>
        </is>
      </c>
      <c r="D56" s="50" t="inlineStr">
        <is>
          <t>ML/AI Engineer</t>
        </is>
      </c>
      <c r="E56" s="51" t="n">
        <v>40</v>
      </c>
      <c r="F56" s="52" t="n">
        <v>1.3</v>
      </c>
      <c r="G56" s="51" t="n">
        <v>52</v>
      </c>
      <c r="H56" s="53" t="n">
        <v>275</v>
      </c>
      <c r="I56" s="53" t="n">
        <v>14300</v>
      </c>
      <c r="J56" s="50" t="inlineStr">
        <is>
          <t>Functional Testing</t>
        </is>
      </c>
      <c r="K56" s="50" t="inlineStr">
        <is>
          <t>Clinical Informatics Lead and clinician reviewers must sign off on model performance</t>
        </is>
      </c>
    </row>
    <row r="57" ht="26" customHeight="1">
      <c r="A57" s="44" t="inlineStr">
        <is>
          <t>Testing</t>
        </is>
      </c>
      <c r="B57" s="45" t="inlineStr">
        <is>
          <t>Model Accuracy Validation</t>
        </is>
      </c>
      <c r="C57" s="45" t="inlineStr">
        <is>
          <t>Validate LLM narrative quality and clinical appropriateness with nurse and hospitalist reviewers</t>
        </is>
      </c>
      <c r="D57" s="45" t="inlineStr">
        <is>
          <t>ML/AI Engineer</t>
        </is>
      </c>
      <c r="E57" s="46" t="n">
        <v>24</v>
      </c>
      <c r="F57" s="47" t="n">
        <v>1.3</v>
      </c>
      <c r="G57" s="46" t="n">
        <v>31</v>
      </c>
      <c r="H57" s="48" t="n">
        <v>275</v>
      </c>
      <c r="I57" s="48" t="n">
        <v>8525</v>
      </c>
      <c r="J57" s="45" t="inlineStr">
        <is>
          <t>Model accuracy validation</t>
        </is>
      </c>
      <c r="K57" s="45" t="inlineStr">
        <is>
          <t>At least 5 clinical reviewers; qualitative scoring rubric defined with Informatics Lead</t>
        </is>
      </c>
    </row>
    <row r="58" ht="26" customHeight="1">
      <c r="A58" s="49" t="inlineStr">
        <is>
          <t>Testing</t>
        </is>
      </c>
      <c r="B58" s="50" t="inlineStr">
        <is>
          <t>Security Testing</t>
        </is>
      </c>
      <c r="C58" s="50" t="inlineStr">
        <is>
          <t>Execute HIPAA security controls validation checklist (encryption, access controls, audit logs)</t>
        </is>
      </c>
      <c r="D58" s="50" t="inlineStr">
        <is>
          <t>Security Engineer</t>
        </is>
      </c>
      <c r="E58" s="51" t="n">
        <v>24</v>
      </c>
      <c r="F58" s="52" t="n">
        <v>1.3</v>
      </c>
      <c r="G58" s="51" t="n">
        <v>31</v>
      </c>
      <c r="H58" s="53" t="n">
        <v>225</v>
      </c>
      <c r="I58" s="53" t="n">
        <v>6975</v>
      </c>
      <c r="J58" s="50" t="inlineStr">
        <is>
          <t>All Development tasks</t>
        </is>
      </c>
      <c r="K58" s="50" t="inlineStr">
        <is>
          <t>CISO sign-off required before production go-live</t>
        </is>
      </c>
    </row>
    <row r="59" ht="26" customHeight="1">
      <c r="A59" s="44" t="inlineStr">
        <is>
          <t>Testing</t>
        </is>
      </c>
      <c r="B59" s="45" t="inlineStr">
        <is>
          <t>Security Testing</t>
        </is>
      </c>
      <c r="C59" s="45" t="inlineStr">
        <is>
          <t>Coordinate penetration testing engagement (scoped to CDS platform boundary)</t>
        </is>
      </c>
      <c r="D59" s="45" t="inlineStr">
        <is>
          <t>Security Engineer</t>
        </is>
      </c>
      <c r="E59" s="46" t="n">
        <v>20</v>
      </c>
      <c r="F59" s="47" t="n">
        <v>1.3</v>
      </c>
      <c r="G59" s="46" t="n">
        <v>26</v>
      </c>
      <c r="H59" s="48" t="n">
        <v>225</v>
      </c>
      <c r="I59" s="48" t="n">
        <v>5850</v>
      </c>
      <c r="J59" s="45" t="inlineStr">
        <is>
          <t>Security controls validation</t>
        </is>
      </c>
      <c r="K59" s="45" t="inlineStr">
        <is>
          <t>External pen test firm; remediate all Critical and High findings before go-live</t>
        </is>
      </c>
    </row>
    <row r="60" ht="26" customHeight="1">
      <c r="A60" s="49" t="inlineStr">
        <is>
          <t>Testing</t>
        </is>
      </c>
      <c r="B60" s="50" t="inlineStr">
        <is>
          <t>Compliance Validation</t>
        </is>
      </c>
      <c r="C60" s="50" t="inlineStr">
        <is>
          <t>SOC 2 Type II readiness review and evidence collection</t>
        </is>
      </c>
      <c r="D60" s="50" t="inlineStr">
        <is>
          <t>Security Engineer</t>
        </is>
      </c>
      <c r="E60" s="51" t="n">
        <v>32</v>
      </c>
      <c r="F60" s="52" t="n">
        <v>1.3</v>
      </c>
      <c r="G60" s="51" t="n">
        <v>42</v>
      </c>
      <c r="H60" s="53" t="n">
        <v>225</v>
      </c>
      <c r="I60" s="53" t="n">
        <v>9450</v>
      </c>
      <c r="J60" s="50" t="inlineStr">
        <is>
          <t>Security Testing</t>
        </is>
      </c>
      <c r="K60" s="50" t="inlineStr">
        <is>
          <t>Evidence packages for CC6 (access), CC7 (monitoring) and A1 (availability) Trust Services Criteria</t>
        </is>
      </c>
    </row>
    <row r="61" ht="26" customHeight="1">
      <c r="A61" s="44" t="inlineStr">
        <is>
          <t>Testing</t>
        </is>
      </c>
      <c r="B61" s="45" t="inlineStr">
        <is>
          <t>UAT Coordination</t>
        </is>
      </c>
      <c r="C61" s="45" t="inlineStr">
        <is>
          <t>Coordinate and facilitate UAT sessions with clinical staff at pilot facility</t>
        </is>
      </c>
      <c r="D61" s="45" t="inlineStr">
        <is>
          <t>Project Manager</t>
        </is>
      </c>
      <c r="E61" s="46" t="n">
        <v>24</v>
      </c>
      <c r="F61" s="47" t="n">
        <v>1.3</v>
      </c>
      <c r="G61" s="46" t="n">
        <v>31</v>
      </c>
      <c r="H61" s="48" t="n">
        <v>175</v>
      </c>
      <c r="I61" s="48" t="n">
        <v>5425</v>
      </c>
      <c r="J61" s="45" t="inlineStr">
        <is>
          <t>Model Accuracy Validation</t>
        </is>
      </c>
      <c r="K61" s="45" t="inlineStr">
        <is>
          <t>Pilot facility selection aligned with Phase 1 deployment; collect structured feedback</t>
        </is>
      </c>
    </row>
    <row r="62" ht="26" customHeight="1">
      <c r="A62" s="49" t="inlineStr">
        <is>
          <t>Testing</t>
        </is>
      </c>
      <c r="B62" s="50" t="inlineStr">
        <is>
          <t>Defect Resolution</t>
        </is>
      </c>
      <c r="C62" s="50" t="inlineStr">
        <is>
          <t>Triage and resolve defects identified during all testing phases</t>
        </is>
      </c>
      <c r="D62" s="50" t="inlineStr">
        <is>
          <t>Solutions Engineer</t>
        </is>
      </c>
      <c r="E62" s="51" t="n">
        <v>48</v>
      </c>
      <c r="F62" s="52" t="n">
        <v>1.3</v>
      </c>
      <c r="G62" s="51" t="n">
        <v>62</v>
      </c>
      <c r="H62" s="53" t="n">
        <v>200</v>
      </c>
      <c r="I62" s="53" t="n">
        <v>12400</v>
      </c>
      <c r="J62" s="50" t="inlineStr">
        <is>
          <t>All Testing phases</t>
        </is>
      </c>
      <c r="K62" s="50" t="inlineStr">
        <is>
          <t>Priority: Critical and High blockers resolved before go-live; Medium resolved before GA</t>
        </is>
      </c>
    </row>
    <row r="63" ht="26" customHeight="1">
      <c r="A63" s="44" t="inlineStr">
        <is>
          <t>Testing</t>
        </is>
      </c>
      <c r="B63" s="45" t="inlineStr">
        <is>
          <t>Test Results Report</t>
        </is>
      </c>
      <c r="C63" s="45" t="inlineStr">
        <is>
          <t>Compile test results report and obtain CMO/CIO go-live sign-off</t>
        </is>
      </c>
      <c r="D63" s="45" t="inlineStr">
        <is>
          <t>QA Engineer</t>
        </is>
      </c>
      <c r="E63" s="46" t="n">
        <v>12</v>
      </c>
      <c r="F63" s="47" t="n">
        <v>1.3</v>
      </c>
      <c r="G63" s="46" t="n">
        <v>16</v>
      </c>
      <c r="H63" s="48" t="n">
        <v>150</v>
      </c>
      <c r="I63" s="48" t="n">
        <v>2400</v>
      </c>
      <c r="J63" s="45" t="inlineStr">
        <is>
          <t>All Testing complete</t>
        </is>
      </c>
      <c r="K63" s="45" t="inlineStr">
        <is>
          <t>Report includes model performance metrics and security validation summary</t>
        </is>
      </c>
    </row>
    <row r="64" ht="26" customHeight="1">
      <c r="A64" s="49" t="inlineStr">
        <is>
          <t>Deployment</t>
        </is>
      </c>
      <c r="B64" s="50" t="inlineStr">
        <is>
          <t>Go-Live Planning</t>
        </is>
      </c>
      <c r="C64" s="50" t="inlineStr">
        <is>
          <t>Develop phased rollout plan and per-facility cutover playbook for 18 hospitals</t>
        </is>
      </c>
      <c r="D64" s="50" t="inlineStr">
        <is>
          <t>Project Manager</t>
        </is>
      </c>
      <c r="E64" s="51" t="n">
        <v>24</v>
      </c>
      <c r="F64" s="52" t="n">
        <v>1.2</v>
      </c>
      <c r="G64" s="51" t="n">
        <v>29</v>
      </c>
      <c r="H64" s="53" t="n">
        <v>175</v>
      </c>
      <c r="I64" s="53" t="n">
        <v>5075</v>
      </c>
      <c r="J64" s="50" t="inlineStr">
        <is>
          <t>Test sign-off</t>
        </is>
      </c>
      <c r="K64" s="50" t="inlineStr">
        <is>
          <t>Cohort-based rollout schedule; rollback procedure documented per facility</t>
        </is>
      </c>
    </row>
    <row r="65" ht="26" customHeight="1">
      <c r="A65" s="44" t="inlineStr">
        <is>
          <t>Deployment</t>
        </is>
      </c>
      <c r="B65" s="45" t="inlineStr">
        <is>
          <t>Phase 1 Production Deployment</t>
        </is>
      </c>
      <c r="C65" s="45" t="inlineStr">
        <is>
          <t>Deploy sepsis model and ingestion pipeline to production (target: 2026-10-31)</t>
        </is>
      </c>
      <c r="D65" s="45" t="inlineStr">
        <is>
          <t>Solutions Engineer</t>
        </is>
      </c>
      <c r="E65" s="46" t="n">
        <v>32</v>
      </c>
      <c r="F65" s="47" t="n">
        <v>1.2</v>
      </c>
      <c r="G65" s="46" t="n">
        <v>38</v>
      </c>
      <c r="H65" s="48" t="n">
        <v>200</v>
      </c>
      <c r="I65" s="48" t="n">
        <v>7600</v>
      </c>
      <c r="J65" s="45" t="inlineStr">
        <is>
          <t>Go-Live Planning</t>
        </is>
      </c>
      <c r="K65" s="45" t="inlineStr">
        <is>
          <t>Blue/green deployment; monitor latency and error rates for 48 hours post-cutover</t>
        </is>
      </c>
    </row>
    <row r="66" ht="26" customHeight="1">
      <c r="A66" s="49" t="inlineStr">
        <is>
          <t>Deployment</t>
        </is>
      </c>
      <c r="B66" s="50" t="inlineStr">
        <is>
          <t>Phase 1 Production Deployment</t>
        </is>
      </c>
      <c r="C66" s="50" t="inlineStr">
        <is>
          <t>Configure production Epic FHIR R4 and Mirth Connect connections at pilot facility cohort</t>
        </is>
      </c>
      <c r="D66" s="50" t="inlineStr">
        <is>
          <t>Solutions Engineer</t>
        </is>
      </c>
      <c r="E66" s="51" t="n">
        <v>24</v>
      </c>
      <c r="F66" s="52" t="n">
        <v>1.2</v>
      </c>
      <c r="G66" s="51" t="n">
        <v>29</v>
      </c>
      <c r="H66" s="53" t="n">
        <v>200</v>
      </c>
      <c r="I66" s="53" t="n">
        <v>5800</v>
      </c>
      <c r="J66" s="50" t="inlineStr">
        <is>
          <t>Phase 1 deployment</t>
        </is>
      </c>
      <c r="K66" s="50" t="inlineStr">
        <is>
          <t>Coordinate with EHR Integration Lead; validate live data flow before clinical activation</t>
        </is>
      </c>
    </row>
    <row r="67" ht="26" customHeight="1">
      <c r="A67" s="44" t="inlineStr">
        <is>
          <t>Deployment</t>
        </is>
      </c>
      <c r="B67" s="45" t="inlineStr">
        <is>
          <t>Phase 2 Production Deployment</t>
        </is>
      </c>
      <c r="C67" s="45" t="inlineStr">
        <is>
          <t>Deploy readmission and rapid response models to production (target: 2027-02-28)</t>
        </is>
      </c>
      <c r="D67" s="45" t="inlineStr">
        <is>
          <t>Solutions Engineer</t>
        </is>
      </c>
      <c r="E67" s="46" t="n">
        <v>32</v>
      </c>
      <c r="F67" s="47" t="n">
        <v>1.2</v>
      </c>
      <c r="G67" s="46" t="n">
        <v>38</v>
      </c>
      <c r="H67" s="48" t="n">
        <v>200</v>
      </c>
      <c r="I67" s="48" t="n">
        <v>7600</v>
      </c>
      <c r="J67" s="45" t="inlineStr">
        <is>
          <t>Phase 1 stable in production</t>
        </is>
      </c>
      <c r="K67" s="45" t="inlineStr">
        <is>
          <t>Incremental deployment; no disruption to live sepsis alerting</t>
        </is>
      </c>
    </row>
    <row r="68" ht="26" customHeight="1">
      <c r="A68" s="49" t="inlineStr">
        <is>
          <t>Deployment</t>
        </is>
      </c>
      <c r="B68" s="50" t="inlineStr">
        <is>
          <t>Phase 3 Full Facility Rollout</t>
        </is>
      </c>
      <c r="C68" s="50" t="inlineStr">
        <is>
          <t>Execute full 18-hospital and 60+ clinic rollout (target: 2027-06-30)</t>
        </is>
      </c>
      <c r="D68" s="50" t="inlineStr">
        <is>
          <t>Solutions Engineer</t>
        </is>
      </c>
      <c r="E68" s="51" t="n">
        <v>80</v>
      </c>
      <c r="F68" s="52" t="n">
        <v>1.2</v>
      </c>
      <c r="G68" s="51" t="n">
        <v>96</v>
      </c>
      <c r="H68" s="53" t="n">
        <v>200</v>
      </c>
      <c r="I68" s="53" t="n">
        <v>19200</v>
      </c>
      <c r="J68" s="50" t="inlineStr">
        <is>
          <t>Phase 2 deployment</t>
        </is>
      </c>
      <c r="K68" s="50" t="inlineStr">
        <is>
          <t>Facility-by-facility activation with per-facility UAT sign-off before activation</t>
        </is>
      </c>
    </row>
    <row r="69" ht="26" customHeight="1">
      <c r="A69" s="44" t="inlineStr">
        <is>
          <t>Deployment</t>
        </is>
      </c>
      <c r="B69" s="45" t="inlineStr">
        <is>
          <t>Phase 3 Full Facility Rollout</t>
        </is>
      </c>
      <c r="C69" s="45" t="inlineStr">
        <is>
          <t>Conduct per-facility Epic integration validation and alert workflow activation</t>
        </is>
      </c>
      <c r="D69" s="45" t="inlineStr">
        <is>
          <t>Solutions Engineer</t>
        </is>
      </c>
      <c r="E69" s="46" t="n">
        <v>48</v>
      </c>
      <c r="F69" s="47" t="n">
        <v>1.2</v>
      </c>
      <c r="G69" s="46" t="n">
        <v>58</v>
      </c>
      <c r="H69" s="48" t="n">
        <v>200</v>
      </c>
      <c r="I69" s="48" t="n">
        <v>11600</v>
      </c>
      <c r="J69" s="45" t="inlineStr">
        <is>
          <t>Phase 3 rollout</t>
        </is>
      </c>
      <c r="K69" s="45" t="inlineStr">
        <is>
          <t>Validate FHIR subscriptions and alert routing for each facility before activation</t>
        </is>
      </c>
    </row>
    <row r="70" ht="26" customHeight="1">
      <c r="A70" s="49" t="inlineStr">
        <is>
          <t>Deployment</t>
        </is>
      </c>
      <c r="B70" s="50" t="inlineStr">
        <is>
          <t>Runbook Development</t>
        </is>
      </c>
      <c r="C70" s="50" t="inlineStr">
        <is>
          <t>Create operational runbooks for ingestion pipeline, ML inference, and alert system</t>
        </is>
      </c>
      <c r="D70" s="50" t="inlineStr">
        <is>
          <t>Technical Writer</t>
        </is>
      </c>
      <c r="E70" s="51" t="n">
        <v>32</v>
      </c>
      <c r="F70" s="52" t="n">
        <v>1.2</v>
      </c>
      <c r="G70" s="51" t="n">
        <v>38</v>
      </c>
      <c r="H70" s="53" t="n">
        <v>125</v>
      </c>
      <c r="I70" s="53" t="n">
        <v>4750</v>
      </c>
      <c r="J70" s="50" t="inlineStr">
        <is>
          <t>Configuration Documentation</t>
        </is>
      </c>
      <c r="K70" s="50" t="inlineStr">
        <is>
          <t>Runbooks cover monitoring, common failure modes, escalation paths</t>
        </is>
      </c>
    </row>
    <row r="71" ht="26" customHeight="1">
      <c r="A71" s="44" t="inlineStr">
        <is>
          <t>Deployment</t>
        </is>
      </c>
      <c r="B71" s="45" t="inlineStr">
        <is>
          <t>Knowledge Transfer</t>
        </is>
      </c>
      <c r="C71" s="45" t="inlineStr">
        <is>
          <t>Deliver architecture and operations knowledge transfer sessions for MedCore IT and data engineering team</t>
        </is>
      </c>
      <c r="D71" s="45" t="inlineStr">
        <is>
          <t>Solution Architect</t>
        </is>
      </c>
      <c r="E71" s="46" t="n">
        <v>24</v>
      </c>
      <c r="F71" s="47" t="n">
        <v>1.2</v>
      </c>
      <c r="G71" s="46" t="n">
        <v>29</v>
      </c>
      <c r="H71" s="48" t="n">
        <v>225</v>
      </c>
      <c r="I71" s="48" t="n">
        <v>6525</v>
      </c>
      <c r="J71" s="45" t="inlineStr">
        <is>
          <t>Runbooks complete</t>
        </is>
      </c>
      <c r="K71" s="45" t="inlineStr">
        <is>
          <t>Sessions cover SageMaker pipeline operations, Kinesis troubleshooting, and model retraining</t>
        </is>
      </c>
    </row>
    <row r="72" ht="26" customHeight="1">
      <c r="A72" s="49" t="inlineStr">
        <is>
          <t>Deployment</t>
        </is>
      </c>
      <c r="B72" s="50" t="inlineStr">
        <is>
          <t>Knowledge Transfer</t>
        </is>
      </c>
      <c r="C72" s="50" t="inlineStr">
        <is>
          <t>Conduct clinical staff training on alert dashboard and risk score interpretation</t>
        </is>
      </c>
      <c r="D72" s="50" t="inlineStr">
        <is>
          <t>Trainer</t>
        </is>
      </c>
      <c r="E72" s="51" t="n">
        <v>48</v>
      </c>
      <c r="F72" s="52" t="n">
        <v>1.2</v>
      </c>
      <c r="G72" s="51" t="n">
        <v>58</v>
      </c>
      <c r="H72" s="53" t="n">
        <v>150</v>
      </c>
      <c r="I72" s="53" t="n">
        <v>8700</v>
      </c>
      <c r="J72" s="50" t="inlineStr">
        <is>
          <t>Phase 3 rollout</t>
        </is>
      </c>
      <c r="K72" s="50" t="inlineStr">
        <is>
          <t>Train-the-trainer model; target &gt;= 75% adoption within 90 days per facility</t>
        </is>
      </c>
    </row>
    <row r="73" ht="26" customHeight="1">
      <c r="A73" s="44" t="inlineStr">
        <is>
          <t>Deployment</t>
        </is>
      </c>
      <c r="B73" s="45" t="inlineStr">
        <is>
          <t>Documentation Delivery</t>
        </is>
      </c>
      <c r="C73" s="45" t="inlineStr">
        <is>
          <t>Deliver final as-built documentation package and hand over all IaC repositories</t>
        </is>
      </c>
      <c r="D73" s="45" t="inlineStr">
        <is>
          <t>Technical Writer</t>
        </is>
      </c>
      <c r="E73" s="46" t="n">
        <v>20</v>
      </c>
      <c r="F73" s="47" t="n">
        <v>1.2</v>
      </c>
      <c r="G73" s="46" t="n">
        <v>24</v>
      </c>
      <c r="H73" s="48" t="n">
        <v>125</v>
      </c>
      <c r="I73" s="48" t="n">
        <v>3000</v>
      </c>
      <c r="J73" s="45" t="inlineStr">
        <is>
          <t>All Deployment tasks</t>
        </is>
      </c>
      <c r="K73" s="45" t="inlineStr">
        <is>
          <t>Includes architecture diagrams, data flow docs, and model cards for each ML model</t>
        </is>
      </c>
    </row>
    <row r="74" ht="26" customHeight="1">
      <c r="A74" s="49" t="inlineStr">
        <is>
          <t>Deployment</t>
        </is>
      </c>
      <c r="B74" s="50" t="inlineStr">
        <is>
          <t>Hypercare Support</t>
        </is>
      </c>
      <c r="C74" s="50" t="inlineStr">
        <is>
          <t>Provide 8-week post-go-live hypercare support (Phase 3 GA in Q3 2027)</t>
        </is>
      </c>
      <c r="D74" s="50" t="inlineStr">
        <is>
          <t>Support Engineer</t>
        </is>
      </c>
      <c r="E74" s="51" t="n">
        <v>160</v>
      </c>
      <c r="F74" s="52" t="n">
        <v>1.2</v>
      </c>
      <c r="G74" s="51" t="n">
        <v>192</v>
      </c>
      <c r="H74" s="53" t="n">
        <v>150</v>
      </c>
      <c r="I74" s="53" t="n">
        <v>28800</v>
      </c>
      <c r="J74" s="50" t="inlineStr">
        <is>
          <t>Documentation delivery</t>
        </is>
      </c>
      <c r="K74" s="50" t="inlineStr">
        <is>
          <t>On-call support SLA: 1-hour response for Critical; 4-hour for High severity issues</t>
        </is>
      </c>
    </row>
    <row r="75" ht="26" customHeight="1">
      <c r="A75" s="44" t="inlineStr">
        <is>
          <t>Deployment</t>
        </is>
      </c>
      <c r="B75" s="45" t="inlineStr">
        <is>
          <t>Project Closeout</t>
        </is>
      </c>
      <c r="C75" s="45" t="inlineStr">
        <is>
          <t>Conduct project retrospective, lessons learned, and formal project closure</t>
        </is>
      </c>
      <c r="D75" s="45" t="inlineStr">
        <is>
          <t>Project Manager</t>
        </is>
      </c>
      <c r="E75" s="46" t="n">
        <v>12</v>
      </c>
      <c r="F75" s="47" t="n">
        <v>1.2</v>
      </c>
      <c r="G75" s="46" t="n">
        <v>14</v>
      </c>
      <c r="H75" s="48" t="n">
        <v>175</v>
      </c>
      <c r="I75" s="48" t="n">
        <v>2450</v>
      </c>
      <c r="J75" s="45" t="inlineStr">
        <is>
          <t>Hypercare complete</t>
        </is>
      </c>
      <c r="K75" s="45" t="inlineStr">
        <is>
          <t>Deliver outcomes report to CMO and CIO with KPI baseline vs. actual metrics</t>
        </is>
      </c>
    </row>
    <row r="76" ht="26" customHeight="1">
      <c r="A76" s="49" t="inlineStr">
        <is>
          <t>Management</t>
        </is>
      </c>
      <c r="B76" s="50" t="inlineStr">
        <is>
          <t>Technical Leadership</t>
        </is>
      </c>
      <c r="C76" s="50" t="inlineStr">
        <is>
          <t>Quarterback technical oversight and cross-phase architecture governance across all 3 project phases</t>
        </is>
      </c>
      <c r="D76" s="50" t="inlineStr">
        <is>
          <t>Solution Architect</t>
        </is>
      </c>
      <c r="E76" s="54">
        <f>ROUND(SUM($G$15:$G$88)*0.10,0)</f>
        <v/>
      </c>
      <c r="F76" s="52" t="n">
        <v>1</v>
      </c>
      <c r="G76" s="54">
        <f>E76*F76</f>
        <v/>
      </c>
      <c r="H76" s="53" t="n">
        <v>225</v>
      </c>
      <c r="I76" s="54">
        <f>TEXT(G76*H76,"$#,##0")</f>
        <v/>
      </c>
      <c r="J76" s="50" t="inlineStr"/>
      <c r="K76" s="50" t="inlineStr">
        <is>
          <t>10% of engineering task hours; covers architecture reviews and escalation resolution</t>
        </is>
      </c>
    </row>
    <row r="77" ht="26" customHeight="1">
      <c r="A77" s="44" t="inlineStr">
        <is>
          <t>Management</t>
        </is>
      </c>
      <c r="B77" s="45" t="inlineStr">
        <is>
          <t>Project Management</t>
        </is>
      </c>
      <c r="C77" s="45" t="inlineStr">
        <is>
          <t>Project coordination, status reporting, risk management, and stakeholder communications</t>
        </is>
      </c>
      <c r="D77" s="45" t="inlineStr">
        <is>
          <t>Project Manager</t>
        </is>
      </c>
      <c r="E77" s="55">
        <f>ROUND(SUM($G$15:$G$88)*0.10,0)</f>
        <v/>
      </c>
      <c r="F77" s="47" t="n">
        <v>1</v>
      </c>
      <c r="G77" s="55">
        <f>E77*F77</f>
        <v/>
      </c>
      <c r="H77" s="48" t="n">
        <v>175</v>
      </c>
      <c r="I77" s="55">
        <f>TEXT(G77*H77,"$#,##0")</f>
        <v/>
      </c>
      <c r="J77" s="45" t="inlineStr">
        <is>
          <t>Technical Leadership</t>
        </is>
      </c>
      <c r="K77" s="45" t="inlineStr">
        <is>
          <t>10% of engineering task hours; covers weekly status meetings and PMO reporting</t>
        </is>
      </c>
    </row>
    <row r="78" ht="26" customHeight="1">
      <c r="A78" s="56" t="inlineStr"/>
      <c r="B78" s="56" t="inlineStr"/>
      <c r="C78" s="56" t="inlineStr"/>
      <c r="D78" s="56" t="inlineStr"/>
      <c r="E78" s="56" t="inlineStr"/>
      <c r="F78" s="57" t="inlineStr">
        <is>
          <t>TOTAL HOURS</t>
        </is>
      </c>
      <c r="G78" s="57">
        <f>SUM($G$15:$G$92)</f>
        <v/>
      </c>
      <c r="H78" s="57" t="inlineStr">
        <is>
          <t>TOTAL COST</t>
        </is>
      </c>
      <c r="I78" s="57">
        <f>TEXT(SUMPRODUCT($G$15:$G$92,$H$15:$H$92),"$#,##0")</f>
        <v/>
      </c>
      <c r="J78" s="56" t="inlineStr"/>
      <c r="K78" s="56" t="inlineStr"/>
    </row>
  </sheetData>
  <autoFilter ref="A2:K78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Services Credit</t>
        </is>
      </c>
      <c r="B3" s="58" t="n">
        <v>-15000</v>
      </c>
      <c r="C3" s="37" t="inlineStr">
        <is>
          <t>AWS Partner Network (APN) Advanced Tier services credit for solution architecture and ML platform implementation; applied to Year 1 professional services cost</t>
        </is>
      </c>
    </row>
    <row r="4" ht="26" customHeight="1">
      <c r="A4" s="39" t="inlineStr">
        <is>
          <t>AWS Healthcare Competency Credit</t>
        </is>
      </c>
      <c r="B4" s="59" t="n">
        <v>-10000</v>
      </c>
      <c r="C4" s="40" t="inlineStr">
        <is>
          <t>AWS Healthcare Competency partner credit for HIPAA-compliant solution delivery; requires AWS Healthcare Competency designation and active BAA with end customer</t>
        </is>
      </c>
    </row>
    <row r="5" ht="26" customHeight="1">
      <c r="A5" s="36" t="inlineStr">
        <is>
          <t>Implementation Volume Discount</t>
        </is>
      </c>
      <c r="B5" s="58" t="n">
        <v>-12500</v>
      </c>
      <c r="C5" s="37" t="inlineStr">
        <is>
          <t>Volume discount on professional services for engagement exceeding $1M total PS spend; approximately 5% discount on Year 1 services</t>
        </is>
      </c>
    </row>
    <row r="6" ht="26" customHeight="1">
      <c r="A6" s="39" t="inlineStr">
        <is>
          <t>Training &amp; Enablement Credit</t>
        </is>
      </c>
      <c r="B6" s="59" t="n">
        <v>-5000</v>
      </c>
      <c r="C6" s="40" t="inlineStr">
        <is>
          <t>AWS Training credit applied toward MedCore IT and data engineering team enablement sessions; covers SageMaker, Kinesis, and HealthLake training modules</t>
        </is>
      </c>
    </row>
    <row r="7" ht="26" customHeight="1">
      <c r="A7" s="60" t="inlineStr">
        <is>
          <t>TOTAL</t>
        </is>
      </c>
      <c r="B7" s="61">
        <f>SUMPRODUCT($G$15:$G$92,$H$15:$H$92)-42500</f>
        <v/>
      </c>
      <c r="C7" s="62" t="inlineStr">
        <is>
          <t>Total professional services cost minus all partner and volume credits applied in Year 1; infrastructure credits (Reserved Instances, SageMaker Savings Plans) are captured in infrastructure-costs.csv</t>
        </is>
      </c>
    </row>
  </sheetData>
  <autoFilter ref="A2:C7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2026-06-29T23:27:03Z</dcterms:modified>
  <cp:lastModifiedBy>Kishan Siram</cp:lastModifiedBy>
</cp:coreProperties>
</file>