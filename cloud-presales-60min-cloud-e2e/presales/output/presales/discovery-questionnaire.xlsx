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ll Categories (Read Only)" sheetId="2" state="visible" r:id="rId2"/>
    <sheet xmlns:r="http://schemas.openxmlformats.org/officeDocument/2006/relationships" name="Business Requirements" sheetId="3" state="visible" r:id="rId3"/>
    <sheet xmlns:r="http://schemas.openxmlformats.org/officeDocument/2006/relationships" name="Technical Requirements" sheetId="4" state="visible" r:id="rId4"/>
    <sheet xmlns:r="http://schemas.openxmlformats.org/officeDocument/2006/relationships" name="Security &amp; Compliance" sheetId="5" state="visible" r:id="rId5"/>
    <sheet xmlns:r="http://schemas.openxmlformats.org/officeDocument/2006/relationships" name="Operations &amp; Support" sheetId="6" state="visible" r:id="rId6"/>
    <sheet xmlns:r="http://schemas.openxmlformats.org/officeDocument/2006/relationships" name="Implementation Planning" sheetId="7" state="visible" r:id="rId7"/>
    <sheet xmlns:r="http://schemas.openxmlformats.org/officeDocument/2006/relationships" name="Risk &amp; Constraints" sheetId="8" state="visible" r:id="rId8"/>
  </sheets>
  <definedNames/>
  <calcPr calcId="124519" calcMode="auto" fullCalcOnLoad="1" calcOnSave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6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FFFFFF"/>
      <sz val="12"/>
    </font>
    <font>
      <name val="Calibri"/>
      <b val="1"/>
      <color rgb="FF2C3E50"/>
      <sz val="12"/>
    </font>
  </fonts>
  <fills count="12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5" fillId="7" borderId="5" applyAlignment="1" pivotButton="0" quotePrefix="0" xfId="0">
      <alignment horizontal="center" vertical="center"/>
    </xf>
    <xf numFmtId="0" fontId="15" fillId="8" borderId="5" applyAlignment="1" pivotButton="0" quotePrefix="0" xfId="0">
      <alignment horizontal="center" vertical="center"/>
    </xf>
    <xf numFmtId="9" fontId="15" fillId="8" borderId="5" applyAlignment="1" pivotButton="0" quotePrefix="0" xfId="0">
      <alignment horizontal="center" vertical="center"/>
    </xf>
    <xf numFmtId="0" fontId="14" fillId="3" borderId="5" applyAlignment="1" pivotButton="0" quotePrefix="0" xfId="0">
      <alignment horizontal="center" vertical="center" wrapText="1"/>
    </xf>
    <xf numFmtId="0" fontId="2" fillId="11" borderId="5" applyAlignment="1" pivotButton="0" quotePrefix="0" xfId="0">
      <alignment vertical="top" wrapText="1" indent="1"/>
    </xf>
    <xf numFmtId="0" fontId="2" fillId="10" borderId="5" applyAlignment="1" pivotButton="0" quotePrefix="0" xfId="0">
      <alignment vertical="top" wrapText="1" indent="1"/>
    </xf>
    <xf numFmtId="0" fontId="2" fillId="4" borderId="5" applyAlignment="1" pivotButton="0" quotePrefix="0" xfId="0">
      <alignment vertical="top" wrapText="1" inden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Discovery Questionnaire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June 04, 2026</t>
        </is>
      </c>
    </row>
    <row r="6" ht="18" customHeight="1">
      <c r="B6" s="2" t="inlineStr">
        <is>
          <t>Solution:</t>
        </is>
      </c>
      <c r="C6" s="3" t="inlineStr">
        <is>
          <t>Tmpwj0_95K9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26" customHeight="1">
      <c r="A1" s="34" t="inlineStr">
        <is>
          <t>Total Questions</t>
        </is>
      </c>
      <c r="B1" s="34" t="inlineStr">
        <is>
          <t>Answered</t>
        </is>
      </c>
      <c r="C1" s="34" t="inlineStr">
        <is>
          <t>Remaining</t>
        </is>
      </c>
      <c r="D1" s="34" t="inlineStr">
        <is>
          <t>% Complete</t>
        </is>
      </c>
    </row>
    <row r="2" ht="26" customHeight="1">
      <c r="A2" s="35" t="n">
        <v>66</v>
      </c>
      <c r="B2" s="35">
        <f>SUMPRODUCT(--(LEN(F5:F70)&gt;0))</f>
        <v/>
      </c>
      <c r="C2" s="35">
        <f>A2-B2</f>
        <v/>
      </c>
      <c r="D2" s="36">
        <f>B2/A2</f>
        <v/>
      </c>
    </row>
    <row r="4" ht="32" customHeight="1">
      <c r="A4" s="37" t="inlineStr">
        <is>
          <t>Question ID</t>
        </is>
      </c>
      <c r="B4" s="37" t="inlineStr">
        <is>
          <t>Category</t>
        </is>
      </c>
      <c r="C4" s="37" t="inlineStr">
        <is>
          <t>Sub-Category</t>
        </is>
      </c>
      <c r="D4" s="37" t="inlineStr">
        <is>
          <t>Question</t>
        </is>
      </c>
      <c r="E4" s="37" t="inlineStr">
        <is>
          <t>Guidance</t>
        </is>
      </c>
      <c r="F4" s="37" t="inlineStr">
        <is>
          <t>Customer Response</t>
        </is>
      </c>
      <c r="G4" s="37" t="inlineStr">
        <is>
          <t>Notes</t>
        </is>
      </c>
    </row>
    <row r="5">
      <c r="A5" s="38">
        <f>IF('Business Requirements'!A2="","",'Business Requirements'!A2)</f>
        <v/>
      </c>
      <c r="B5" s="38">
        <f>IF('Business Requirements'!B2="","",'Business Requirements'!B2)</f>
        <v/>
      </c>
      <c r="C5" s="38">
        <f>IF('Business Requirements'!C2="","",'Business Requirements'!C2)</f>
        <v/>
      </c>
      <c r="D5" s="38">
        <f>IF('Business Requirements'!D2="","",'Business Requirements'!D2)</f>
        <v/>
      </c>
      <c r="E5" s="38">
        <f>IF('Business Requirements'!E2="","",'Business Requirements'!E2)</f>
        <v/>
      </c>
      <c r="F5" s="39">
        <f>IF('Business Requirements'!F2="","",'Business Requirements'!F2)</f>
        <v/>
      </c>
      <c r="G5" s="38">
        <f>IF('Business Requirements'!G2="","",'Business Requirements'!G2)</f>
        <v/>
      </c>
    </row>
    <row r="6">
      <c r="A6" s="40">
        <f>IF('Business Requirements'!A3="","",'Business Requirements'!A3)</f>
        <v/>
      </c>
      <c r="B6" s="40">
        <f>IF('Business Requirements'!B3="","",'Business Requirements'!B3)</f>
        <v/>
      </c>
      <c r="C6" s="40">
        <f>IF('Business Requirements'!C3="","",'Business Requirements'!C3)</f>
        <v/>
      </c>
      <c r="D6" s="40">
        <f>IF('Business Requirements'!D3="","",'Business Requirements'!D3)</f>
        <v/>
      </c>
      <c r="E6" s="40">
        <f>IF('Business Requirements'!E3="","",'Business Requirements'!E3)</f>
        <v/>
      </c>
      <c r="F6" s="39">
        <f>IF('Business Requirements'!F3="","",'Business Requirements'!F3)</f>
        <v/>
      </c>
      <c r="G6" s="40">
        <f>IF('Business Requirements'!G3="","",'Business Requirements'!G3)</f>
        <v/>
      </c>
    </row>
    <row r="7">
      <c r="A7" s="38">
        <f>IF('Business Requirements'!A4="","",'Business Requirements'!A4)</f>
        <v/>
      </c>
      <c r="B7" s="38">
        <f>IF('Business Requirements'!B4="","",'Business Requirements'!B4)</f>
        <v/>
      </c>
      <c r="C7" s="38">
        <f>IF('Business Requirements'!C4="","",'Business Requirements'!C4)</f>
        <v/>
      </c>
      <c r="D7" s="38">
        <f>IF('Business Requirements'!D4="","",'Business Requirements'!D4)</f>
        <v/>
      </c>
      <c r="E7" s="38">
        <f>IF('Business Requirements'!E4="","",'Business Requirements'!E4)</f>
        <v/>
      </c>
      <c r="F7" s="39">
        <f>IF('Business Requirements'!F4="","",'Business Requirements'!F4)</f>
        <v/>
      </c>
      <c r="G7" s="38">
        <f>IF('Business Requirements'!G4="","",'Business Requirements'!G4)</f>
        <v/>
      </c>
    </row>
    <row r="8">
      <c r="A8" s="40">
        <f>IF('Business Requirements'!A5="","",'Business Requirements'!A5)</f>
        <v/>
      </c>
      <c r="B8" s="40">
        <f>IF('Business Requirements'!B5="","",'Business Requirements'!B5)</f>
        <v/>
      </c>
      <c r="C8" s="40">
        <f>IF('Business Requirements'!C5="","",'Business Requirements'!C5)</f>
        <v/>
      </c>
      <c r="D8" s="40">
        <f>IF('Business Requirements'!D5="","",'Business Requirements'!D5)</f>
        <v/>
      </c>
      <c r="E8" s="40">
        <f>IF('Business Requirements'!E5="","",'Business Requirements'!E5)</f>
        <v/>
      </c>
      <c r="F8" s="39">
        <f>IF('Business Requirements'!F5="","",'Business Requirements'!F5)</f>
        <v/>
      </c>
      <c r="G8" s="40">
        <f>IF('Business Requirements'!G5="","",'Business Requirements'!G5)</f>
        <v/>
      </c>
    </row>
    <row r="9">
      <c r="A9" s="38">
        <f>IF('Business Requirements'!A6="","",'Business Requirements'!A6)</f>
        <v/>
      </c>
      <c r="B9" s="38">
        <f>IF('Business Requirements'!B6="","",'Business Requirements'!B6)</f>
        <v/>
      </c>
      <c r="C9" s="38">
        <f>IF('Business Requirements'!C6="","",'Business Requirements'!C6)</f>
        <v/>
      </c>
      <c r="D9" s="38">
        <f>IF('Business Requirements'!D6="","",'Business Requirements'!D6)</f>
        <v/>
      </c>
      <c r="E9" s="38">
        <f>IF('Business Requirements'!E6="","",'Business Requirements'!E6)</f>
        <v/>
      </c>
      <c r="F9" s="39">
        <f>IF('Business Requirements'!F6="","",'Business Requirements'!F6)</f>
        <v/>
      </c>
      <c r="G9" s="38">
        <f>IF('Business Requirements'!G6="","",'Business Requirements'!G6)</f>
        <v/>
      </c>
    </row>
    <row r="10">
      <c r="A10" s="40">
        <f>IF('Business Requirements'!A7="","",'Business Requirements'!A7)</f>
        <v/>
      </c>
      <c r="B10" s="40">
        <f>IF('Business Requirements'!B7="","",'Business Requirements'!B7)</f>
        <v/>
      </c>
      <c r="C10" s="40">
        <f>IF('Business Requirements'!C7="","",'Business Requirements'!C7)</f>
        <v/>
      </c>
      <c r="D10" s="40">
        <f>IF('Business Requirements'!D7="","",'Business Requirements'!D7)</f>
        <v/>
      </c>
      <c r="E10" s="40">
        <f>IF('Business Requirements'!E7="","",'Business Requirements'!E7)</f>
        <v/>
      </c>
      <c r="F10" s="39">
        <f>IF('Business Requirements'!F7="","",'Business Requirements'!F7)</f>
        <v/>
      </c>
      <c r="G10" s="40">
        <f>IF('Business Requirements'!G7="","",'Business Requirements'!G7)</f>
        <v/>
      </c>
    </row>
    <row r="11">
      <c r="A11" s="38">
        <f>IF('Business Requirements'!A8="","",'Business Requirements'!A8)</f>
        <v/>
      </c>
      <c r="B11" s="38">
        <f>IF('Business Requirements'!B8="","",'Business Requirements'!B8)</f>
        <v/>
      </c>
      <c r="C11" s="38">
        <f>IF('Business Requirements'!C8="","",'Business Requirements'!C8)</f>
        <v/>
      </c>
      <c r="D11" s="38">
        <f>IF('Business Requirements'!D8="","",'Business Requirements'!D8)</f>
        <v/>
      </c>
      <c r="E11" s="38">
        <f>IF('Business Requirements'!E8="","",'Business Requirements'!E8)</f>
        <v/>
      </c>
      <c r="F11" s="39">
        <f>IF('Business Requirements'!F8="","",'Business Requirements'!F8)</f>
        <v/>
      </c>
      <c r="G11" s="38">
        <f>IF('Business Requirements'!G8="","",'Business Requirements'!G8)</f>
        <v/>
      </c>
    </row>
    <row r="12">
      <c r="A12" s="40">
        <f>IF('Business Requirements'!A9="","",'Business Requirements'!A9)</f>
        <v/>
      </c>
      <c r="B12" s="40">
        <f>IF('Business Requirements'!B9="","",'Business Requirements'!B9)</f>
        <v/>
      </c>
      <c r="C12" s="40">
        <f>IF('Business Requirements'!C9="","",'Business Requirements'!C9)</f>
        <v/>
      </c>
      <c r="D12" s="40">
        <f>IF('Business Requirements'!D9="","",'Business Requirements'!D9)</f>
        <v/>
      </c>
      <c r="E12" s="40">
        <f>IF('Business Requirements'!E9="","",'Business Requirements'!E9)</f>
        <v/>
      </c>
      <c r="F12" s="39">
        <f>IF('Business Requirements'!F9="","",'Business Requirements'!F9)</f>
        <v/>
      </c>
      <c r="G12" s="40">
        <f>IF('Business Requirements'!G9="","",'Business Requirements'!G9)</f>
        <v/>
      </c>
    </row>
    <row r="13">
      <c r="A13" s="38">
        <f>IF('Business Requirements'!A10="","",'Business Requirements'!A10)</f>
        <v/>
      </c>
      <c r="B13" s="38">
        <f>IF('Business Requirements'!B10="","",'Business Requirements'!B10)</f>
        <v/>
      </c>
      <c r="C13" s="38">
        <f>IF('Business Requirements'!C10="","",'Business Requirements'!C10)</f>
        <v/>
      </c>
      <c r="D13" s="38">
        <f>IF('Business Requirements'!D10="","",'Business Requirements'!D10)</f>
        <v/>
      </c>
      <c r="E13" s="38">
        <f>IF('Business Requirements'!E10="","",'Business Requirements'!E10)</f>
        <v/>
      </c>
      <c r="F13" s="39">
        <f>IF('Business Requirements'!F10="","",'Business Requirements'!F10)</f>
        <v/>
      </c>
      <c r="G13" s="38">
        <f>IF('Business Requirements'!G10="","",'Business Requirements'!G10)</f>
        <v/>
      </c>
    </row>
    <row r="14">
      <c r="A14" s="40">
        <f>IF('Business Requirements'!A11="","",'Business Requirements'!A11)</f>
        <v/>
      </c>
      <c r="B14" s="40">
        <f>IF('Business Requirements'!B11="","",'Business Requirements'!B11)</f>
        <v/>
      </c>
      <c r="C14" s="40">
        <f>IF('Business Requirements'!C11="","",'Business Requirements'!C11)</f>
        <v/>
      </c>
      <c r="D14" s="40">
        <f>IF('Business Requirements'!D11="","",'Business Requirements'!D11)</f>
        <v/>
      </c>
      <c r="E14" s="40">
        <f>IF('Business Requirements'!E11="","",'Business Requirements'!E11)</f>
        <v/>
      </c>
      <c r="F14" s="39">
        <f>IF('Business Requirements'!F11="","",'Business Requirements'!F11)</f>
        <v/>
      </c>
      <c r="G14" s="40">
        <f>IF('Business Requirements'!G11="","",'Business Requirements'!G11)</f>
        <v/>
      </c>
    </row>
    <row r="15">
      <c r="A15" s="38">
        <f>IF('Business Requirements'!A12="","",'Business Requirements'!A12)</f>
        <v/>
      </c>
      <c r="B15" s="38">
        <f>IF('Business Requirements'!B12="","",'Business Requirements'!B12)</f>
        <v/>
      </c>
      <c r="C15" s="38">
        <f>IF('Business Requirements'!C12="","",'Business Requirements'!C12)</f>
        <v/>
      </c>
      <c r="D15" s="38">
        <f>IF('Business Requirements'!D12="","",'Business Requirements'!D12)</f>
        <v/>
      </c>
      <c r="E15" s="38">
        <f>IF('Business Requirements'!E12="","",'Business Requirements'!E12)</f>
        <v/>
      </c>
      <c r="F15" s="39">
        <f>IF('Business Requirements'!F12="","",'Business Requirements'!F12)</f>
        <v/>
      </c>
      <c r="G15" s="38">
        <f>IF('Business Requirements'!G12="","",'Business Requirements'!G12)</f>
        <v/>
      </c>
    </row>
    <row r="16">
      <c r="A16" s="40">
        <f>IF('Business Requirements'!A13="","",'Business Requirements'!A13)</f>
        <v/>
      </c>
      <c r="B16" s="40">
        <f>IF('Business Requirements'!B13="","",'Business Requirements'!B13)</f>
        <v/>
      </c>
      <c r="C16" s="40">
        <f>IF('Business Requirements'!C13="","",'Business Requirements'!C13)</f>
        <v/>
      </c>
      <c r="D16" s="40">
        <f>IF('Business Requirements'!D13="","",'Business Requirements'!D13)</f>
        <v/>
      </c>
      <c r="E16" s="40">
        <f>IF('Business Requirements'!E13="","",'Business Requirements'!E13)</f>
        <v/>
      </c>
      <c r="F16" s="39">
        <f>IF('Business Requirements'!F13="","",'Business Requirements'!F13)</f>
        <v/>
      </c>
      <c r="G16" s="40">
        <f>IF('Business Requirements'!G13="","",'Business Requirements'!G13)</f>
        <v/>
      </c>
    </row>
    <row r="17">
      <c r="A17" s="38">
        <f>IF('Technical Requirements'!A2="","",'Technical Requirements'!A2)</f>
        <v/>
      </c>
      <c r="B17" s="38">
        <f>IF('Technical Requirements'!B2="","",'Technical Requirements'!B2)</f>
        <v/>
      </c>
      <c r="C17" s="38">
        <f>IF('Technical Requirements'!C2="","",'Technical Requirements'!C2)</f>
        <v/>
      </c>
      <c r="D17" s="38">
        <f>IF('Technical Requirements'!D2="","",'Technical Requirements'!D2)</f>
        <v/>
      </c>
      <c r="E17" s="38">
        <f>IF('Technical Requirements'!E2="","",'Technical Requirements'!E2)</f>
        <v/>
      </c>
      <c r="F17" s="39">
        <f>IF('Technical Requirements'!F2="","",'Technical Requirements'!F2)</f>
        <v/>
      </c>
      <c r="G17" s="38">
        <f>IF('Technical Requirements'!G2="","",'Technical Requirements'!G2)</f>
        <v/>
      </c>
    </row>
    <row r="18">
      <c r="A18" s="40">
        <f>IF('Technical Requirements'!A3="","",'Technical Requirements'!A3)</f>
        <v/>
      </c>
      <c r="B18" s="40">
        <f>IF('Technical Requirements'!B3="","",'Technical Requirements'!B3)</f>
        <v/>
      </c>
      <c r="C18" s="40">
        <f>IF('Technical Requirements'!C3="","",'Technical Requirements'!C3)</f>
        <v/>
      </c>
      <c r="D18" s="40">
        <f>IF('Technical Requirements'!D3="","",'Technical Requirements'!D3)</f>
        <v/>
      </c>
      <c r="E18" s="40">
        <f>IF('Technical Requirements'!E3="","",'Technical Requirements'!E3)</f>
        <v/>
      </c>
      <c r="F18" s="39">
        <f>IF('Technical Requirements'!F3="","",'Technical Requirements'!F3)</f>
        <v/>
      </c>
      <c r="G18" s="40">
        <f>IF('Technical Requirements'!G3="","",'Technical Requirements'!G3)</f>
        <v/>
      </c>
    </row>
    <row r="19">
      <c r="A19" s="38">
        <f>IF('Technical Requirements'!A4="","",'Technical Requirements'!A4)</f>
        <v/>
      </c>
      <c r="B19" s="38">
        <f>IF('Technical Requirements'!B4="","",'Technical Requirements'!B4)</f>
        <v/>
      </c>
      <c r="C19" s="38">
        <f>IF('Technical Requirements'!C4="","",'Technical Requirements'!C4)</f>
        <v/>
      </c>
      <c r="D19" s="38">
        <f>IF('Technical Requirements'!D4="","",'Technical Requirements'!D4)</f>
        <v/>
      </c>
      <c r="E19" s="38">
        <f>IF('Technical Requirements'!E4="","",'Technical Requirements'!E4)</f>
        <v/>
      </c>
      <c r="F19" s="39">
        <f>IF('Technical Requirements'!F4="","",'Technical Requirements'!F4)</f>
        <v/>
      </c>
      <c r="G19" s="38">
        <f>IF('Technical Requirements'!G4="","",'Technical Requirements'!G4)</f>
        <v/>
      </c>
    </row>
    <row r="20">
      <c r="A20" s="40">
        <f>IF('Technical Requirements'!A5="","",'Technical Requirements'!A5)</f>
        <v/>
      </c>
      <c r="B20" s="40">
        <f>IF('Technical Requirements'!B5="","",'Technical Requirements'!B5)</f>
        <v/>
      </c>
      <c r="C20" s="40">
        <f>IF('Technical Requirements'!C5="","",'Technical Requirements'!C5)</f>
        <v/>
      </c>
      <c r="D20" s="40">
        <f>IF('Technical Requirements'!D5="","",'Technical Requirements'!D5)</f>
        <v/>
      </c>
      <c r="E20" s="40">
        <f>IF('Technical Requirements'!E5="","",'Technical Requirements'!E5)</f>
        <v/>
      </c>
      <c r="F20" s="39">
        <f>IF('Technical Requirements'!F5="","",'Technical Requirements'!F5)</f>
        <v/>
      </c>
      <c r="G20" s="40">
        <f>IF('Technical Requirements'!G5="","",'Technical Requirements'!G5)</f>
        <v/>
      </c>
    </row>
    <row r="21">
      <c r="A21" s="38">
        <f>IF('Technical Requirements'!A6="","",'Technical Requirements'!A6)</f>
        <v/>
      </c>
      <c r="B21" s="38">
        <f>IF('Technical Requirements'!B6="","",'Technical Requirements'!B6)</f>
        <v/>
      </c>
      <c r="C21" s="38">
        <f>IF('Technical Requirements'!C6="","",'Technical Requirements'!C6)</f>
        <v/>
      </c>
      <c r="D21" s="38">
        <f>IF('Technical Requirements'!D6="","",'Technical Requirements'!D6)</f>
        <v/>
      </c>
      <c r="E21" s="38">
        <f>IF('Technical Requirements'!E6="","",'Technical Requirements'!E6)</f>
        <v/>
      </c>
      <c r="F21" s="39">
        <f>IF('Technical Requirements'!F6="","",'Technical Requirements'!F6)</f>
        <v/>
      </c>
      <c r="G21" s="38">
        <f>IF('Technical Requirements'!G6="","",'Technical Requirements'!G6)</f>
        <v/>
      </c>
    </row>
    <row r="22">
      <c r="A22" s="40">
        <f>IF('Technical Requirements'!A7="","",'Technical Requirements'!A7)</f>
        <v/>
      </c>
      <c r="B22" s="40">
        <f>IF('Technical Requirements'!B7="","",'Technical Requirements'!B7)</f>
        <v/>
      </c>
      <c r="C22" s="40">
        <f>IF('Technical Requirements'!C7="","",'Technical Requirements'!C7)</f>
        <v/>
      </c>
      <c r="D22" s="40">
        <f>IF('Technical Requirements'!D7="","",'Technical Requirements'!D7)</f>
        <v/>
      </c>
      <c r="E22" s="40">
        <f>IF('Technical Requirements'!E7="","",'Technical Requirements'!E7)</f>
        <v/>
      </c>
      <c r="F22" s="39">
        <f>IF('Technical Requirements'!F7="","",'Technical Requirements'!F7)</f>
        <v/>
      </c>
      <c r="G22" s="40">
        <f>IF('Technical Requirements'!G7="","",'Technical Requirements'!G7)</f>
        <v/>
      </c>
    </row>
    <row r="23">
      <c r="A23" s="38">
        <f>IF('Technical Requirements'!A8="","",'Technical Requirements'!A8)</f>
        <v/>
      </c>
      <c r="B23" s="38">
        <f>IF('Technical Requirements'!B8="","",'Technical Requirements'!B8)</f>
        <v/>
      </c>
      <c r="C23" s="38">
        <f>IF('Technical Requirements'!C8="","",'Technical Requirements'!C8)</f>
        <v/>
      </c>
      <c r="D23" s="38">
        <f>IF('Technical Requirements'!D8="","",'Technical Requirements'!D8)</f>
        <v/>
      </c>
      <c r="E23" s="38">
        <f>IF('Technical Requirements'!E8="","",'Technical Requirements'!E8)</f>
        <v/>
      </c>
      <c r="F23" s="39">
        <f>IF('Technical Requirements'!F8="","",'Technical Requirements'!F8)</f>
        <v/>
      </c>
      <c r="G23" s="38">
        <f>IF('Technical Requirements'!G8="","",'Technical Requirements'!G8)</f>
        <v/>
      </c>
    </row>
    <row r="24">
      <c r="A24" s="40">
        <f>IF('Technical Requirements'!A9="","",'Technical Requirements'!A9)</f>
        <v/>
      </c>
      <c r="B24" s="40">
        <f>IF('Technical Requirements'!B9="","",'Technical Requirements'!B9)</f>
        <v/>
      </c>
      <c r="C24" s="40">
        <f>IF('Technical Requirements'!C9="","",'Technical Requirements'!C9)</f>
        <v/>
      </c>
      <c r="D24" s="40">
        <f>IF('Technical Requirements'!D9="","",'Technical Requirements'!D9)</f>
        <v/>
      </c>
      <c r="E24" s="40">
        <f>IF('Technical Requirements'!E9="","",'Technical Requirements'!E9)</f>
        <v/>
      </c>
      <c r="F24" s="39">
        <f>IF('Technical Requirements'!F9="","",'Technical Requirements'!F9)</f>
        <v/>
      </c>
      <c r="G24" s="40">
        <f>IF('Technical Requirements'!G9="","",'Technical Requirements'!G9)</f>
        <v/>
      </c>
    </row>
    <row r="25">
      <c r="A25" s="38">
        <f>IF('Technical Requirements'!A10="","",'Technical Requirements'!A10)</f>
        <v/>
      </c>
      <c r="B25" s="38">
        <f>IF('Technical Requirements'!B10="","",'Technical Requirements'!B10)</f>
        <v/>
      </c>
      <c r="C25" s="38">
        <f>IF('Technical Requirements'!C10="","",'Technical Requirements'!C10)</f>
        <v/>
      </c>
      <c r="D25" s="38">
        <f>IF('Technical Requirements'!D10="","",'Technical Requirements'!D10)</f>
        <v/>
      </c>
      <c r="E25" s="38">
        <f>IF('Technical Requirements'!E10="","",'Technical Requirements'!E10)</f>
        <v/>
      </c>
      <c r="F25" s="39">
        <f>IF('Technical Requirements'!F10="","",'Technical Requirements'!F10)</f>
        <v/>
      </c>
      <c r="G25" s="38">
        <f>IF('Technical Requirements'!G10="","",'Technical Requirements'!G10)</f>
        <v/>
      </c>
    </row>
    <row r="26">
      <c r="A26" s="40">
        <f>IF('Technical Requirements'!A11="","",'Technical Requirements'!A11)</f>
        <v/>
      </c>
      <c r="B26" s="40">
        <f>IF('Technical Requirements'!B11="","",'Technical Requirements'!B11)</f>
        <v/>
      </c>
      <c r="C26" s="40">
        <f>IF('Technical Requirements'!C11="","",'Technical Requirements'!C11)</f>
        <v/>
      </c>
      <c r="D26" s="40">
        <f>IF('Technical Requirements'!D11="","",'Technical Requirements'!D11)</f>
        <v/>
      </c>
      <c r="E26" s="40">
        <f>IF('Technical Requirements'!E11="","",'Technical Requirements'!E11)</f>
        <v/>
      </c>
      <c r="F26" s="39">
        <f>IF('Technical Requirements'!F11="","",'Technical Requirements'!F11)</f>
        <v/>
      </c>
      <c r="G26" s="40">
        <f>IF('Technical Requirements'!G11="","",'Technical Requirements'!G11)</f>
        <v/>
      </c>
    </row>
    <row r="27">
      <c r="A27" s="38">
        <f>IF('Technical Requirements'!A12="","",'Technical Requirements'!A12)</f>
        <v/>
      </c>
      <c r="B27" s="38">
        <f>IF('Technical Requirements'!B12="","",'Technical Requirements'!B12)</f>
        <v/>
      </c>
      <c r="C27" s="38">
        <f>IF('Technical Requirements'!C12="","",'Technical Requirements'!C12)</f>
        <v/>
      </c>
      <c r="D27" s="38">
        <f>IF('Technical Requirements'!D12="","",'Technical Requirements'!D12)</f>
        <v/>
      </c>
      <c r="E27" s="38">
        <f>IF('Technical Requirements'!E12="","",'Technical Requirements'!E12)</f>
        <v/>
      </c>
      <c r="F27" s="39">
        <f>IF('Technical Requirements'!F12="","",'Technical Requirements'!F12)</f>
        <v/>
      </c>
      <c r="G27" s="38">
        <f>IF('Technical Requirements'!G12="","",'Technical Requirements'!G12)</f>
        <v/>
      </c>
    </row>
    <row r="28">
      <c r="A28" s="40">
        <f>IF('Technical Requirements'!A13="","",'Technical Requirements'!A13)</f>
        <v/>
      </c>
      <c r="B28" s="40">
        <f>IF('Technical Requirements'!B13="","",'Technical Requirements'!B13)</f>
        <v/>
      </c>
      <c r="C28" s="40">
        <f>IF('Technical Requirements'!C13="","",'Technical Requirements'!C13)</f>
        <v/>
      </c>
      <c r="D28" s="40">
        <f>IF('Technical Requirements'!D13="","",'Technical Requirements'!D13)</f>
        <v/>
      </c>
      <c r="E28" s="40">
        <f>IF('Technical Requirements'!E13="","",'Technical Requirements'!E13)</f>
        <v/>
      </c>
      <c r="F28" s="39">
        <f>IF('Technical Requirements'!F13="","",'Technical Requirements'!F13)</f>
        <v/>
      </c>
      <c r="G28" s="40">
        <f>IF('Technical Requirements'!G13="","",'Technical Requirements'!G13)</f>
        <v/>
      </c>
    </row>
    <row r="29">
      <c r="A29" s="38">
        <f>IF('Technical Requirements'!A14="","",'Technical Requirements'!A14)</f>
        <v/>
      </c>
      <c r="B29" s="38">
        <f>IF('Technical Requirements'!B14="","",'Technical Requirements'!B14)</f>
        <v/>
      </c>
      <c r="C29" s="38">
        <f>IF('Technical Requirements'!C14="","",'Technical Requirements'!C14)</f>
        <v/>
      </c>
      <c r="D29" s="38">
        <f>IF('Technical Requirements'!D14="","",'Technical Requirements'!D14)</f>
        <v/>
      </c>
      <c r="E29" s="38">
        <f>IF('Technical Requirements'!E14="","",'Technical Requirements'!E14)</f>
        <v/>
      </c>
      <c r="F29" s="39">
        <f>IF('Technical Requirements'!F14="","",'Technical Requirements'!F14)</f>
        <v/>
      </c>
      <c r="G29" s="38">
        <f>IF('Technical Requirements'!G14="","",'Technical Requirements'!G14)</f>
        <v/>
      </c>
    </row>
    <row r="30">
      <c r="A30" s="40">
        <f>IF('Technical Requirements'!A15="","",'Technical Requirements'!A15)</f>
        <v/>
      </c>
      <c r="B30" s="40">
        <f>IF('Technical Requirements'!B15="","",'Technical Requirements'!B15)</f>
        <v/>
      </c>
      <c r="C30" s="40">
        <f>IF('Technical Requirements'!C15="","",'Technical Requirements'!C15)</f>
        <v/>
      </c>
      <c r="D30" s="40">
        <f>IF('Technical Requirements'!D15="","",'Technical Requirements'!D15)</f>
        <v/>
      </c>
      <c r="E30" s="40">
        <f>IF('Technical Requirements'!E15="","",'Technical Requirements'!E15)</f>
        <v/>
      </c>
      <c r="F30" s="39">
        <f>IF('Technical Requirements'!F15="","",'Technical Requirements'!F15)</f>
        <v/>
      </c>
      <c r="G30" s="40">
        <f>IF('Technical Requirements'!G15="","",'Technical Requirements'!G15)</f>
        <v/>
      </c>
    </row>
    <row r="31">
      <c r="A31" s="38">
        <f>IF('Technical Requirements'!A16="","",'Technical Requirements'!A16)</f>
        <v/>
      </c>
      <c r="B31" s="38">
        <f>IF('Technical Requirements'!B16="","",'Technical Requirements'!B16)</f>
        <v/>
      </c>
      <c r="C31" s="38">
        <f>IF('Technical Requirements'!C16="","",'Technical Requirements'!C16)</f>
        <v/>
      </c>
      <c r="D31" s="38">
        <f>IF('Technical Requirements'!D16="","",'Technical Requirements'!D16)</f>
        <v/>
      </c>
      <c r="E31" s="38">
        <f>IF('Technical Requirements'!E16="","",'Technical Requirements'!E16)</f>
        <v/>
      </c>
      <c r="F31" s="39">
        <f>IF('Technical Requirements'!F16="","",'Technical Requirements'!F16)</f>
        <v/>
      </c>
      <c r="G31" s="38">
        <f>IF('Technical Requirements'!G16="","",'Technical Requirements'!G16)</f>
        <v/>
      </c>
    </row>
    <row r="32">
      <c r="A32" s="40">
        <f>IF('Technical Requirements'!A17="","",'Technical Requirements'!A17)</f>
        <v/>
      </c>
      <c r="B32" s="40">
        <f>IF('Technical Requirements'!B17="","",'Technical Requirements'!B17)</f>
        <v/>
      </c>
      <c r="C32" s="40">
        <f>IF('Technical Requirements'!C17="","",'Technical Requirements'!C17)</f>
        <v/>
      </c>
      <c r="D32" s="40">
        <f>IF('Technical Requirements'!D17="","",'Technical Requirements'!D17)</f>
        <v/>
      </c>
      <c r="E32" s="40">
        <f>IF('Technical Requirements'!E17="","",'Technical Requirements'!E17)</f>
        <v/>
      </c>
      <c r="F32" s="39">
        <f>IF('Technical Requirements'!F17="","",'Technical Requirements'!F17)</f>
        <v/>
      </c>
      <c r="G32" s="40">
        <f>IF('Technical Requirements'!G17="","",'Technical Requirements'!G17)</f>
        <v/>
      </c>
    </row>
    <row r="33">
      <c r="A33" s="38">
        <f>IF('Technical Requirements'!A18="","",'Technical Requirements'!A18)</f>
        <v/>
      </c>
      <c r="B33" s="38">
        <f>IF('Technical Requirements'!B18="","",'Technical Requirements'!B18)</f>
        <v/>
      </c>
      <c r="C33" s="38">
        <f>IF('Technical Requirements'!C18="","",'Technical Requirements'!C18)</f>
        <v/>
      </c>
      <c r="D33" s="38">
        <f>IF('Technical Requirements'!D18="","",'Technical Requirements'!D18)</f>
        <v/>
      </c>
      <c r="E33" s="38">
        <f>IF('Technical Requirements'!E18="","",'Technical Requirements'!E18)</f>
        <v/>
      </c>
      <c r="F33" s="39">
        <f>IF('Technical Requirements'!F18="","",'Technical Requirements'!F18)</f>
        <v/>
      </c>
      <c r="G33" s="38">
        <f>IF('Technical Requirements'!G18="","",'Technical Requirements'!G18)</f>
        <v/>
      </c>
    </row>
    <row r="34">
      <c r="A34" s="40">
        <f>IF('Technical Requirements'!A19="","",'Technical Requirements'!A19)</f>
        <v/>
      </c>
      <c r="B34" s="40">
        <f>IF('Technical Requirements'!B19="","",'Technical Requirements'!B19)</f>
        <v/>
      </c>
      <c r="C34" s="40">
        <f>IF('Technical Requirements'!C19="","",'Technical Requirements'!C19)</f>
        <v/>
      </c>
      <c r="D34" s="40">
        <f>IF('Technical Requirements'!D19="","",'Technical Requirements'!D19)</f>
        <v/>
      </c>
      <c r="E34" s="40">
        <f>IF('Technical Requirements'!E19="","",'Technical Requirements'!E19)</f>
        <v/>
      </c>
      <c r="F34" s="39">
        <f>IF('Technical Requirements'!F19="","",'Technical Requirements'!F19)</f>
        <v/>
      </c>
      <c r="G34" s="40">
        <f>IF('Technical Requirements'!G19="","",'Technical Requirements'!G19)</f>
        <v/>
      </c>
    </row>
    <row r="35">
      <c r="A35" s="38">
        <f>IF('Technical Requirements'!A20="","",'Technical Requirements'!A20)</f>
        <v/>
      </c>
      <c r="B35" s="38">
        <f>IF('Technical Requirements'!B20="","",'Technical Requirements'!B20)</f>
        <v/>
      </c>
      <c r="C35" s="38">
        <f>IF('Technical Requirements'!C20="","",'Technical Requirements'!C20)</f>
        <v/>
      </c>
      <c r="D35" s="38">
        <f>IF('Technical Requirements'!D20="","",'Technical Requirements'!D20)</f>
        <v/>
      </c>
      <c r="E35" s="38">
        <f>IF('Technical Requirements'!E20="","",'Technical Requirements'!E20)</f>
        <v/>
      </c>
      <c r="F35" s="39">
        <f>IF('Technical Requirements'!F20="","",'Technical Requirements'!F20)</f>
        <v/>
      </c>
      <c r="G35" s="38">
        <f>IF('Technical Requirements'!G20="","",'Technical Requirements'!G20)</f>
        <v/>
      </c>
    </row>
    <row r="36">
      <c r="A36" s="40">
        <f>IF('Technical Requirements'!A21="","",'Technical Requirements'!A21)</f>
        <v/>
      </c>
      <c r="B36" s="40">
        <f>IF('Technical Requirements'!B21="","",'Technical Requirements'!B21)</f>
        <v/>
      </c>
      <c r="C36" s="40">
        <f>IF('Technical Requirements'!C21="","",'Technical Requirements'!C21)</f>
        <v/>
      </c>
      <c r="D36" s="40">
        <f>IF('Technical Requirements'!D21="","",'Technical Requirements'!D21)</f>
        <v/>
      </c>
      <c r="E36" s="40">
        <f>IF('Technical Requirements'!E21="","",'Technical Requirements'!E21)</f>
        <v/>
      </c>
      <c r="F36" s="39">
        <f>IF('Technical Requirements'!F21="","",'Technical Requirements'!F21)</f>
        <v/>
      </c>
      <c r="G36" s="40">
        <f>IF('Technical Requirements'!G21="","",'Technical Requirements'!G21)</f>
        <v/>
      </c>
    </row>
    <row r="37">
      <c r="A37" s="38">
        <f>IF('Security &amp; Compliance'!A2="","",'Security &amp; Compliance'!A2)</f>
        <v/>
      </c>
      <c r="B37" s="38">
        <f>IF('Security &amp; Compliance'!B2="","",'Security &amp; Compliance'!B2)</f>
        <v/>
      </c>
      <c r="C37" s="38">
        <f>IF('Security &amp; Compliance'!C2="","",'Security &amp; Compliance'!C2)</f>
        <v/>
      </c>
      <c r="D37" s="38">
        <f>IF('Security &amp; Compliance'!D2="","",'Security &amp; Compliance'!D2)</f>
        <v/>
      </c>
      <c r="E37" s="38">
        <f>IF('Security &amp; Compliance'!E2="","",'Security &amp; Compliance'!E2)</f>
        <v/>
      </c>
      <c r="F37" s="39">
        <f>IF('Security &amp; Compliance'!F2="","",'Security &amp; Compliance'!F2)</f>
        <v/>
      </c>
      <c r="G37" s="38">
        <f>IF('Security &amp; Compliance'!G2="","",'Security &amp; Compliance'!G2)</f>
        <v/>
      </c>
    </row>
    <row r="38">
      <c r="A38" s="40">
        <f>IF('Security &amp; Compliance'!A3="","",'Security &amp; Compliance'!A3)</f>
        <v/>
      </c>
      <c r="B38" s="40">
        <f>IF('Security &amp; Compliance'!B3="","",'Security &amp; Compliance'!B3)</f>
        <v/>
      </c>
      <c r="C38" s="40">
        <f>IF('Security &amp; Compliance'!C3="","",'Security &amp; Compliance'!C3)</f>
        <v/>
      </c>
      <c r="D38" s="40">
        <f>IF('Security &amp; Compliance'!D3="","",'Security &amp; Compliance'!D3)</f>
        <v/>
      </c>
      <c r="E38" s="40">
        <f>IF('Security &amp; Compliance'!E3="","",'Security &amp; Compliance'!E3)</f>
        <v/>
      </c>
      <c r="F38" s="39">
        <f>IF('Security &amp; Compliance'!F3="","",'Security &amp; Compliance'!F3)</f>
        <v/>
      </c>
      <c r="G38" s="40">
        <f>IF('Security &amp; Compliance'!G3="","",'Security &amp; Compliance'!G3)</f>
        <v/>
      </c>
    </row>
    <row r="39">
      <c r="A39" s="38">
        <f>IF('Security &amp; Compliance'!A4="","",'Security &amp; Compliance'!A4)</f>
        <v/>
      </c>
      <c r="B39" s="38">
        <f>IF('Security &amp; Compliance'!B4="","",'Security &amp; Compliance'!B4)</f>
        <v/>
      </c>
      <c r="C39" s="38">
        <f>IF('Security &amp; Compliance'!C4="","",'Security &amp; Compliance'!C4)</f>
        <v/>
      </c>
      <c r="D39" s="38">
        <f>IF('Security &amp; Compliance'!D4="","",'Security &amp; Compliance'!D4)</f>
        <v/>
      </c>
      <c r="E39" s="38">
        <f>IF('Security &amp; Compliance'!E4="","",'Security &amp; Compliance'!E4)</f>
        <v/>
      </c>
      <c r="F39" s="39">
        <f>IF('Security &amp; Compliance'!F4="","",'Security &amp; Compliance'!F4)</f>
        <v/>
      </c>
      <c r="G39" s="38">
        <f>IF('Security &amp; Compliance'!G4="","",'Security &amp; Compliance'!G4)</f>
        <v/>
      </c>
    </row>
    <row r="40">
      <c r="A40" s="40">
        <f>IF('Security &amp; Compliance'!A5="","",'Security &amp; Compliance'!A5)</f>
        <v/>
      </c>
      <c r="B40" s="40">
        <f>IF('Security &amp; Compliance'!B5="","",'Security &amp; Compliance'!B5)</f>
        <v/>
      </c>
      <c r="C40" s="40">
        <f>IF('Security &amp; Compliance'!C5="","",'Security &amp; Compliance'!C5)</f>
        <v/>
      </c>
      <c r="D40" s="40">
        <f>IF('Security &amp; Compliance'!D5="","",'Security &amp; Compliance'!D5)</f>
        <v/>
      </c>
      <c r="E40" s="40">
        <f>IF('Security &amp; Compliance'!E5="","",'Security &amp; Compliance'!E5)</f>
        <v/>
      </c>
      <c r="F40" s="39">
        <f>IF('Security &amp; Compliance'!F5="","",'Security &amp; Compliance'!F5)</f>
        <v/>
      </c>
      <c r="G40" s="40">
        <f>IF('Security &amp; Compliance'!G5="","",'Security &amp; Compliance'!G5)</f>
        <v/>
      </c>
    </row>
    <row r="41">
      <c r="A41" s="38">
        <f>IF('Security &amp; Compliance'!A6="","",'Security &amp; Compliance'!A6)</f>
        <v/>
      </c>
      <c r="B41" s="38">
        <f>IF('Security &amp; Compliance'!B6="","",'Security &amp; Compliance'!B6)</f>
        <v/>
      </c>
      <c r="C41" s="38">
        <f>IF('Security &amp; Compliance'!C6="","",'Security &amp; Compliance'!C6)</f>
        <v/>
      </c>
      <c r="D41" s="38">
        <f>IF('Security &amp; Compliance'!D6="","",'Security &amp; Compliance'!D6)</f>
        <v/>
      </c>
      <c r="E41" s="38">
        <f>IF('Security &amp; Compliance'!E6="","",'Security &amp; Compliance'!E6)</f>
        <v/>
      </c>
      <c r="F41" s="39">
        <f>IF('Security &amp; Compliance'!F6="","",'Security &amp; Compliance'!F6)</f>
        <v/>
      </c>
      <c r="G41" s="38">
        <f>IF('Security &amp; Compliance'!G6="","",'Security &amp; Compliance'!G6)</f>
        <v/>
      </c>
    </row>
    <row r="42">
      <c r="A42" s="40">
        <f>IF('Security &amp; Compliance'!A7="","",'Security &amp; Compliance'!A7)</f>
        <v/>
      </c>
      <c r="B42" s="40">
        <f>IF('Security &amp; Compliance'!B7="","",'Security &amp; Compliance'!B7)</f>
        <v/>
      </c>
      <c r="C42" s="40">
        <f>IF('Security &amp; Compliance'!C7="","",'Security &amp; Compliance'!C7)</f>
        <v/>
      </c>
      <c r="D42" s="40">
        <f>IF('Security &amp; Compliance'!D7="","",'Security &amp; Compliance'!D7)</f>
        <v/>
      </c>
      <c r="E42" s="40">
        <f>IF('Security &amp; Compliance'!E7="","",'Security &amp; Compliance'!E7)</f>
        <v/>
      </c>
      <c r="F42" s="39">
        <f>IF('Security &amp; Compliance'!F7="","",'Security &amp; Compliance'!F7)</f>
        <v/>
      </c>
      <c r="G42" s="40">
        <f>IF('Security &amp; Compliance'!G7="","",'Security &amp; Compliance'!G7)</f>
        <v/>
      </c>
    </row>
    <row r="43">
      <c r="A43" s="38">
        <f>IF('Security &amp; Compliance'!A8="","",'Security &amp; Compliance'!A8)</f>
        <v/>
      </c>
      <c r="B43" s="38">
        <f>IF('Security &amp; Compliance'!B8="","",'Security &amp; Compliance'!B8)</f>
        <v/>
      </c>
      <c r="C43" s="38">
        <f>IF('Security &amp; Compliance'!C8="","",'Security &amp; Compliance'!C8)</f>
        <v/>
      </c>
      <c r="D43" s="38">
        <f>IF('Security &amp; Compliance'!D8="","",'Security &amp; Compliance'!D8)</f>
        <v/>
      </c>
      <c r="E43" s="38">
        <f>IF('Security &amp; Compliance'!E8="","",'Security &amp; Compliance'!E8)</f>
        <v/>
      </c>
      <c r="F43" s="39">
        <f>IF('Security &amp; Compliance'!F8="","",'Security &amp; Compliance'!F8)</f>
        <v/>
      </c>
      <c r="G43" s="38">
        <f>IF('Security &amp; Compliance'!G8="","",'Security &amp; Compliance'!G8)</f>
        <v/>
      </c>
    </row>
    <row r="44">
      <c r="A44" s="40">
        <f>IF('Security &amp; Compliance'!A9="","",'Security &amp; Compliance'!A9)</f>
        <v/>
      </c>
      <c r="B44" s="40">
        <f>IF('Security &amp; Compliance'!B9="","",'Security &amp; Compliance'!B9)</f>
        <v/>
      </c>
      <c r="C44" s="40">
        <f>IF('Security &amp; Compliance'!C9="","",'Security &amp; Compliance'!C9)</f>
        <v/>
      </c>
      <c r="D44" s="40">
        <f>IF('Security &amp; Compliance'!D9="","",'Security &amp; Compliance'!D9)</f>
        <v/>
      </c>
      <c r="E44" s="40">
        <f>IF('Security &amp; Compliance'!E9="","",'Security &amp; Compliance'!E9)</f>
        <v/>
      </c>
      <c r="F44" s="39">
        <f>IF('Security &amp; Compliance'!F9="","",'Security &amp; Compliance'!F9)</f>
        <v/>
      </c>
      <c r="G44" s="40">
        <f>IF('Security &amp; Compliance'!G9="","",'Security &amp; Compliance'!G9)</f>
        <v/>
      </c>
    </row>
    <row r="45">
      <c r="A45" s="38">
        <f>IF('Security &amp; Compliance'!A10="","",'Security &amp; Compliance'!A10)</f>
        <v/>
      </c>
      <c r="B45" s="38">
        <f>IF('Security &amp; Compliance'!B10="","",'Security &amp; Compliance'!B10)</f>
        <v/>
      </c>
      <c r="C45" s="38">
        <f>IF('Security &amp; Compliance'!C10="","",'Security &amp; Compliance'!C10)</f>
        <v/>
      </c>
      <c r="D45" s="38">
        <f>IF('Security &amp; Compliance'!D10="","",'Security &amp; Compliance'!D10)</f>
        <v/>
      </c>
      <c r="E45" s="38">
        <f>IF('Security &amp; Compliance'!E10="","",'Security &amp; Compliance'!E10)</f>
        <v/>
      </c>
      <c r="F45" s="39">
        <f>IF('Security &amp; Compliance'!F10="","",'Security &amp; Compliance'!F10)</f>
        <v/>
      </c>
      <c r="G45" s="38">
        <f>IF('Security &amp; Compliance'!G10="","",'Security &amp; Compliance'!G10)</f>
        <v/>
      </c>
    </row>
    <row r="46">
      <c r="A46" s="40">
        <f>IF('Security &amp; Compliance'!A11="","",'Security &amp; Compliance'!A11)</f>
        <v/>
      </c>
      <c r="B46" s="40">
        <f>IF('Security &amp; Compliance'!B11="","",'Security &amp; Compliance'!B11)</f>
        <v/>
      </c>
      <c r="C46" s="40">
        <f>IF('Security &amp; Compliance'!C11="","",'Security &amp; Compliance'!C11)</f>
        <v/>
      </c>
      <c r="D46" s="40">
        <f>IF('Security &amp; Compliance'!D11="","",'Security &amp; Compliance'!D11)</f>
        <v/>
      </c>
      <c r="E46" s="40">
        <f>IF('Security &amp; Compliance'!E11="","",'Security &amp; Compliance'!E11)</f>
        <v/>
      </c>
      <c r="F46" s="39">
        <f>IF('Security &amp; Compliance'!F11="","",'Security &amp; Compliance'!F11)</f>
        <v/>
      </c>
      <c r="G46" s="40">
        <f>IF('Security &amp; Compliance'!G11="","",'Security &amp; Compliance'!G11)</f>
        <v/>
      </c>
    </row>
    <row r="47">
      <c r="A47" s="38">
        <f>IF('Operations &amp; Support'!A2="","",'Operations &amp; Support'!A2)</f>
        <v/>
      </c>
      <c r="B47" s="38">
        <f>IF('Operations &amp; Support'!B2="","",'Operations &amp; Support'!B2)</f>
        <v/>
      </c>
      <c r="C47" s="38">
        <f>IF('Operations &amp; Support'!C2="","",'Operations &amp; Support'!C2)</f>
        <v/>
      </c>
      <c r="D47" s="38">
        <f>IF('Operations &amp; Support'!D2="","",'Operations &amp; Support'!D2)</f>
        <v/>
      </c>
      <c r="E47" s="38">
        <f>IF('Operations &amp; Support'!E2="","",'Operations &amp; Support'!E2)</f>
        <v/>
      </c>
      <c r="F47" s="39">
        <f>IF('Operations &amp; Support'!F2="","",'Operations &amp; Support'!F2)</f>
        <v/>
      </c>
      <c r="G47" s="38">
        <f>IF('Operations &amp; Support'!G2="","",'Operations &amp; Support'!G2)</f>
        <v/>
      </c>
    </row>
    <row r="48">
      <c r="A48" s="40">
        <f>IF('Operations &amp; Support'!A3="","",'Operations &amp; Support'!A3)</f>
        <v/>
      </c>
      <c r="B48" s="40">
        <f>IF('Operations &amp; Support'!B3="","",'Operations &amp; Support'!B3)</f>
        <v/>
      </c>
      <c r="C48" s="40">
        <f>IF('Operations &amp; Support'!C3="","",'Operations &amp; Support'!C3)</f>
        <v/>
      </c>
      <c r="D48" s="40">
        <f>IF('Operations &amp; Support'!D3="","",'Operations &amp; Support'!D3)</f>
        <v/>
      </c>
      <c r="E48" s="40">
        <f>IF('Operations &amp; Support'!E3="","",'Operations &amp; Support'!E3)</f>
        <v/>
      </c>
      <c r="F48" s="39">
        <f>IF('Operations &amp; Support'!F3="","",'Operations &amp; Support'!F3)</f>
        <v/>
      </c>
      <c r="G48" s="40">
        <f>IF('Operations &amp; Support'!G3="","",'Operations &amp; Support'!G3)</f>
        <v/>
      </c>
    </row>
    <row r="49">
      <c r="A49" s="38">
        <f>IF('Operations &amp; Support'!A4="","",'Operations &amp; Support'!A4)</f>
        <v/>
      </c>
      <c r="B49" s="38">
        <f>IF('Operations &amp; Support'!B4="","",'Operations &amp; Support'!B4)</f>
        <v/>
      </c>
      <c r="C49" s="38">
        <f>IF('Operations &amp; Support'!C4="","",'Operations &amp; Support'!C4)</f>
        <v/>
      </c>
      <c r="D49" s="38">
        <f>IF('Operations &amp; Support'!D4="","",'Operations &amp; Support'!D4)</f>
        <v/>
      </c>
      <c r="E49" s="38">
        <f>IF('Operations &amp; Support'!E4="","",'Operations &amp; Support'!E4)</f>
        <v/>
      </c>
      <c r="F49" s="39">
        <f>IF('Operations &amp; Support'!F4="","",'Operations &amp; Support'!F4)</f>
        <v/>
      </c>
      <c r="G49" s="38">
        <f>IF('Operations &amp; Support'!G4="","",'Operations &amp; Support'!G4)</f>
        <v/>
      </c>
    </row>
    <row r="50">
      <c r="A50" s="40">
        <f>IF('Operations &amp; Support'!A5="","",'Operations &amp; Support'!A5)</f>
        <v/>
      </c>
      <c r="B50" s="40">
        <f>IF('Operations &amp; Support'!B5="","",'Operations &amp; Support'!B5)</f>
        <v/>
      </c>
      <c r="C50" s="40">
        <f>IF('Operations &amp; Support'!C5="","",'Operations &amp; Support'!C5)</f>
        <v/>
      </c>
      <c r="D50" s="40">
        <f>IF('Operations &amp; Support'!D5="","",'Operations &amp; Support'!D5)</f>
        <v/>
      </c>
      <c r="E50" s="40">
        <f>IF('Operations &amp; Support'!E5="","",'Operations &amp; Support'!E5)</f>
        <v/>
      </c>
      <c r="F50" s="39">
        <f>IF('Operations &amp; Support'!F5="","",'Operations &amp; Support'!F5)</f>
        <v/>
      </c>
      <c r="G50" s="40">
        <f>IF('Operations &amp; Support'!G5="","",'Operations &amp; Support'!G5)</f>
        <v/>
      </c>
    </row>
    <row r="51">
      <c r="A51" s="38">
        <f>IF('Operations &amp; Support'!A6="","",'Operations &amp; Support'!A6)</f>
        <v/>
      </c>
      <c r="B51" s="38">
        <f>IF('Operations &amp; Support'!B6="","",'Operations &amp; Support'!B6)</f>
        <v/>
      </c>
      <c r="C51" s="38">
        <f>IF('Operations &amp; Support'!C6="","",'Operations &amp; Support'!C6)</f>
        <v/>
      </c>
      <c r="D51" s="38">
        <f>IF('Operations &amp; Support'!D6="","",'Operations &amp; Support'!D6)</f>
        <v/>
      </c>
      <c r="E51" s="38">
        <f>IF('Operations &amp; Support'!E6="","",'Operations &amp; Support'!E6)</f>
        <v/>
      </c>
      <c r="F51" s="39">
        <f>IF('Operations &amp; Support'!F6="","",'Operations &amp; Support'!F6)</f>
        <v/>
      </c>
      <c r="G51" s="38">
        <f>IF('Operations &amp; Support'!G6="","",'Operations &amp; Support'!G6)</f>
        <v/>
      </c>
    </row>
    <row r="52">
      <c r="A52" s="40">
        <f>IF('Operations &amp; Support'!A7="","",'Operations &amp; Support'!A7)</f>
        <v/>
      </c>
      <c r="B52" s="40">
        <f>IF('Operations &amp; Support'!B7="","",'Operations &amp; Support'!B7)</f>
        <v/>
      </c>
      <c r="C52" s="40">
        <f>IF('Operations &amp; Support'!C7="","",'Operations &amp; Support'!C7)</f>
        <v/>
      </c>
      <c r="D52" s="40">
        <f>IF('Operations &amp; Support'!D7="","",'Operations &amp; Support'!D7)</f>
        <v/>
      </c>
      <c r="E52" s="40">
        <f>IF('Operations &amp; Support'!E7="","",'Operations &amp; Support'!E7)</f>
        <v/>
      </c>
      <c r="F52" s="39">
        <f>IF('Operations &amp; Support'!F7="","",'Operations &amp; Support'!F7)</f>
        <v/>
      </c>
      <c r="G52" s="40">
        <f>IF('Operations &amp; Support'!G7="","",'Operations &amp; Support'!G7)</f>
        <v/>
      </c>
    </row>
    <row r="53">
      <c r="A53" s="38">
        <f>IF('Operations &amp; Support'!A8="","",'Operations &amp; Support'!A8)</f>
        <v/>
      </c>
      <c r="B53" s="38">
        <f>IF('Operations &amp; Support'!B8="","",'Operations &amp; Support'!B8)</f>
        <v/>
      </c>
      <c r="C53" s="38">
        <f>IF('Operations &amp; Support'!C8="","",'Operations &amp; Support'!C8)</f>
        <v/>
      </c>
      <c r="D53" s="38">
        <f>IF('Operations &amp; Support'!D8="","",'Operations &amp; Support'!D8)</f>
        <v/>
      </c>
      <c r="E53" s="38">
        <f>IF('Operations &amp; Support'!E8="","",'Operations &amp; Support'!E8)</f>
        <v/>
      </c>
      <c r="F53" s="39">
        <f>IF('Operations &amp; Support'!F8="","",'Operations &amp; Support'!F8)</f>
        <v/>
      </c>
      <c r="G53" s="38">
        <f>IF('Operations &amp; Support'!G8="","",'Operations &amp; Support'!G8)</f>
        <v/>
      </c>
    </row>
    <row r="54">
      <c r="A54" s="40">
        <f>IF('Operations &amp; Support'!A9="","",'Operations &amp; Support'!A9)</f>
        <v/>
      </c>
      <c r="B54" s="40">
        <f>IF('Operations &amp; Support'!B9="","",'Operations &amp; Support'!B9)</f>
        <v/>
      </c>
      <c r="C54" s="40">
        <f>IF('Operations &amp; Support'!C9="","",'Operations &amp; Support'!C9)</f>
        <v/>
      </c>
      <c r="D54" s="40">
        <f>IF('Operations &amp; Support'!D9="","",'Operations &amp; Support'!D9)</f>
        <v/>
      </c>
      <c r="E54" s="40">
        <f>IF('Operations &amp; Support'!E9="","",'Operations &amp; Support'!E9)</f>
        <v/>
      </c>
      <c r="F54" s="39">
        <f>IF('Operations &amp; Support'!F9="","",'Operations &amp; Support'!F9)</f>
        <v/>
      </c>
      <c r="G54" s="40">
        <f>IF('Operations &amp; Support'!G9="","",'Operations &amp; Support'!G9)</f>
        <v/>
      </c>
    </row>
    <row r="55">
      <c r="A55" s="38">
        <f>IF('Operations &amp; Support'!A10="","",'Operations &amp; Support'!A10)</f>
        <v/>
      </c>
      <c r="B55" s="38">
        <f>IF('Operations &amp; Support'!B10="","",'Operations &amp; Support'!B10)</f>
        <v/>
      </c>
      <c r="C55" s="38">
        <f>IF('Operations &amp; Support'!C10="","",'Operations &amp; Support'!C10)</f>
        <v/>
      </c>
      <c r="D55" s="38">
        <f>IF('Operations &amp; Support'!D10="","",'Operations &amp; Support'!D10)</f>
        <v/>
      </c>
      <c r="E55" s="38">
        <f>IF('Operations &amp; Support'!E10="","",'Operations &amp; Support'!E10)</f>
        <v/>
      </c>
      <c r="F55" s="39">
        <f>IF('Operations &amp; Support'!F10="","",'Operations &amp; Support'!F10)</f>
        <v/>
      </c>
      <c r="G55" s="38">
        <f>IF('Operations &amp; Support'!G10="","",'Operations &amp; Support'!G10)</f>
        <v/>
      </c>
    </row>
    <row r="56">
      <c r="A56" s="40">
        <f>IF('Implementation Planning'!A2="","",'Implementation Planning'!A2)</f>
        <v/>
      </c>
      <c r="B56" s="40">
        <f>IF('Implementation Planning'!B2="","",'Implementation Planning'!B2)</f>
        <v/>
      </c>
      <c r="C56" s="40">
        <f>IF('Implementation Planning'!C2="","",'Implementation Planning'!C2)</f>
        <v/>
      </c>
      <c r="D56" s="40">
        <f>IF('Implementation Planning'!D2="","",'Implementation Planning'!D2)</f>
        <v/>
      </c>
      <c r="E56" s="40">
        <f>IF('Implementation Planning'!E2="","",'Implementation Planning'!E2)</f>
        <v/>
      </c>
      <c r="F56" s="39">
        <f>IF('Implementation Planning'!F2="","",'Implementation Planning'!F2)</f>
        <v/>
      </c>
      <c r="G56" s="40">
        <f>IF('Implementation Planning'!G2="","",'Implementation Planning'!G2)</f>
        <v/>
      </c>
    </row>
    <row r="57">
      <c r="A57" s="38">
        <f>IF('Implementation Planning'!A3="","",'Implementation Planning'!A3)</f>
        <v/>
      </c>
      <c r="B57" s="38">
        <f>IF('Implementation Planning'!B3="","",'Implementation Planning'!B3)</f>
        <v/>
      </c>
      <c r="C57" s="38">
        <f>IF('Implementation Planning'!C3="","",'Implementation Planning'!C3)</f>
        <v/>
      </c>
      <c r="D57" s="38">
        <f>IF('Implementation Planning'!D3="","",'Implementation Planning'!D3)</f>
        <v/>
      </c>
      <c r="E57" s="38">
        <f>IF('Implementation Planning'!E3="","",'Implementation Planning'!E3)</f>
        <v/>
      </c>
      <c r="F57" s="39">
        <f>IF('Implementation Planning'!F3="","",'Implementation Planning'!F3)</f>
        <v/>
      </c>
      <c r="G57" s="38">
        <f>IF('Implementation Planning'!G3="","",'Implementation Planning'!G3)</f>
        <v/>
      </c>
    </row>
    <row r="58">
      <c r="A58" s="40">
        <f>IF('Implementation Planning'!A4="","",'Implementation Planning'!A4)</f>
        <v/>
      </c>
      <c r="B58" s="40">
        <f>IF('Implementation Planning'!B4="","",'Implementation Planning'!B4)</f>
        <v/>
      </c>
      <c r="C58" s="40">
        <f>IF('Implementation Planning'!C4="","",'Implementation Planning'!C4)</f>
        <v/>
      </c>
      <c r="D58" s="40">
        <f>IF('Implementation Planning'!D4="","",'Implementation Planning'!D4)</f>
        <v/>
      </c>
      <c r="E58" s="40">
        <f>IF('Implementation Planning'!E4="","",'Implementation Planning'!E4)</f>
        <v/>
      </c>
      <c r="F58" s="39">
        <f>IF('Implementation Planning'!F4="","",'Implementation Planning'!F4)</f>
        <v/>
      </c>
      <c r="G58" s="40">
        <f>IF('Implementation Planning'!G4="","",'Implementation Planning'!G4)</f>
        <v/>
      </c>
    </row>
    <row r="59">
      <c r="A59" s="38">
        <f>IF('Implementation Planning'!A5="","",'Implementation Planning'!A5)</f>
        <v/>
      </c>
      <c r="B59" s="38">
        <f>IF('Implementation Planning'!B5="","",'Implementation Planning'!B5)</f>
        <v/>
      </c>
      <c r="C59" s="38">
        <f>IF('Implementation Planning'!C5="","",'Implementation Planning'!C5)</f>
        <v/>
      </c>
      <c r="D59" s="38">
        <f>IF('Implementation Planning'!D5="","",'Implementation Planning'!D5)</f>
        <v/>
      </c>
      <c r="E59" s="38">
        <f>IF('Implementation Planning'!E5="","",'Implementation Planning'!E5)</f>
        <v/>
      </c>
      <c r="F59" s="39">
        <f>IF('Implementation Planning'!F5="","",'Implementation Planning'!F5)</f>
        <v/>
      </c>
      <c r="G59" s="38">
        <f>IF('Implementation Planning'!G5="","",'Implementation Planning'!G5)</f>
        <v/>
      </c>
    </row>
    <row r="60">
      <c r="A60" s="40">
        <f>IF('Implementation Planning'!A6="","",'Implementation Planning'!A6)</f>
        <v/>
      </c>
      <c r="B60" s="40">
        <f>IF('Implementation Planning'!B6="","",'Implementation Planning'!B6)</f>
        <v/>
      </c>
      <c r="C60" s="40">
        <f>IF('Implementation Planning'!C6="","",'Implementation Planning'!C6)</f>
        <v/>
      </c>
      <c r="D60" s="40">
        <f>IF('Implementation Planning'!D6="","",'Implementation Planning'!D6)</f>
        <v/>
      </c>
      <c r="E60" s="40">
        <f>IF('Implementation Planning'!E6="","",'Implementation Planning'!E6)</f>
        <v/>
      </c>
      <c r="F60" s="39">
        <f>IF('Implementation Planning'!F6="","",'Implementation Planning'!F6)</f>
        <v/>
      </c>
      <c r="G60" s="40">
        <f>IF('Implementation Planning'!G6="","",'Implementation Planning'!G6)</f>
        <v/>
      </c>
    </row>
    <row r="61">
      <c r="A61" s="38">
        <f>IF('Implementation Planning'!A7="","",'Implementation Planning'!A7)</f>
        <v/>
      </c>
      <c r="B61" s="38">
        <f>IF('Implementation Planning'!B7="","",'Implementation Planning'!B7)</f>
        <v/>
      </c>
      <c r="C61" s="38">
        <f>IF('Implementation Planning'!C7="","",'Implementation Planning'!C7)</f>
        <v/>
      </c>
      <c r="D61" s="38">
        <f>IF('Implementation Planning'!D7="","",'Implementation Planning'!D7)</f>
        <v/>
      </c>
      <c r="E61" s="38">
        <f>IF('Implementation Planning'!E7="","",'Implementation Planning'!E7)</f>
        <v/>
      </c>
      <c r="F61" s="39">
        <f>IF('Implementation Planning'!F7="","",'Implementation Planning'!F7)</f>
        <v/>
      </c>
      <c r="G61" s="38">
        <f>IF('Implementation Planning'!G7="","",'Implementation Planning'!G7)</f>
        <v/>
      </c>
    </row>
    <row r="62">
      <c r="A62" s="40">
        <f>IF('Implementation Planning'!A8="","",'Implementation Planning'!A8)</f>
        <v/>
      </c>
      <c r="B62" s="40">
        <f>IF('Implementation Planning'!B8="","",'Implementation Planning'!B8)</f>
        <v/>
      </c>
      <c r="C62" s="40">
        <f>IF('Implementation Planning'!C8="","",'Implementation Planning'!C8)</f>
        <v/>
      </c>
      <c r="D62" s="40">
        <f>IF('Implementation Planning'!D8="","",'Implementation Planning'!D8)</f>
        <v/>
      </c>
      <c r="E62" s="40">
        <f>IF('Implementation Planning'!E8="","",'Implementation Planning'!E8)</f>
        <v/>
      </c>
      <c r="F62" s="39">
        <f>IF('Implementation Planning'!F8="","",'Implementation Planning'!F8)</f>
        <v/>
      </c>
      <c r="G62" s="40">
        <f>IF('Implementation Planning'!G8="","",'Implementation Planning'!G8)</f>
        <v/>
      </c>
    </row>
    <row r="63">
      <c r="A63" s="38">
        <f>IF('Implementation Planning'!A9="","",'Implementation Planning'!A9)</f>
        <v/>
      </c>
      <c r="B63" s="38">
        <f>IF('Implementation Planning'!B9="","",'Implementation Planning'!B9)</f>
        <v/>
      </c>
      <c r="C63" s="38">
        <f>IF('Implementation Planning'!C9="","",'Implementation Planning'!C9)</f>
        <v/>
      </c>
      <c r="D63" s="38">
        <f>IF('Implementation Planning'!D9="","",'Implementation Planning'!D9)</f>
        <v/>
      </c>
      <c r="E63" s="38">
        <f>IF('Implementation Planning'!E9="","",'Implementation Planning'!E9)</f>
        <v/>
      </c>
      <c r="F63" s="39">
        <f>IF('Implementation Planning'!F9="","",'Implementation Planning'!F9)</f>
        <v/>
      </c>
      <c r="G63" s="38">
        <f>IF('Implementation Planning'!G9="","",'Implementation Planning'!G9)</f>
        <v/>
      </c>
    </row>
    <row r="64">
      <c r="A64" s="40">
        <f>IF('Implementation Planning'!A10="","",'Implementation Planning'!A10)</f>
        <v/>
      </c>
      <c r="B64" s="40">
        <f>IF('Implementation Planning'!B10="","",'Implementation Planning'!B10)</f>
        <v/>
      </c>
      <c r="C64" s="40">
        <f>IF('Implementation Planning'!C10="","",'Implementation Planning'!C10)</f>
        <v/>
      </c>
      <c r="D64" s="40">
        <f>IF('Implementation Planning'!D10="","",'Implementation Planning'!D10)</f>
        <v/>
      </c>
      <c r="E64" s="40">
        <f>IF('Implementation Planning'!E10="","",'Implementation Planning'!E10)</f>
        <v/>
      </c>
      <c r="F64" s="39">
        <f>IF('Implementation Planning'!F10="","",'Implementation Planning'!F10)</f>
        <v/>
      </c>
      <c r="G64" s="40">
        <f>IF('Implementation Planning'!G10="","",'Implementation Planning'!G10)</f>
        <v/>
      </c>
    </row>
    <row r="65">
      <c r="A65" s="38">
        <f>IF('Implementation Planning'!A11="","",'Implementation Planning'!A11)</f>
        <v/>
      </c>
      <c r="B65" s="38">
        <f>IF('Implementation Planning'!B11="","",'Implementation Planning'!B11)</f>
        <v/>
      </c>
      <c r="C65" s="38">
        <f>IF('Implementation Planning'!C11="","",'Implementation Planning'!C11)</f>
        <v/>
      </c>
      <c r="D65" s="38">
        <f>IF('Implementation Planning'!D11="","",'Implementation Planning'!D11)</f>
        <v/>
      </c>
      <c r="E65" s="38">
        <f>IF('Implementation Planning'!E11="","",'Implementation Planning'!E11)</f>
        <v/>
      </c>
      <c r="F65" s="39">
        <f>IF('Implementation Planning'!F11="","",'Implementation Planning'!F11)</f>
        <v/>
      </c>
      <c r="G65" s="38">
        <f>IF('Implementation Planning'!G11="","",'Implementation Planning'!G11)</f>
        <v/>
      </c>
    </row>
    <row r="66">
      <c r="A66" s="40">
        <f>IF('Risk &amp; Constraints'!A2="","",'Risk &amp; Constraints'!A2)</f>
        <v/>
      </c>
      <c r="B66" s="40">
        <f>IF('Risk &amp; Constraints'!B2="","",'Risk &amp; Constraints'!B2)</f>
        <v/>
      </c>
      <c r="C66" s="40">
        <f>IF('Risk &amp; Constraints'!C2="","",'Risk &amp; Constraints'!C2)</f>
        <v/>
      </c>
      <c r="D66" s="40">
        <f>IF('Risk &amp; Constraints'!D2="","",'Risk &amp; Constraints'!D2)</f>
        <v/>
      </c>
      <c r="E66" s="40">
        <f>IF('Risk &amp; Constraints'!E2="","",'Risk &amp; Constraints'!E2)</f>
        <v/>
      </c>
      <c r="F66" s="39">
        <f>IF('Risk &amp; Constraints'!F2="","",'Risk &amp; Constraints'!F2)</f>
        <v/>
      </c>
      <c r="G66" s="40">
        <f>IF('Risk &amp; Constraints'!G2="","",'Risk &amp; Constraints'!G2)</f>
        <v/>
      </c>
    </row>
    <row r="67">
      <c r="A67" s="38">
        <f>IF('Risk &amp; Constraints'!A3="","",'Risk &amp; Constraints'!A3)</f>
        <v/>
      </c>
      <c r="B67" s="38">
        <f>IF('Risk &amp; Constraints'!B3="","",'Risk &amp; Constraints'!B3)</f>
        <v/>
      </c>
      <c r="C67" s="38">
        <f>IF('Risk &amp; Constraints'!C3="","",'Risk &amp; Constraints'!C3)</f>
        <v/>
      </c>
      <c r="D67" s="38">
        <f>IF('Risk &amp; Constraints'!D3="","",'Risk &amp; Constraints'!D3)</f>
        <v/>
      </c>
      <c r="E67" s="38">
        <f>IF('Risk &amp; Constraints'!E3="","",'Risk &amp; Constraints'!E3)</f>
        <v/>
      </c>
      <c r="F67" s="39">
        <f>IF('Risk &amp; Constraints'!F3="","",'Risk &amp; Constraints'!F3)</f>
        <v/>
      </c>
      <c r="G67" s="38">
        <f>IF('Risk &amp; Constraints'!G3="","",'Risk &amp; Constraints'!G3)</f>
        <v/>
      </c>
    </row>
    <row r="68">
      <c r="A68" s="40">
        <f>IF('Risk &amp; Constraints'!A4="","",'Risk &amp; Constraints'!A4)</f>
        <v/>
      </c>
      <c r="B68" s="40">
        <f>IF('Risk &amp; Constraints'!B4="","",'Risk &amp; Constraints'!B4)</f>
        <v/>
      </c>
      <c r="C68" s="40">
        <f>IF('Risk &amp; Constraints'!C4="","",'Risk &amp; Constraints'!C4)</f>
        <v/>
      </c>
      <c r="D68" s="40">
        <f>IF('Risk &amp; Constraints'!D4="","",'Risk &amp; Constraints'!D4)</f>
        <v/>
      </c>
      <c r="E68" s="40">
        <f>IF('Risk &amp; Constraints'!E4="","",'Risk &amp; Constraints'!E4)</f>
        <v/>
      </c>
      <c r="F68" s="39">
        <f>IF('Risk &amp; Constraints'!F4="","",'Risk &amp; Constraints'!F4)</f>
        <v/>
      </c>
      <c r="G68" s="40">
        <f>IF('Risk &amp; Constraints'!G4="","",'Risk &amp; Constraints'!G4)</f>
        <v/>
      </c>
    </row>
    <row r="69">
      <c r="A69" s="38">
        <f>IF('Risk &amp; Constraints'!A5="","",'Risk &amp; Constraints'!A5)</f>
        <v/>
      </c>
      <c r="B69" s="38">
        <f>IF('Risk &amp; Constraints'!B5="","",'Risk &amp; Constraints'!B5)</f>
        <v/>
      </c>
      <c r="C69" s="38">
        <f>IF('Risk &amp; Constraints'!C5="","",'Risk &amp; Constraints'!C5)</f>
        <v/>
      </c>
      <c r="D69" s="38">
        <f>IF('Risk &amp; Constraints'!D5="","",'Risk &amp; Constraints'!D5)</f>
        <v/>
      </c>
      <c r="E69" s="38">
        <f>IF('Risk &amp; Constraints'!E5="","",'Risk &amp; Constraints'!E5)</f>
        <v/>
      </c>
      <c r="F69" s="39">
        <f>IF('Risk &amp; Constraints'!F5="","",'Risk &amp; Constraints'!F5)</f>
        <v/>
      </c>
      <c r="G69" s="38">
        <f>IF('Risk &amp; Constraints'!G5="","",'Risk &amp; Constraints'!G5)</f>
        <v/>
      </c>
    </row>
    <row r="70">
      <c r="A70" s="40">
        <f>IF('Risk &amp; Constraints'!A6="","",'Risk &amp; Constraints'!A6)</f>
        <v/>
      </c>
      <c r="B70" s="40">
        <f>IF('Risk &amp; Constraints'!B6="","",'Risk &amp; Constraints'!B6)</f>
        <v/>
      </c>
      <c r="C70" s="40">
        <f>IF('Risk &amp; Constraints'!C6="","",'Risk &amp; Constraints'!C6)</f>
        <v/>
      </c>
      <c r="D70" s="40">
        <f>IF('Risk &amp; Constraints'!D6="","",'Risk &amp; Constraints'!D6)</f>
        <v/>
      </c>
      <c r="E70" s="40">
        <f>IF('Risk &amp; Constraints'!E6="","",'Risk &amp; Constraints'!E6)</f>
        <v/>
      </c>
      <c r="F70" s="39">
        <f>IF('Risk &amp; Constraints'!F6="","",'Risk &amp; Constraints'!F6)</f>
        <v/>
      </c>
      <c r="G70" s="40">
        <f>IF('Risk &amp; Constraints'!G6="","",'Risk &amp; Constraints'!G6)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7" t="inlineStr">
        <is>
          <t>Question ID</t>
        </is>
      </c>
      <c r="B1" s="37" t="inlineStr">
        <is>
          <t>Category</t>
        </is>
      </c>
      <c r="C1" s="37" t="inlineStr">
        <is>
          <t>Sub-Category</t>
        </is>
      </c>
      <c r="D1" s="37" t="inlineStr">
        <is>
          <t>Question</t>
        </is>
      </c>
      <c r="E1" s="37" t="inlineStr">
        <is>
          <t>Guidance</t>
        </is>
      </c>
      <c r="F1" s="37" t="inlineStr">
        <is>
          <t>Customer Response</t>
        </is>
      </c>
      <c r="G1" s="37" t="inlineStr">
        <is>
          <t>Notes</t>
        </is>
      </c>
    </row>
    <row r="2">
      <c r="A2" s="40" t="inlineStr">
        <is>
          <t>BUS-001</t>
        </is>
      </c>
      <c r="B2" s="40" t="inlineStr">
        <is>
          <t>Business Requirements</t>
        </is>
      </c>
      <c r="C2" s="40" t="inlineStr">
        <is>
          <t>Business Drivers</t>
        </is>
      </c>
      <c r="D2" s="40" t="inlineStr">
        <is>
          <t>What are the primary business pain points with the current manual EO Framework documentation process?</t>
        </is>
      </c>
      <c r="E2" s="40" t="inlineStr">
        <is>
          <t>Describe top 3-5 inefficiencies — e.g., rework loops, LLM iteration cycles, time lost per engagement</t>
        </is>
      </c>
      <c r="F2" s="39" t="n"/>
      <c r="G2" s="40" t="inlineStr">
        <is>
          <t>Baseline for justifying automation investment and scoping the MVP</t>
        </is>
      </c>
    </row>
    <row r="3">
      <c r="A3" s="38" t="inlineStr">
        <is>
          <t>BUS-002</t>
        </is>
      </c>
      <c r="B3" s="38" t="inlineStr">
        <is>
          <t>Business Requirements</t>
        </is>
      </c>
      <c r="C3" s="38" t="inlineStr">
        <is>
          <t>Business Drivers</t>
        </is>
      </c>
      <c r="D3" s="38" t="inlineStr">
        <is>
          <t>How many presales engagements does Amatra run per month today, and what is the projected growth rate over the next 12 months?</t>
        </is>
      </c>
      <c r="E3" s="38" t="inlineStr">
        <is>
          <t>Provide current monthly volume and expected volume at 6-month and 12-month marks</t>
        </is>
      </c>
      <c r="F3" s="39" t="n"/>
      <c r="G3" s="38" t="inlineStr">
        <is>
          <t>Drives capacity planning for agent concurrency, DynamoDB quota design, and Bedrock token budgeting</t>
        </is>
      </c>
    </row>
    <row r="4">
      <c r="A4" s="40" t="inlineStr">
        <is>
          <t>BUS-003</t>
        </is>
      </c>
      <c r="B4" s="40" t="inlineStr">
        <is>
          <t>Business Requirements</t>
        </is>
      </c>
      <c r="C4" s="40" t="inlineStr">
        <is>
          <t>Success Criteria</t>
        </is>
      </c>
      <c r="D4" s="40" t="inlineStr">
        <is>
          <t>What measurable success criteria will determine whether this platform is considered a success at go-live?</t>
        </is>
      </c>
      <c r="E4" s="40" t="inlineStr">
        <is>
          <t>Examples: end-to-end generation in under 60 minutes, 90% reduction in senior-consultant hours, zero manual retries per artifact</t>
        </is>
      </c>
      <c r="F4" s="39" t="n"/>
      <c r="G4" s="40" t="inlineStr">
        <is>
          <t>Critical for acceptance testing and executive-sponsor sign-off</t>
        </is>
      </c>
    </row>
    <row r="5">
      <c r="A5" s="38" t="inlineStr">
        <is>
          <t>BUS-004</t>
        </is>
      </c>
      <c r="B5" s="38" t="inlineStr">
        <is>
          <t>Business Requirements</t>
        </is>
      </c>
      <c r="C5" s="38" t="inlineStr">
        <is>
          <t>Success Criteria</t>
        </is>
      </c>
      <c r="D5" s="38" t="inlineStr">
        <is>
          <t>What is the acceptable per-artifact validation failure rate in production?</t>
        </is>
      </c>
      <c r="E5" s="38" t="inlineStr">
        <is>
          <t>Current state has 3-4 LLM iteration retries; what is the target pass-on-first-attempt rate?</t>
        </is>
      </c>
      <c r="F5" s="39" t="n"/>
      <c r="G5" s="38" t="inlineStr">
        <is>
          <t>Informs quality-gate thresholds and the LLM retry cap (currently 3)</t>
        </is>
      </c>
    </row>
    <row r="6">
      <c r="A6" s="40" t="inlineStr">
        <is>
          <t>BUS-005</t>
        </is>
      </c>
      <c r="B6" s="40" t="inlineStr">
        <is>
          <t>Business Requirements</t>
        </is>
      </c>
      <c r="C6" s="40" t="inlineStr">
        <is>
          <t>Timeline</t>
        </is>
      </c>
      <c r="D6" s="40" t="inlineStr">
        <is>
          <t>Is the Q2 2026 / end-of-April PoC deadline fixed, and what are the consequences of a slip?</t>
        </is>
      </c>
      <c r="E6" s="40" t="inlineStr">
        <is>
          <t>Confirm executive-demonstration date; identify contractual or budget-cycle dependencies</t>
        </is>
      </c>
      <c r="F6" s="39" t="n"/>
      <c r="G6" s="40" t="inlineStr">
        <is>
          <t>Hard deadline shapes phase sequencing and MVP scope</t>
        </is>
      </c>
    </row>
    <row r="7">
      <c r="A7" s="38" t="inlineStr">
        <is>
          <t>BUS-006</t>
        </is>
      </c>
      <c r="B7" s="38" t="inlineStr">
        <is>
          <t>Business Requirements</t>
        </is>
      </c>
      <c r="C7" s="38" t="inlineStr">
        <is>
          <t>Timeline</t>
        </is>
      </c>
      <c r="D7" s="38" t="inlineStr">
        <is>
          <t>Are the three delivery phases (Weeks 1-4, 5-9, 10-12) fixed, or can they be re-baselined if scope is reduced?</t>
        </is>
      </c>
      <c r="E7" s="38" t="inlineStr">
        <is>
          <t>Identify which phase milestones have external dependencies (e.g., Cognito approval, AWS account provisioning)</t>
        </is>
      </c>
      <c r="F7" s="39" t="n"/>
      <c r="G7" s="38" t="inlineStr">
        <is>
          <t>Impacts resource loading and sprint planning</t>
        </is>
      </c>
    </row>
    <row r="8">
      <c r="A8" s="40" t="inlineStr">
        <is>
          <t>BUS-007</t>
        </is>
      </c>
      <c r="B8" s="40" t="inlineStr">
        <is>
          <t>Business Requirements</t>
        </is>
      </c>
      <c r="C8" s="40" t="inlineStr">
        <is>
          <t>Budget</t>
        </is>
      </c>
      <c r="D8" s="40" t="inlineStr">
        <is>
          <t>What is the approved budget envelope for the 12-week build engagement versus the first-year run cost?</t>
        </is>
      </c>
      <c r="E8" s="40" t="inlineStr">
        <is>
          <t>Confirm the $250k professional-services and $100k-$200k run-cost split; identify who controls each budget line</t>
        </is>
      </c>
      <c r="F8" s="39" t="n"/>
      <c r="G8" s="40" t="inlineStr">
        <is>
          <t>Procurement trigger and change-order thresholds</t>
        </is>
      </c>
    </row>
    <row r="9">
      <c r="A9" s="38" t="inlineStr">
        <is>
          <t>BUS-008</t>
        </is>
      </c>
      <c r="B9" s="38" t="inlineStr">
        <is>
          <t>Business Requirements</t>
        </is>
      </c>
      <c r="C9" s="38" t="inlineStr">
        <is>
          <t>Budget</t>
        </is>
      </c>
      <c r="D9" s="38" t="inlineStr">
        <is>
          <t>At what monthly AWS spend level does procurement need to be re-engaged?</t>
        </is>
      </c>
      <c r="E9" s="38" t="inlineStr">
        <is>
          <t>Identify the existing AWS spend envelope and the threshold that triggers a new procurement cycle</t>
        </is>
      </c>
      <c r="F9" s="39" t="n"/>
      <c r="G9" s="38" t="inlineStr">
        <is>
          <t>Determines whether platform spend can be absorbed into existing agreement or requires a new commitment</t>
        </is>
      </c>
    </row>
    <row r="10">
      <c r="A10" s="40" t="inlineStr">
        <is>
          <t>BUS-009</t>
        </is>
      </c>
      <c r="B10" s="40" t="inlineStr">
        <is>
          <t>Business Requirements</t>
        </is>
      </c>
      <c r="C10" s="40" t="inlineStr">
        <is>
          <t>Stakeholders</t>
        </is>
      </c>
      <c r="D10" s="40" t="inlineStr">
        <is>
          <t>Who has authority to approve production deployment of the Cognito-based user pool?</t>
        </is>
      </c>
      <c r="E10" s="40" t="inlineStr">
        <is>
          <t>Identify the CTO and any security/compliance reviewers who must sign off</t>
        </is>
      </c>
      <c r="F10" s="39" t="n"/>
      <c r="G10" s="40" t="inlineStr">
        <is>
          <t>Approval dependency that could block Phase 1 completion</t>
        </is>
      </c>
    </row>
    <row r="11">
      <c r="A11" s="38" t="inlineStr">
        <is>
          <t>BUS-010</t>
        </is>
      </c>
      <c r="B11" s="38" t="inlineStr">
        <is>
          <t>Business Requirements</t>
        </is>
      </c>
      <c r="C11" s="38" t="inlineStr">
        <is>
          <t>Stakeholders</t>
        </is>
      </c>
      <c r="D11" s="38" t="inlineStr">
        <is>
          <t>Who are the end users of the CLI and HTTP API — internal consultants only, or also external clients?</t>
        </is>
      </c>
      <c r="E11" s="38" t="inlineStr">
        <is>
          <t>Define the user population: Amatra consultants, PREDICTif engineers, or customer-facing personas</t>
        </is>
      </c>
      <c r="F11" s="39" t="n"/>
      <c r="G11" s="38" t="inlineStr">
        <is>
          <t>Drives Cognito pool design, per-user quota policy, and UX requirements</t>
        </is>
      </c>
    </row>
    <row r="12">
      <c r="A12" s="40" t="inlineStr">
        <is>
          <t>BUS-011</t>
        </is>
      </c>
      <c r="B12" s="40" t="inlineStr">
        <is>
          <t>Business Requirements</t>
        </is>
      </c>
      <c r="C12" s="40" t="inlineStr">
        <is>
          <t>ROI &amp; Value</t>
        </is>
      </c>
      <c r="D12" s="40" t="inlineStr">
        <is>
          <t>What is the current fully-loaded cost (consultant time + overhead) to produce one presales package manually?</t>
        </is>
      </c>
      <c r="E12" s="40" t="inlineStr">
        <is>
          <t>Use the 6-10 senior-consultant-hours estimate as a baseline; confirm the blended hourly rate</t>
        </is>
      </c>
      <c r="F12" s="39" t="n"/>
      <c r="G12" s="40" t="inlineStr">
        <is>
          <t>Quantifies ROI baseline for the business case and executive presentation</t>
        </is>
      </c>
    </row>
    <row r="13">
      <c r="A13" s="38" t="inlineStr">
        <is>
          <t>BUS-012</t>
        </is>
      </c>
      <c r="B13" s="38" t="inlineStr">
        <is>
          <t>Business Requirements</t>
        </is>
      </c>
      <c r="C13" s="38" t="inlineStr">
        <is>
          <t>ROI &amp; Value</t>
        </is>
      </c>
      <c r="D13" s="38" t="inlineStr">
        <is>
          <t>Is parallel pipeline throughput (multiple solutions generated simultaneously) a hard requirement or a stretch goal?</t>
        </is>
      </c>
      <c r="E13" s="38" t="inlineStr">
        <is>
          <t>Confirm whether concurrent multi-solution generation is needed for the PoC demo or Phase 2</t>
        </is>
      </c>
      <c r="F13" s="39" t="n"/>
      <c r="G13" s="38" t="inlineStr">
        <is>
          <t>Architectural decision driver for Lambda concurrency limits and AgentCore scaling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7" t="inlineStr">
        <is>
          <t>Question ID</t>
        </is>
      </c>
      <c r="B1" s="37" t="inlineStr">
        <is>
          <t>Category</t>
        </is>
      </c>
      <c r="C1" s="37" t="inlineStr">
        <is>
          <t>Sub-Category</t>
        </is>
      </c>
      <c r="D1" s="37" t="inlineStr">
        <is>
          <t>Question</t>
        </is>
      </c>
      <c r="E1" s="37" t="inlineStr">
        <is>
          <t>Guidance</t>
        </is>
      </c>
      <c r="F1" s="37" t="inlineStr">
        <is>
          <t>Customer Response</t>
        </is>
      </c>
      <c r="G1" s="37" t="inlineStr">
        <is>
          <t>Notes</t>
        </is>
      </c>
    </row>
    <row r="2">
      <c r="A2" s="40" t="inlineStr">
        <is>
          <t>TECH-001</t>
        </is>
      </c>
      <c r="B2" s="40" t="inlineStr">
        <is>
          <t>Technical Requirements</t>
        </is>
      </c>
      <c r="C2" s="40" t="inlineStr">
        <is>
          <t>Current Infrastructure</t>
        </is>
      </c>
      <c r="D2" s="40" t="inlineStr">
        <is>
          <t>Describe the existing AWS account structure — single account or multi-account org, and which account will host the new platform?</t>
        </is>
      </c>
      <c r="E2" s="40" t="inlineStr">
        <is>
          <t>Confirm whether a net-new us-west-2 account is being created or whether an existing account is being used with a new region footprint</t>
        </is>
      </c>
      <c r="F2" s="39" t="n"/>
      <c r="G2" s="40" t="inlineStr">
        <is>
          <t>Foundation for IAM, VPC, and blast-radius decisions</t>
        </is>
      </c>
    </row>
    <row r="3">
      <c r="A3" s="38" t="inlineStr">
        <is>
          <t>TECH-002</t>
        </is>
      </c>
      <c r="B3" s="38" t="inlineStr">
        <is>
          <t>Technical Requirements</t>
        </is>
      </c>
      <c r="C3" s="38" t="inlineStr">
        <is>
          <t>Current Infrastructure</t>
        </is>
      </c>
      <c r="D3" s="38" t="inlineStr">
        <is>
          <t>What AWS services are currently active in the us-east-1 footprint, and are any shared resources (IAM roles, S3 buckets, VPCs) expected to be reused?</t>
        </is>
      </c>
      <c r="E3" s="38" t="inlineStr">
        <is>
          <t>List managed-services workloads and identify any cross-region or cross-account dependencies</t>
        </is>
      </c>
      <c r="F3" s="39" t="n"/>
      <c r="G3" s="38" t="inlineStr">
        <is>
          <t>Isolation boundary design and blast-radius analysis</t>
        </is>
      </c>
    </row>
    <row r="4">
      <c r="A4" s="40" t="inlineStr">
        <is>
          <t>TECH-003</t>
        </is>
      </c>
      <c r="B4" s="40" t="inlineStr">
        <is>
          <t>Technical Requirements</t>
        </is>
      </c>
      <c r="C4" s="40" t="inlineStr">
        <is>
          <t>Cloud Platform</t>
        </is>
      </c>
      <c r="D4" s="40" t="inlineStr">
        <is>
          <t>Has the team used Amazon Bedrock or AgentCore Runtime in any previous engagement?</t>
        </is>
      </c>
      <c r="E4" s="40" t="inlineStr">
        <is>
          <t>Identify existing Bedrock model access approvals, service quotas, and any prior AgentCore Runtime experience</t>
        </is>
      </c>
      <c r="F4" s="39" t="n"/>
      <c r="G4" s="40" t="inlineStr">
        <is>
          <t>Bedrock model access (Claude Sonnet 4.6 and Haiku 4.5) must be enabled before Phase 2; quota increases may have lead time</t>
        </is>
      </c>
    </row>
    <row r="5">
      <c r="A5" s="38" t="inlineStr">
        <is>
          <t>TECH-004</t>
        </is>
      </c>
      <c r="B5" s="38" t="inlineStr">
        <is>
          <t>Technical Requirements</t>
        </is>
      </c>
      <c r="C5" s="38" t="inlineStr">
        <is>
          <t>Cloud Platform</t>
        </is>
      </c>
      <c r="D5" s="38" t="inlineStr">
        <is>
          <t>What is the target AWS region for each service — is us-west-2 confirmed for all services including Bedrock, Cognito, and API Gateway?</t>
        </is>
      </c>
      <c r="E5" s="38" t="inlineStr">
        <is>
          <t>Confirm regional availability of Bedrock model IDs (claude-sonnet-4-6, claude-haiku-4-5) in us-west-2</t>
        </is>
      </c>
      <c r="F5" s="39" t="n"/>
      <c r="G5" s="38" t="inlineStr">
        <is>
          <t>Some Bedrock model IDs may only be available in specific regions; verify before architecture is finalised</t>
        </is>
      </c>
    </row>
    <row r="6">
      <c r="A6" s="40" t="inlineStr">
        <is>
          <t>TECH-005</t>
        </is>
      </c>
      <c r="B6" s="40" t="inlineStr">
        <is>
          <t>Technical Requirements</t>
        </is>
      </c>
      <c r="C6" s="40" t="inlineStr">
        <is>
          <t>Agent Architecture</t>
        </is>
      </c>
      <c r="D6" s="40" t="inlineStr">
        <is>
          <t>How many concurrent solution-generation workflows must the platform support at steady state (200/month) and at peak?</t>
        </is>
      </c>
      <c r="E6" s="40" t="inlineStr">
        <is>
          <t>Estimate peak concurrency — e.g., 10 simultaneous solutions — to size Lambda reserved concurrency and AgentCore Runtime instances</t>
        </is>
      </c>
      <c r="F6" s="39" t="n"/>
      <c r="G6" s="40" t="inlineStr">
        <is>
          <t>Drives Lambda concurrency limits, DynamoDB throughput mode, and Bedrock token-per-minute quota</t>
        </is>
      </c>
    </row>
    <row r="7">
      <c r="A7" s="38" t="inlineStr">
        <is>
          <t>TECH-006</t>
        </is>
      </c>
      <c r="B7" s="38" t="inlineStr">
        <is>
          <t>Technical Requirements</t>
        </is>
      </c>
      <c r="C7" s="38" t="inlineStr">
        <is>
          <t>Agent Architecture</t>
        </is>
      </c>
      <c r="D7" s="38" t="inlineStr">
        <is>
          <t>Confirm the five-agent topology: Input Validator (Agent 0), Pre-Sales Generator, Delivery Generator, Code Generator, EO Validator — is this fixed or subject to change?</t>
        </is>
      </c>
      <c r="E7" s="38" t="inlineStr">
        <is>
          <t>Identify any additional agents planned (e.g., cost estimator, diagram generator) that should be architected in from the start</t>
        </is>
      </c>
      <c r="F7" s="39" t="n"/>
      <c r="G7" s="38" t="inlineStr">
        <is>
          <t>Agent count affects AgentCore Runtime registration, IAM role design, and per-solution token budget</t>
        </is>
      </c>
    </row>
    <row r="8">
      <c r="A8" s="40" t="inlineStr">
        <is>
          <t>TECH-007</t>
        </is>
      </c>
      <c r="B8" s="40" t="inlineStr">
        <is>
          <t>Technical Requirements</t>
        </is>
      </c>
      <c r="C8" s="40" t="inlineStr">
        <is>
          <t>Agent Architecture</t>
        </is>
      </c>
      <c r="D8" s="40" t="inlineStr">
        <is>
          <t>What is the expected average token count per artifact and per full solution package (12 artifacts)?</t>
        </is>
      </c>
      <c r="E8" s="40" t="inlineStr">
        <is>
          <t>Provide estimates for input + output tokens per artifact type (e.g., solution-briefing vs. Terraform bundle)</t>
        </is>
      </c>
      <c r="F8" s="39" t="n"/>
      <c r="G8" s="40" t="inlineStr">
        <is>
          <t>Primary driver of Bedrock cost model and per-solution $5 spend target feasibility</t>
        </is>
      </c>
    </row>
    <row r="9">
      <c r="A9" s="38" t="inlineStr">
        <is>
          <t>TECH-008</t>
        </is>
      </c>
      <c r="B9" s="38" t="inlineStr">
        <is>
          <t>Technical Requirements</t>
        </is>
      </c>
      <c r="C9" s="38" t="inlineStr">
        <is>
          <t>API &amp; CLI</t>
        </is>
      </c>
      <c r="D9" s="38" t="inlineStr">
        <is>
          <t>Describe the 14 CLI subcommands and 11 HTTP API routes — which are in-scope for the PoC and which are deferred?</t>
        </is>
      </c>
      <c r="E9" s="38" t="inlineStr">
        <is>
          <t>List the four core capabilities required for the April demo: CLI auth, presales generation, delivery generation, automation bundle</t>
        </is>
      </c>
      <c r="F9" s="39" t="n"/>
      <c r="G9" s="38" t="inlineStr">
        <is>
          <t>Scope boundary for Phase 3 testing and acceptance</t>
        </is>
      </c>
    </row>
    <row r="10">
      <c r="A10" s="40" t="inlineStr">
        <is>
          <t>TECH-009</t>
        </is>
      </c>
      <c r="B10" s="40" t="inlineStr">
        <is>
          <t>Technical Requirements</t>
        </is>
      </c>
      <c r="C10" s="40" t="inlineStr">
        <is>
          <t>API &amp; CLI</t>
        </is>
      </c>
      <c r="D10" s="40" t="inlineStr">
        <is>
          <t>What authentication flow does the CLI use — device-code flow, username/password, or machine-to-machine client credentials?</t>
        </is>
      </c>
      <c r="E10" s="40" t="inlineStr">
        <is>
          <t>Confirm the Cognito auth flow (USER_PASSWORD_AUTH, DEVICE_FLOW, or MACHINE_TO_MACHINE) for the pip-installable CLI</t>
        </is>
      </c>
      <c r="F10" s="39" t="n"/>
      <c r="G10" s="40" t="inlineStr">
        <is>
          <t>Cognito app-client configuration and token-refresh design (30-day refresh tokens confirmed)</t>
        </is>
      </c>
    </row>
    <row r="11">
      <c r="A11" s="38" t="inlineStr">
        <is>
          <t>TECH-010</t>
        </is>
      </c>
      <c r="B11" s="38" t="inlineStr">
        <is>
          <t>Technical Requirements</t>
        </is>
      </c>
      <c r="C11" s="38" t="inlineStr">
        <is>
          <t>Data &amp; Storage</t>
        </is>
      </c>
      <c r="D11" s="38" t="inlineStr">
        <is>
          <t>What is the expected S3 storage volume at steady state (200 solutions/month) — raw artifacts, converted DOCX/PPTX/XLSX, and GitHub-committed bundles?</t>
        </is>
      </c>
      <c r="E11" s="38" t="inlineStr">
        <is>
          <t>Estimate average solution package size (raw + converted) multiplied by monthly volume and retention period</t>
        </is>
      </c>
      <c r="F11" s="39" t="n"/>
      <c r="G11" s="38" t="inlineStr">
        <is>
          <t>S3 storage cost and lifecycle-policy design</t>
        </is>
      </c>
    </row>
    <row r="12">
      <c r="A12" s="40" t="inlineStr">
        <is>
          <t>TECH-011</t>
        </is>
      </c>
      <c r="B12" s="40" t="inlineStr">
        <is>
          <t>Technical Requirements</t>
        </is>
      </c>
      <c r="C12" s="40" t="inlineStr">
        <is>
          <t>Data &amp; Storage</t>
        </is>
      </c>
      <c r="D12" s="40" t="inlineStr">
        <is>
          <t>What is the DynamoDB access pattern for quota enforcement — single-table design with per-user and global counters, or separate tables?</t>
        </is>
      </c>
      <c r="E12" s="40" t="inlineStr">
        <is>
          <t>Confirm atomic counter strategy: DynamoDB transactions or conditional writes for the 10/user/month and 1000/month global quota</t>
        </is>
      </c>
      <c r="F12" s="39" t="n"/>
      <c r="G12" s="40" t="inlineStr">
        <is>
          <t>DynamoDB capacity mode (on-demand vs. provisioned) and consistency requirements</t>
        </is>
      </c>
    </row>
    <row r="13">
      <c r="A13" s="38" t="inlineStr">
        <is>
          <t>TECH-012</t>
        </is>
      </c>
      <c r="B13" s="38" t="inlineStr">
        <is>
          <t>Technical Requirements</t>
        </is>
      </c>
      <c r="C13" s="38" t="inlineStr">
        <is>
          <t>eof-tools Integration</t>
        </is>
      </c>
      <c r="D13" s="38" t="inlineStr">
        <is>
          <t>Describe the eof-tools converter library interface — is it invoked as a Python subprocess, imported as a module, or called via an internal API?</t>
        </is>
      </c>
      <c r="E13" s="38" t="inlineStr">
        <is>
          <t>Confirm how the 30-module library covering 12 artifact types is packaged into the agent container image</t>
        </is>
      </c>
      <c r="F13" s="39" t="n"/>
      <c r="G13" s="38" t="inlineStr">
        <is>
          <t>Container image size, cold-start latency, and dependency management</t>
        </is>
      </c>
    </row>
    <row r="14">
      <c r="A14" s="40" t="inlineStr">
        <is>
          <t>TECH-013</t>
        </is>
      </c>
      <c r="B14" s="40" t="inlineStr">
        <is>
          <t>Technical Requirements</t>
        </is>
      </c>
      <c r="C14" s="40" t="inlineStr">
        <is>
          <t>eof-tools Integration</t>
        </is>
      </c>
      <c r="D14" s="40" t="inlineStr">
        <is>
          <t>Are all 12 artifact types supported by the current eof-tools library, or are there gaps that require new converter modules?</t>
        </is>
      </c>
      <c r="E14" s="40" t="inlineStr">
        <is>
          <t>Identify any artifact types (e.g., new Terraform bundle format) not yet covered by eof-tools</t>
        </is>
      </c>
      <c r="F14" s="39" t="n"/>
      <c r="G14" s="40" t="inlineStr">
        <is>
          <t>Scope risk — new converter modules may add to Phase 2 effort</t>
        </is>
      </c>
    </row>
    <row r="15">
      <c r="A15" s="38" t="inlineStr">
        <is>
          <t>TECH-014</t>
        </is>
      </c>
      <c r="B15" s="38" t="inlineStr">
        <is>
          <t>Technical Requirements</t>
        </is>
      </c>
      <c r="C15" s="38" t="inlineStr">
        <is>
          <t>GitHub Integration</t>
        </is>
      </c>
      <c r="D15" s="38" t="inlineStr">
        <is>
          <t>What GitHub repository structure is expected — one repo per solution, one repo per client, or a single monorepo with solution-scoped directories?</t>
        </is>
      </c>
      <c r="E15" s="38" t="inlineStr">
        <is>
          <t>Confirm the fixed public repository mentioned in the brief and the branching strategy for committed artifacts</t>
        </is>
      </c>
      <c r="F15" s="39" t="n"/>
      <c r="G15" s="38" t="inlineStr">
        <is>
          <t>GitHub personal-access-token scope, repo permissions, and CI/CD trigger design</t>
        </is>
      </c>
    </row>
    <row r="16">
      <c r="A16" s="40" t="inlineStr">
        <is>
          <t>TECH-015</t>
        </is>
      </c>
      <c r="B16" s="40" t="inlineStr">
        <is>
          <t>Technical Requirements</t>
        </is>
      </c>
      <c r="C16" s="40" t="inlineStr">
        <is>
          <t>GitHub Integration</t>
        </is>
      </c>
      <c r="D16" s="40" t="inlineStr">
        <is>
          <t>How is the GitHub personal access token managed — AWS Secrets Manager, Parameter Store, or environment variable in the container?</t>
        </is>
      </c>
      <c r="E16" s="40" t="inlineStr">
        <is>
          <t>Identify rotation policy and who owns the token</t>
        </is>
      </c>
      <c r="F16" s="39" t="n"/>
      <c r="G16" s="40" t="inlineStr">
        <is>
          <t>Security and operational risk; token expiry could silently break artifact delivery</t>
        </is>
      </c>
    </row>
    <row r="17">
      <c r="A17" s="38" t="inlineStr">
        <is>
          <t>TECH-016</t>
        </is>
      </c>
      <c r="B17" s="38" t="inlineStr">
        <is>
          <t>Technical Requirements</t>
        </is>
      </c>
      <c r="C17" s="38" t="inlineStr">
        <is>
          <t>Performance</t>
        </is>
      </c>
      <c r="D17" s="38" t="inlineStr">
        <is>
          <t>What is the maximum acceptable end-to-end latency for a full 12-artifact solution generation run?</t>
        </is>
      </c>
      <c r="E17" s="38" t="inlineStr">
        <is>
          <t>Confirm the under-60-minute target; identify whether this is a p50, p95, or p99 target</t>
        </is>
      </c>
      <c r="F17" s="39" t="n"/>
      <c r="G17" s="38" t="inlineStr">
        <is>
          <t>Lambda timeout configuration (max 15 min per function) and Step Functions / async orchestration design</t>
        </is>
      </c>
    </row>
    <row r="18">
      <c r="A18" s="40" t="inlineStr">
        <is>
          <t>TECH-017</t>
        </is>
      </c>
      <c r="B18" s="40" t="inlineStr">
        <is>
          <t>Technical Requirements</t>
        </is>
      </c>
      <c r="C18" s="40" t="inlineStr">
        <is>
          <t>Performance</t>
        </is>
      </c>
      <c r="D18" s="40" t="inlineStr">
        <is>
          <t>What are the Terraform validation gate requirements — is `terraform validate` the only gate, or are `terraform plan` dry-runs also required?</t>
        </is>
      </c>
      <c r="E18" s="40" t="inlineStr">
        <is>
          <t>Identify whether a live AWS account is needed for plan execution or whether validate-only is sufficient for the PoC</t>
        </is>
      </c>
      <c r="F18" s="39" t="n"/>
      <c r="G18" s="40" t="inlineStr">
        <is>
          <t>Infrastructure and IAM requirements for Terraform execution environment</t>
        </is>
      </c>
    </row>
    <row r="19">
      <c r="A19" s="38" t="inlineStr">
        <is>
          <t>TECH-018</t>
        </is>
      </c>
      <c r="B19" s="38" t="inlineStr">
        <is>
          <t>Technical Requirements</t>
        </is>
      </c>
      <c r="C19" s="38" t="inlineStr">
        <is>
          <t>Monitoring &amp; Observability</t>
        </is>
      </c>
      <c r="D19" s="38" t="inlineStr">
        <is>
          <t>What CloudWatch metrics baseline is required for Phase 3 sign-off?</t>
        </is>
      </c>
      <c r="E19" s="38" t="inlineStr">
        <is>
          <t>Define the specific metrics: per-agent token usage, artifact generation latency, validation pass/fail rates, quota utilisation</t>
        </is>
      </c>
      <c r="F19" s="39" t="n"/>
      <c r="G19" s="38" t="inlineStr">
        <is>
          <t>Monitoring design and CloudWatch dashboard scope</t>
        </is>
      </c>
    </row>
    <row r="20">
      <c r="A20" s="40" t="inlineStr">
        <is>
          <t>TECH-019</t>
        </is>
      </c>
      <c r="B20" s="40" t="inlineStr">
        <is>
          <t>Technical Requirements</t>
        </is>
      </c>
      <c r="C20" s="40" t="inlineStr">
        <is>
          <t>Monitoring &amp; Observability</t>
        </is>
      </c>
      <c r="D20" s="40" t="inlineStr">
        <is>
          <t>Is distributed tracing (AWS X-Ray) required, or is CloudWatch Logs correlation sufficient for the PoC?</t>
        </is>
      </c>
      <c r="E20" s="40" t="inlineStr">
        <is>
          <t>Confirm observability tooling preferences and any existing monitoring stack</t>
        </is>
      </c>
      <c r="F20" s="39" t="n"/>
      <c r="G20" s="40" t="inlineStr">
        <is>
          <t>Tracing instrumentation adds latency and cost; confirm if required for PoC</t>
        </is>
      </c>
    </row>
    <row r="21">
      <c r="A21" s="38" t="inlineStr">
        <is>
          <t>TECH-020</t>
        </is>
      </c>
      <c r="B21" s="38" t="inlineStr">
        <is>
          <t>Technical Requirements</t>
        </is>
      </c>
      <c r="C21" s="38" t="inlineStr">
        <is>
          <t>Scalability</t>
        </is>
      </c>
      <c r="D21" s="38" t="inlineStr">
        <is>
          <t>What is the long-term throughput target beyond the 200-solutions/month steady state — is there a 12-month or 24-month growth projection?</t>
        </is>
      </c>
      <c r="E21" s="38" t="inlineStr">
        <is>
          <t>Provide peak throughput scenarios (e.g., 500 or 1000 solutions/month) to validate the linear-scaling architecture claim</t>
        </is>
      </c>
      <c r="F21" s="39" t="n"/>
      <c r="G21" s="38" t="inlineStr">
        <is>
          <t>Architecture validation for Lambda concurrency, DynamoDB, and Bedrock quota ceilings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7" t="inlineStr">
        <is>
          <t>Question ID</t>
        </is>
      </c>
      <c r="B1" s="37" t="inlineStr">
        <is>
          <t>Category</t>
        </is>
      </c>
      <c r="C1" s="37" t="inlineStr">
        <is>
          <t>Sub-Category</t>
        </is>
      </c>
      <c r="D1" s="37" t="inlineStr">
        <is>
          <t>Question</t>
        </is>
      </c>
      <c r="E1" s="37" t="inlineStr">
        <is>
          <t>Guidance</t>
        </is>
      </c>
      <c r="F1" s="37" t="inlineStr">
        <is>
          <t>Customer Response</t>
        </is>
      </c>
      <c r="G1" s="37" t="inlineStr">
        <is>
          <t>Notes</t>
        </is>
      </c>
    </row>
    <row r="2">
      <c r="A2" s="40" t="inlineStr">
        <is>
          <t>SEC-001</t>
        </is>
      </c>
      <c r="B2" s="40" t="inlineStr">
        <is>
          <t>Security &amp; Compliance</t>
        </is>
      </c>
      <c r="C2" s="40" t="inlineStr">
        <is>
          <t>Compliance Frameworks</t>
        </is>
      </c>
      <c r="D2" s="40" t="inlineStr">
        <is>
          <t>What compliance frameworks apply to this platform and its generated artifacts?</t>
        </is>
      </c>
      <c r="E2" s="40" t="inlineStr">
        <is>
          <t>SOC 2 Type II, ISO 27001, NIST CSF, or others — particularly relevant if customer data flows through the platform</t>
        </is>
      </c>
      <c r="F2" s="39" t="n"/>
      <c r="G2" s="40" t="inlineStr">
        <is>
          <t>Determines audit-logging depth, encryption requirements, and penetration-testing scope</t>
        </is>
      </c>
    </row>
    <row r="3">
      <c r="A3" s="38" t="inlineStr">
        <is>
          <t>SEC-002</t>
        </is>
      </c>
      <c r="B3" s="38" t="inlineStr">
        <is>
          <t>Security &amp; Compliance</t>
        </is>
      </c>
      <c r="C3" s="38" t="inlineStr">
        <is>
          <t>Data Classification</t>
        </is>
      </c>
      <c r="D3" s="38" t="inlineStr">
        <is>
          <t>What is the sensitivity classification of the presales artifacts and briefing data processed by the platform?</t>
        </is>
      </c>
      <c r="E3" s="38" t="inlineStr">
        <is>
          <t>Classify as Public, Internal, Confidential, or Restricted — presales documents may contain client pricing and architecture IP</t>
        </is>
      </c>
      <c r="F3" s="39" t="n"/>
      <c r="G3" s="38" t="inlineStr">
        <is>
          <t>Drives encryption-at-rest configuration, S3 bucket policies, and data-retention rules</t>
        </is>
      </c>
    </row>
    <row r="4">
      <c r="A4" s="40" t="inlineStr">
        <is>
          <t>SEC-003</t>
        </is>
      </c>
      <c r="B4" s="40" t="inlineStr">
        <is>
          <t>Security &amp; Compliance</t>
        </is>
      </c>
      <c r="C4" s="40" t="inlineStr">
        <is>
          <t>Authentication &amp; Authorisation</t>
        </is>
      </c>
      <c r="D4" s="40" t="inlineStr">
        <is>
          <t>Beyond Cognito MFA, are there additional authentication requirements such as SSO federation with an enterprise IdP (Okta, Azure AD)?</t>
        </is>
      </c>
      <c r="E4" s="40" t="inlineStr">
        <is>
          <t>Confirm whether SAML 2.0 or OIDC federation is required for Amatra consultants or PREDICTif corporate accounts</t>
        </is>
      </c>
      <c r="F4" s="39" t="n"/>
      <c r="G4" s="40" t="inlineStr">
        <is>
          <t>Cognito identity pool vs. user pool design; federation adds configuration complexity</t>
        </is>
      </c>
    </row>
    <row r="5">
      <c r="A5" s="38" t="inlineStr">
        <is>
          <t>SEC-004</t>
        </is>
      </c>
      <c r="B5" s="38" t="inlineStr">
        <is>
          <t>Security &amp; Compliance</t>
        </is>
      </c>
      <c r="C5" s="38" t="inlineStr">
        <is>
          <t>Authentication &amp; Authorisation</t>
        </is>
      </c>
      <c r="D5" s="38" t="inlineStr">
        <is>
          <t>What is the role-based access control model — admin, standard user, and read-only reviewer, or a different model?</t>
        </is>
      </c>
      <c r="E5" s="38" t="inlineStr">
        <is>
          <t>Define the permission boundaries: who can create solutions, who can view all solutions, who can manage quotas</t>
        </is>
      </c>
      <c r="F5" s="39" t="n"/>
      <c r="G5" s="38" t="inlineStr">
        <is>
          <t>IAM and Cognito group configuration; admin usage endpoint access control</t>
        </is>
      </c>
    </row>
    <row r="6">
      <c r="A6" s="40" t="inlineStr">
        <is>
          <t>SEC-005</t>
        </is>
      </c>
      <c r="B6" s="40" t="inlineStr">
        <is>
          <t>Security &amp; Compliance</t>
        </is>
      </c>
      <c r="C6" s="40" t="inlineStr">
        <is>
          <t>Data Residency</t>
        </is>
      </c>
      <c r="D6" s="40" t="inlineStr">
        <is>
          <t>Must all data (S3 artifacts, DynamoDB records, CloudWatch logs) remain in us-west-2, or are cross-region replicas permitted?</t>
        </is>
      </c>
      <c r="E6" s="40" t="inlineStr">
        <is>
          <t>Confirm data-residency requirements for any client-specific content processed by the platform</t>
        </is>
      </c>
      <c r="F6" s="39" t="n"/>
      <c r="G6" s="40" t="inlineStr">
        <is>
          <t>S3 replication, CloudWatch log export, and DynamoDB global table design</t>
        </is>
      </c>
    </row>
    <row r="7">
      <c r="A7" s="38" t="inlineStr">
        <is>
          <t>SEC-006</t>
        </is>
      </c>
      <c r="B7" s="38" t="inlineStr">
        <is>
          <t>Security &amp; Compliance</t>
        </is>
      </c>
      <c r="C7" s="38" t="inlineStr">
        <is>
          <t>Encryption</t>
        </is>
      </c>
      <c r="D7" s="38" t="inlineStr">
        <is>
          <t>What encryption requirements apply to data at rest and in transit?</t>
        </is>
      </c>
      <c r="E7" s="38" t="inlineStr">
        <is>
          <t>Confirm: S3 SSE-KMS vs. SSE-S3, DynamoDB encryption at rest, TLS 1.2+ for API Gateway, KMS key ownership (AWS-managed vs. customer-managed)</t>
        </is>
      </c>
      <c r="F7" s="39" t="n"/>
      <c r="G7" s="38" t="inlineStr">
        <is>
          <t>Customer-managed KMS keys add operational overhead; confirm if required for compliance</t>
        </is>
      </c>
    </row>
    <row r="8">
      <c r="A8" s="40" t="inlineStr">
        <is>
          <t>SEC-007</t>
        </is>
      </c>
      <c r="B8" s="40" t="inlineStr">
        <is>
          <t>Security &amp; Compliance</t>
        </is>
      </c>
      <c r="C8" s="40" t="inlineStr">
        <is>
          <t>Network Security</t>
        </is>
      </c>
      <c r="D8" s="40" t="inlineStr">
        <is>
          <t>Is the Lambda and AgentCore Runtime environment required to run inside a VPC, or is public-endpoint execution acceptable?</t>
        </is>
      </c>
      <c r="E8" s="40" t="inlineStr">
        <is>
          <t>Identify any network egress restrictions or VPC endpoint requirements for Bedrock, S3, and DynamoDB</t>
        </is>
      </c>
      <c r="F8" s="39" t="n"/>
      <c r="G8" s="40" t="inlineStr">
        <is>
          <t>VPC configuration significantly increases cold-start latency and adds NAT Gateway cost</t>
        </is>
      </c>
    </row>
    <row r="9">
      <c r="A9" s="38" t="inlineStr">
        <is>
          <t>SEC-008</t>
        </is>
      </c>
      <c r="B9" s="38" t="inlineStr">
        <is>
          <t>Security &amp; Compliance</t>
        </is>
      </c>
      <c r="C9" s="38" t="inlineStr">
        <is>
          <t>Audit &amp; Logging</t>
        </is>
      </c>
      <c r="D9" s="38" t="inlineStr">
        <is>
          <t>What audit-logging requirements exist — CloudTrail for all API calls, S3 access logs, and DynamoDB stream logging?</t>
        </is>
      </c>
      <c r="E9" s="38" t="inlineStr">
        <is>
          <t>Confirm log retention periods and whether logs must be exported to a SIEM</t>
        </is>
      </c>
      <c r="F9" s="39" t="n"/>
      <c r="G9" s="38" t="inlineStr">
        <is>
          <t>Audit log volume and cost; SIEM integration adds to Phase 1 scope</t>
        </is>
      </c>
    </row>
    <row r="10">
      <c r="A10" s="40" t="inlineStr">
        <is>
          <t>SEC-009</t>
        </is>
      </c>
      <c r="B10" s="40" t="inlineStr">
        <is>
          <t>Security &amp; Compliance</t>
        </is>
      </c>
      <c r="C10" s="40" t="inlineStr">
        <is>
          <t>Secret Management</t>
        </is>
      </c>
      <c r="D10" s="40" t="inlineStr">
        <is>
          <t>How are sensitive credentials managed — GitHub PAT, Bedrock API keys, Cognito client secrets?</t>
        </is>
      </c>
      <c r="E10" s="40" t="inlineStr">
        <is>
          <t>Confirm use of AWS Secrets Manager with automatic rotation vs. Parameter Store SecureString</t>
        </is>
      </c>
      <c r="F10" s="39" t="n"/>
      <c r="G10" s="40" t="inlineStr">
        <is>
          <t>Rotation policy and access audit trail for all platform secrets</t>
        </is>
      </c>
    </row>
    <row r="11">
      <c r="A11" s="38" t="inlineStr">
        <is>
          <t>SEC-010</t>
        </is>
      </c>
      <c r="B11" s="38" t="inlineStr">
        <is>
          <t>Security &amp; Compliance</t>
        </is>
      </c>
      <c r="C11" s="38" t="inlineStr">
        <is>
          <t>Vulnerability Management</t>
        </is>
      </c>
      <c r="D11" s="38" t="inlineStr">
        <is>
          <t>What is the container image vulnerability scanning policy for the AgentCore Runtime Docker image containing eof-tools?</t>
        </is>
      </c>
      <c r="E11" s="38" t="inlineStr">
        <is>
          <t>Identify whether Amazon ECR image scanning (basic or enhanced via Inspector) is required at build and runtime</t>
        </is>
      </c>
      <c r="F11" s="39" t="n"/>
      <c r="G11" s="38" t="inlineStr">
        <is>
          <t>Container security posture; critical vulnerabilities in eof-tools dependencies could block deployment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7" t="inlineStr">
        <is>
          <t>Question ID</t>
        </is>
      </c>
      <c r="B1" s="37" t="inlineStr">
        <is>
          <t>Category</t>
        </is>
      </c>
      <c r="C1" s="37" t="inlineStr">
        <is>
          <t>Sub-Category</t>
        </is>
      </c>
      <c r="D1" s="37" t="inlineStr">
        <is>
          <t>Question</t>
        </is>
      </c>
      <c r="E1" s="37" t="inlineStr">
        <is>
          <t>Guidance</t>
        </is>
      </c>
      <c r="F1" s="37" t="inlineStr">
        <is>
          <t>Customer Response</t>
        </is>
      </c>
      <c r="G1" s="37" t="inlineStr">
        <is>
          <t>Notes</t>
        </is>
      </c>
    </row>
    <row r="2">
      <c r="A2" s="40" t="inlineStr">
        <is>
          <t>OPS-001</t>
        </is>
      </c>
      <c r="B2" s="40" t="inlineStr">
        <is>
          <t>Operations &amp; Support</t>
        </is>
      </c>
      <c r="C2" s="40" t="inlineStr">
        <is>
          <t>RTO</t>
        </is>
      </c>
      <c r="D2" s="40" t="inlineStr">
        <is>
          <t>What is the Recovery Time Objective (RTO) for the platform if a regional AWS service disruption occurs?</t>
        </is>
      </c>
      <c r="E2" s="40" t="inlineStr">
        <is>
          <t>Define maximum acceptable downtime: under 1 hour, 4 hours, or next business day</t>
        </is>
      </c>
      <c r="F2" s="39" t="n"/>
      <c r="G2" s="40" t="inlineStr">
        <is>
          <t>Determines whether multi-AZ or multi-region failover is required; impacts architecture cost</t>
        </is>
      </c>
    </row>
    <row r="3">
      <c r="A3" s="38" t="inlineStr">
        <is>
          <t>OPS-002</t>
        </is>
      </c>
      <c r="B3" s="38" t="inlineStr">
        <is>
          <t>Operations &amp; Support</t>
        </is>
      </c>
      <c r="C3" s="38" t="inlineStr">
        <is>
          <t>RPO</t>
        </is>
      </c>
      <c r="D3" s="38" t="inlineStr">
        <is>
          <t>What is the Recovery Point Objective (RPO) for DynamoDB quota counters and S3 solution artifacts?</t>
        </is>
      </c>
      <c r="E3" s="38" t="inlineStr">
        <is>
          <t>Define maximum acceptable data loss: zero (point-in-time recovery) or last daily backup</t>
        </is>
      </c>
      <c r="F3" s="39" t="n"/>
      <c r="G3" s="38" t="inlineStr">
        <is>
          <t>DynamoDB PITR and S3 versioning configuration; PITR adds ~20% storage cost</t>
        </is>
      </c>
    </row>
    <row r="4">
      <c r="A4" s="40" t="inlineStr">
        <is>
          <t>OPS-003</t>
        </is>
      </c>
      <c r="B4" s="40" t="inlineStr">
        <is>
          <t>Operations &amp; Support</t>
        </is>
      </c>
      <c r="C4" s="40" t="inlineStr">
        <is>
          <t>Monitoring &amp; Alerting</t>
        </is>
      </c>
      <c r="D4" s="40" t="inlineStr">
        <is>
          <t>What CloudWatch alarms are required at launch — Lambda error rates, Bedrock throttling, API Gateway 5xx rates, DynamoDB capacity?</t>
        </is>
      </c>
      <c r="E4" s="40" t="inlineStr">
        <is>
          <t>Define alerting thresholds and notification channels (SNS → PagerDuty, email, Slack)</t>
        </is>
      </c>
      <c r="F4" s="39" t="n"/>
      <c r="G4" s="40" t="inlineStr">
        <is>
          <t>Operational readiness gate for Phase 3 sign-off</t>
        </is>
      </c>
    </row>
    <row r="5">
      <c r="A5" s="38" t="inlineStr">
        <is>
          <t>OPS-004</t>
        </is>
      </c>
      <c r="B5" s="38" t="inlineStr">
        <is>
          <t>Operations &amp; Support</t>
        </is>
      </c>
      <c r="C5" s="38" t="inlineStr">
        <is>
          <t>Monitoring &amp; Alerting</t>
        </is>
      </c>
      <c r="D5" s="38" t="inlineStr">
        <is>
          <t>Is a real-time operational dashboard required for the PoC demo, or is CloudWatch Logs Insights sufficient?</t>
        </is>
      </c>
      <c r="E5" s="38" t="inlineStr">
        <is>
          <t>Identify whether a CloudWatch Dashboard, Grafana, or third-party APM tool is expected</t>
        </is>
      </c>
      <c r="F5" s="39" t="n"/>
      <c r="G5" s="38" t="inlineStr">
        <is>
          <t>Dashboard scope affects Phase 3 timeline; confirm for demo readiness</t>
        </is>
      </c>
    </row>
    <row r="6">
      <c r="A6" s="40" t="inlineStr">
        <is>
          <t>OPS-005</t>
        </is>
      </c>
      <c r="B6" s="40" t="inlineStr">
        <is>
          <t>Operations &amp; Support</t>
        </is>
      </c>
      <c r="C6" s="40" t="inlineStr">
        <is>
          <t>Support Coverage</t>
        </is>
      </c>
      <c r="D6" s="40" t="inlineStr">
        <is>
          <t>What support coverage is required for the platform post-launch — business hours 8x5, extended 24x5, or 24x7?</t>
        </is>
      </c>
      <c r="E6" s="40" t="inlineStr">
        <is>
          <t>Identify the on-call rotation and escalation path for P1 incidents (e.g., platform down during peak sales cycle)</t>
        </is>
      </c>
      <c r="F6" s="39" t="n"/>
      <c r="G6" s="40" t="inlineStr">
        <is>
          <t>Managed-service scope definition and staffing cost estimate</t>
        </is>
      </c>
    </row>
    <row r="7">
      <c r="A7" s="38" t="inlineStr">
        <is>
          <t>OPS-006</t>
        </is>
      </c>
      <c r="B7" s="38" t="inlineStr">
        <is>
          <t>Operations &amp; Support</t>
        </is>
      </c>
      <c r="C7" s="38" t="inlineStr">
        <is>
          <t>Maintenance</t>
        </is>
      </c>
      <c r="D7" s="38" t="inlineStr">
        <is>
          <t>What are acceptable maintenance windows for Lambda deployments and DynamoDB schema changes?</t>
        </is>
      </c>
      <c r="E7" s="38" t="inlineStr">
        <is>
          <t>Identify days/times when the platform can be taken offline for updates; serverless architecture minimises downtime but blue/green deployments must be planned</t>
        </is>
      </c>
      <c r="F7" s="39" t="n"/>
      <c r="G7" s="38" t="inlineStr">
        <is>
          <t>CI/CD pipeline design and change-management process</t>
        </is>
      </c>
    </row>
    <row r="8">
      <c r="A8" s="40" t="inlineStr">
        <is>
          <t>OPS-007</t>
        </is>
      </c>
      <c r="B8" s="40" t="inlineStr">
        <is>
          <t>Operations &amp; Support</t>
        </is>
      </c>
      <c r="C8" s="40" t="inlineStr">
        <is>
          <t>Backup &amp; Recovery</t>
        </is>
      </c>
      <c r="D8" s="40" t="inlineStr">
        <is>
          <t>What is the artifact retention policy — how long must completed solution packages be stored in S3?</t>
        </is>
      </c>
      <c r="E8" s="40" t="inlineStr">
        <is>
          <t>Define retention period (e.g., 90 days, 1 year, indefinite) and whether expired artifacts should be archived to S3 Glacier</t>
        </is>
      </c>
      <c r="F8" s="39" t="n"/>
      <c r="G8" s="40" t="inlineStr">
        <is>
          <t>S3 lifecycle policy design and storage cost projection</t>
        </is>
      </c>
    </row>
    <row r="9">
      <c r="A9" s="38" t="inlineStr">
        <is>
          <t>OPS-008</t>
        </is>
      </c>
      <c r="B9" s="38" t="inlineStr">
        <is>
          <t>Operations &amp; Support</t>
        </is>
      </c>
      <c r="C9" s="38" t="inlineStr">
        <is>
          <t>Capacity Planning</t>
        </is>
      </c>
      <c r="D9" s="38" t="inlineStr">
        <is>
          <t>How will per-user (10/month) and global (1000/month) quota limits be monitored and adjusted over time?</t>
        </is>
      </c>
      <c r="E9" s="38" t="inlineStr">
        <is>
          <t>Define the operational process for quota increases: self-service admin API, manual DynamoDB update, or automated scaling</t>
        </is>
      </c>
      <c r="F9" s="39" t="n"/>
      <c r="G9" s="38" t="inlineStr">
        <is>
          <t>Quota management runbook and admin tooling scope</t>
        </is>
      </c>
    </row>
    <row r="10">
      <c r="A10" s="40" t="inlineStr">
        <is>
          <t>OPS-009</t>
        </is>
      </c>
      <c r="B10" s="40" t="inlineStr">
        <is>
          <t>Operations &amp; Support</t>
        </is>
      </c>
      <c r="C10" s="40" t="inlineStr">
        <is>
          <t>Cost Management</t>
        </is>
      </c>
      <c r="D10" s="40" t="inlineStr">
        <is>
          <t>What AWS Cost Explorer tags or cost-allocation tags are required to track platform spend by team, project, or client?</t>
        </is>
      </c>
      <c r="E10" s="40" t="inlineStr">
        <is>
          <t>Identify tagging strategy for Lambda, S3, DynamoDB, Bedrock, and Cognito resources</t>
        </is>
      </c>
      <c r="F10" s="39" t="n"/>
      <c r="G10" s="40" t="inlineStr">
        <is>
          <t>Cost visibility and chargeback model; required if spend is allocated across multiple business units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7" t="inlineStr">
        <is>
          <t>Question ID</t>
        </is>
      </c>
      <c r="B1" s="37" t="inlineStr">
        <is>
          <t>Category</t>
        </is>
      </c>
      <c r="C1" s="37" t="inlineStr">
        <is>
          <t>Sub-Category</t>
        </is>
      </c>
      <c r="D1" s="37" t="inlineStr">
        <is>
          <t>Question</t>
        </is>
      </c>
      <c r="E1" s="37" t="inlineStr">
        <is>
          <t>Guidance</t>
        </is>
      </c>
      <c r="F1" s="37" t="inlineStr">
        <is>
          <t>Customer Response</t>
        </is>
      </c>
      <c r="G1" s="37" t="inlineStr">
        <is>
          <t>Notes</t>
        </is>
      </c>
    </row>
    <row r="2">
      <c r="A2" s="40" t="inlineStr">
        <is>
          <t>IMPL-001</t>
        </is>
      </c>
      <c r="B2" s="40" t="inlineStr">
        <is>
          <t>Implementation Planning</t>
        </is>
      </c>
      <c r="C2" s="40" t="inlineStr">
        <is>
          <t>Migration Approach</t>
        </is>
      </c>
      <c r="D2" s="40" t="inlineStr">
        <is>
          <t>Is this a greenfield deployment (no existing platform to migrate from) or does it need to coexist with the current manual Claude Code CLI process during a transition period?</t>
        </is>
      </c>
      <c r="E2" s="40" t="inlineStr">
        <is>
          <t>Confirm whether a parallel-run period is required and its minimum duration</t>
        </is>
      </c>
      <c r="F2" s="39" t="n"/>
      <c r="G2" s="40" t="inlineStr">
        <is>
          <t>If parallel run is needed, both old and new processes must be supported simultaneously, increasing Phase 2 scope</t>
        </is>
      </c>
    </row>
    <row r="3">
      <c r="A3" s="38" t="inlineStr">
        <is>
          <t>IMPL-002</t>
        </is>
      </c>
      <c r="B3" s="38" t="inlineStr">
        <is>
          <t>Implementation Planning</t>
        </is>
      </c>
      <c r="C3" s="38" t="inlineStr">
        <is>
          <t>Phase 1 Scope</t>
        </is>
      </c>
      <c r="D3" s="38" t="inlineStr">
        <is>
          <t>Confirm the Phase 1 deliverables (Weeks 1-4): Cognito, API Gateway, DynamoDB, S3, and baseline IAM — are there any additions or removals?</t>
        </is>
      </c>
      <c r="E3" s="38" t="inlineStr">
        <is>
          <t>Identify any pre-requisites not in the brief: AWS account creation, VPC setup, DNS, or certificate management</t>
        </is>
      </c>
      <c r="F3" s="39" t="n"/>
      <c r="G3" s="38" t="inlineStr">
        <is>
          <t>Phase 1 is the foundation; scope changes here cascade to Phase 2 and 3 timelines</t>
        </is>
      </c>
    </row>
    <row r="4">
      <c r="A4" s="40" t="inlineStr">
        <is>
          <t>IMPL-003</t>
        </is>
      </c>
      <c r="B4" s="40" t="inlineStr">
        <is>
          <t>Implementation Planning</t>
        </is>
      </c>
      <c r="C4" s="40" t="inlineStr">
        <is>
          <t>Phase 2 Scope</t>
        </is>
      </c>
      <c r="D4" s="40" t="inlineStr">
        <is>
          <t>Confirm Phase 2 deliverables (Weeks 5-9): Strands Agents, AgentCore Runtime registration, Docker image pipeline, eof-tools integration — are all five agents in scope?</t>
        </is>
      </c>
      <c r="E4" s="40" t="inlineStr">
        <is>
          <t>Identify which agents (Input Validator, Pre-Sales Generator, Delivery Generator, Code Generator, EO Validator) are required for the PoC demo vs. phased delivery</t>
        </is>
      </c>
      <c r="F4" s="39" t="n"/>
      <c r="G4" s="40" t="inlineStr">
        <is>
          <t>Agent count and complexity are the primary Phase 2 risk driver</t>
        </is>
      </c>
    </row>
    <row r="5">
      <c r="A5" s="38" t="inlineStr">
        <is>
          <t>IMPL-004</t>
        </is>
      </c>
      <c r="B5" s="38" t="inlineStr">
        <is>
          <t>Implementation Planning</t>
        </is>
      </c>
      <c r="C5" s="38" t="inlineStr">
        <is>
          <t>Resource Availability</t>
        </is>
      </c>
      <c r="D5" s="38" t="inlineStr">
        <is>
          <t>What internal Amatra/PREDICTif resources are available for this engagement — dedicated engineers, part-time SMEs, and executive sponsor time?</t>
        </is>
      </c>
      <c r="E5" s="38" t="inlineStr">
        <is>
          <t>Identify team roles: AWS architect, backend developer, DevOps/IaC engineer, QA lead, and project manager; confirm time commitment percentages</t>
        </is>
      </c>
      <c r="F5" s="39" t="n"/>
      <c r="G5" s="38" t="inlineStr">
        <is>
          <t>Resource availability is the primary schedule risk; confirm full-time vs. fractional allocation</t>
        </is>
      </c>
    </row>
    <row r="6">
      <c r="A6" s="40" t="inlineStr">
        <is>
          <t>IMPL-005</t>
        </is>
      </c>
      <c r="B6" s="40" t="inlineStr">
        <is>
          <t>Implementation Planning</t>
        </is>
      </c>
      <c r="C6" s="40" t="inlineStr">
        <is>
          <t>Resource Availability</t>
        </is>
      </c>
      <c r="D6" s="40" t="inlineStr">
        <is>
          <t>Does PREDICTif have AWS Advanced or Premier tier partnership with access to AWS ProServe or Partner Development resources?</t>
        </is>
      </c>
      <c r="E6" s="40" t="inlineStr">
        <is>
          <t>Confirm APN tier, available AWS credits (MAP, Partner Opportunity), and access to AWS Bedrock specialists</t>
        </is>
      </c>
      <c r="F6" s="39" t="n"/>
      <c r="G6" s="40" t="inlineStr">
        <is>
          <t>AWS partner resources could accelerate Bedrock and AgentCore Runtime integration in Phase 2</t>
        </is>
      </c>
    </row>
    <row r="7">
      <c r="A7" s="38" t="inlineStr">
        <is>
          <t>IMPL-006</t>
        </is>
      </c>
      <c r="B7" s="38" t="inlineStr">
        <is>
          <t>Implementation Planning</t>
        </is>
      </c>
      <c r="C7" s="38" t="inlineStr">
        <is>
          <t>Infrastructure as Code</t>
        </is>
      </c>
      <c r="D7" s="38" t="inlineStr">
        <is>
          <t>Is Terraform the mandated IaC tool for all platform infrastructure, or is AWS CDK or CloudFormation acceptable for specific components?</t>
        </is>
      </c>
      <c r="E7" s="38" t="inlineStr">
        <is>
          <t>Confirm IaC tooling standards; identify whether Terraform Cloud/Enterprise or open-source Terraform with S3 backend is used</t>
        </is>
      </c>
      <c r="F7" s="39" t="n"/>
      <c r="G7" s="38" t="inlineStr">
        <is>
          <t>Terraform state management design and `terraform validate` gate implementation</t>
        </is>
      </c>
    </row>
    <row r="8">
      <c r="A8" s="40" t="inlineStr">
        <is>
          <t>IMPL-007</t>
        </is>
      </c>
      <c r="B8" s="40" t="inlineStr">
        <is>
          <t>Implementation Planning</t>
        </is>
      </c>
      <c r="C8" s="40" t="inlineStr">
        <is>
          <t>CI/CD Pipeline</t>
        </is>
      </c>
      <c r="D8" s="40" t="inlineStr">
        <is>
          <t>What CI/CD platform is required — GitHub Actions, AWS CodePipeline, GitLab CI, or Jenkins?</t>
        </is>
      </c>
      <c r="E8" s="40" t="inlineStr">
        <is>
          <t>Confirm the pipeline tooling and branching strategy for infrastructure and application code</t>
        </is>
      </c>
      <c r="F8" s="39" t="n"/>
      <c r="G8" s="40" t="inlineStr">
        <is>
          <t>CI/CD pipeline design is a Phase 2 dependency for Docker image builds and Terraform deployments</t>
        </is>
      </c>
    </row>
    <row r="9">
      <c r="A9" s="38" t="inlineStr">
        <is>
          <t>IMPL-008</t>
        </is>
      </c>
      <c r="B9" s="38" t="inlineStr">
        <is>
          <t>Implementation Planning</t>
        </is>
      </c>
      <c r="C9" s="38" t="inlineStr">
        <is>
          <t>Testing &amp; UAT</t>
        </is>
      </c>
      <c r="D9" s="38" t="inlineStr">
        <is>
          <t>What is the User Acceptance Testing (UAT) plan for Phase 3 — which artifact types, how many test solutions, and who signs off?</t>
        </is>
      </c>
      <c r="E9" s="38" t="inlineStr">
        <is>
          <t>Define the 12-artifact green run criteria: all 5 presales artifacts, 6 delivery artifacts, and 1 automation bundle must pass format-check and LLM quality-check</t>
        </is>
      </c>
      <c r="F9" s="39" t="n"/>
      <c r="G9" s="38" t="inlineStr">
        <is>
          <t>Phase 3 acceptance gate; confirm sign-off authority (Marcus Patel, Daniel Park, or CTO)</t>
        </is>
      </c>
    </row>
    <row r="10">
      <c r="A10" s="40" t="inlineStr">
        <is>
          <t>IMPL-009</t>
        </is>
      </c>
      <c r="B10" s="40" t="inlineStr">
        <is>
          <t>Implementation Planning</t>
        </is>
      </c>
      <c r="C10" s="40" t="inlineStr">
        <is>
          <t>Training</t>
        </is>
      </c>
      <c r="D10" s="40" t="inlineStr">
        <is>
          <t>What training is required for Amatra consultants using the CLI and for administrators managing quotas and monitoring?</t>
        </is>
      </c>
      <c r="E10" s="40" t="inlineStr">
        <is>
          <t>Identify training format: live workshop, recorded video, runbook documentation, or hands-on lab</t>
        </is>
      </c>
      <c r="F10" s="39" t="n"/>
      <c r="G10" s="40" t="inlineStr">
        <is>
          <t>Training scope affects Phase 3 timeline and knowledge-transfer deliverables</t>
        </is>
      </c>
    </row>
    <row r="11">
      <c r="A11" s="38" t="inlineStr">
        <is>
          <t>IMPL-010</t>
        </is>
      </c>
      <c r="B11" s="38" t="inlineStr">
        <is>
          <t>Implementation Planning</t>
        </is>
      </c>
      <c r="C11" s="38" t="inlineStr">
        <is>
          <t>Go-Live Readiness</t>
        </is>
      </c>
      <c r="D11" s="38" t="inlineStr">
        <is>
          <t>What are the go-live readiness criteria for the April PoC demonstration — specific metrics, artifact types, or stakeholder sign-offs?</t>
        </is>
      </c>
      <c r="E11" s="38" t="inlineStr">
        <is>
          <t>Define the minimum viable demo: CLI auth flow, one full presales generation, one delivery generation, and one Terraform bundle with validate gate passing</t>
        </is>
      </c>
      <c r="F11" s="39" t="n"/>
      <c r="G11" s="38" t="inlineStr">
        <is>
          <t>Executive-sponsor demo script and acceptance criteria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7" t="inlineStr">
        <is>
          <t>Question ID</t>
        </is>
      </c>
      <c r="B1" s="37" t="inlineStr">
        <is>
          <t>Category</t>
        </is>
      </c>
      <c r="C1" s="37" t="inlineStr">
        <is>
          <t>Sub-Category</t>
        </is>
      </c>
      <c r="D1" s="37" t="inlineStr">
        <is>
          <t>Question</t>
        </is>
      </c>
      <c r="E1" s="37" t="inlineStr">
        <is>
          <t>Guidance</t>
        </is>
      </c>
      <c r="F1" s="37" t="inlineStr">
        <is>
          <t>Customer Response</t>
        </is>
      </c>
      <c r="G1" s="37" t="inlineStr">
        <is>
          <t>Notes</t>
        </is>
      </c>
    </row>
    <row r="2">
      <c r="A2" s="40" t="inlineStr">
        <is>
          <t>RISK-001</t>
        </is>
      </c>
      <c r="B2" s="40" t="inlineStr">
        <is>
          <t>Risk &amp; Constraints</t>
        </is>
      </c>
      <c r="C2" s="40" t="inlineStr">
        <is>
          <t>Project Risks</t>
        </is>
      </c>
      <c r="D2" s="40" t="inlineStr">
        <is>
          <t>What is the risk if Bedrock model access for Claude Sonnet 4.6 and Claude Haiku 4.5 is not approved in us-west-2 before Phase 2 begins?</t>
        </is>
      </c>
      <c r="E2" s="40" t="inlineStr">
        <is>
          <t>Identify the model access request process, approval lead time, and fallback model options if specific model IDs are unavailable</t>
        </is>
      </c>
      <c r="F2" s="39" t="n"/>
      <c r="G2" s="40" t="inlineStr">
        <is>
          <t>Model access approval is a hard dependency for Phase 2; a 2-4 week lead time could compress the Phase 2 window</t>
        </is>
      </c>
    </row>
    <row r="3">
      <c r="A3" s="38" t="inlineStr">
        <is>
          <t>RISK-002</t>
        </is>
      </c>
      <c r="B3" s="38" t="inlineStr">
        <is>
          <t>Risk &amp; Constraints</t>
        </is>
      </c>
      <c r="C3" s="38" t="inlineStr">
        <is>
          <t>Project Risks</t>
        </is>
      </c>
      <c r="D3" s="38" t="inlineStr">
        <is>
          <t>What is the contingency plan if AgentCore Runtime is not generally available or has breaking API changes before the PoC deadline?</t>
        </is>
      </c>
      <c r="E3" s="38" t="inlineStr">
        <is>
          <t>Identify fallback orchestration options: ECS-hosted Strands agents, Step Functions, or Lambda-direct invocation</t>
        </is>
      </c>
      <c r="F3" s="39" t="n"/>
      <c r="G3" s="38" t="inlineStr">
        <is>
          <t>AgentCore Runtime is a relatively new service; GA stability and regional availability should be confirmed early</t>
        </is>
      </c>
    </row>
    <row r="4">
      <c r="A4" s="40" t="inlineStr">
        <is>
          <t>RISK-003</t>
        </is>
      </c>
      <c r="B4" s="40" t="inlineStr">
        <is>
          <t>Risk &amp; Constraints</t>
        </is>
      </c>
      <c r="C4" s="40" t="inlineStr">
        <is>
          <t>Dependencies</t>
        </is>
      </c>
      <c r="D4" s="40" t="inlineStr">
        <is>
          <t>Are there external dependencies on AWS Professional Services, Anthropic support, or third-party Strands Agents documentation that could introduce delays?</t>
        </is>
      </c>
      <c r="E4" s="40" t="inlineStr">
        <is>
          <t>List all vendor or partner dependencies with expected response SLAs</t>
        </is>
      </c>
      <c r="F4" s="39" t="n"/>
      <c r="G4" s="40" t="inlineStr">
        <is>
          <t>Vendor dependency lead times should be mapped to the Phase 2 critical path</t>
        </is>
      </c>
    </row>
    <row r="5">
      <c r="A5" s="38" t="inlineStr">
        <is>
          <t>RISK-004</t>
        </is>
      </c>
      <c r="B5" s="38" t="inlineStr">
        <is>
          <t>Risk &amp; Constraints</t>
        </is>
      </c>
      <c r="C5" s="38" t="inlineStr">
        <is>
          <t>Constraints</t>
        </is>
      </c>
      <c r="D5" s="38" t="inlineStr">
        <is>
          <t>Are there any organisational constraints on open-source library usage within the platform (e.g., Strands Agents framework licensing)?</t>
        </is>
      </c>
      <c r="E5" s="38" t="inlineStr">
        <is>
          <t>Review open-source licence compliance requirements for Strands Agents, eof-tools, and any third-party Python dependencies in the container image</t>
        </is>
      </c>
      <c r="F5" s="39" t="n"/>
      <c r="G5" s="38" t="inlineStr">
        <is>
          <t>Licence risk could block deployment to production if legal review is required</t>
        </is>
      </c>
    </row>
    <row r="6">
      <c r="A6" s="40" t="inlineStr">
        <is>
          <t>RISK-005</t>
        </is>
      </c>
      <c r="B6" s="40" t="inlineStr">
        <is>
          <t>Risk &amp; Constraints</t>
        </is>
      </c>
      <c r="C6" s="40" t="inlineStr">
        <is>
          <t>Assumptions</t>
        </is>
      </c>
      <c r="D6" s="40" t="inlineStr">
        <is>
          <t>Confirm that the eof-tools converter library is production-ready for all 12 artifact types and does not require significant refactoring for containerised execution.</t>
        </is>
      </c>
      <c r="E6" s="40" t="inlineStr">
        <is>
          <t>Identify any known issues with eof-tools running in a headless Lambda/container environment (e.g., font rendering, LibreOffice dependencies for DOCX conversion)</t>
        </is>
      </c>
      <c r="F6" s="39" t="n"/>
      <c r="G6" s="40" t="inlineStr">
        <is>
          <t>eof-tools readiness is a critical Phase 2 assumption; undocumented dependencies (LibreOffice, fonts) in a container can cause significant rework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2026-06-04T17:27:38Z</dcterms:modified>
  <cp:lastModifiedBy>Kishan Siram</cp:lastModifiedBy>
</cp:coreProperties>
</file>