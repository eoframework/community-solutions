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Guidelines'!$A$2:$F$10</definedName>
    <definedName name="_xlnm._FilterDatabase" localSheetId="2" hidden="1">'Infrastructure Costs'!$A$2:$K$16</definedName>
    <definedName name="_xlnm._FilterDatabase" localSheetId="3" hidden="1">'Credits'!$A$2:$D$10</definedName>
    <definedName name="_xlnm._FilterDatabase" localSheetId="4" hidden="1">'3-Year Summary'!$A$2:$G$9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9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 wrapText="1" indent="1"/>
    </xf>
    <xf numFmtId="0" fontId="16" fillId="4" borderId="5" applyAlignment="1" pivotButton="0" quotePrefix="0" xfId="0">
      <alignment horizontal="left" vertical="center" wrapText="1" indent="1"/>
    </xf>
    <xf numFmtId="3" fontId="16" fillId="4" borderId="5" applyAlignment="1" pivotButton="0" quotePrefix="0" xfId="0">
      <alignment horizontal="right" vertical="center" wrapText="1"/>
    </xf>
    <xf numFmtId="165" fontId="16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left" vertical="center" wrapText="1" indent="1"/>
    </xf>
    <xf numFmtId="3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0" fontId="18" fillId="5" borderId="5" applyAlignment="1" pivotButton="0" quotePrefix="0" xfId="0">
      <alignment horizontal="left" vertical="center"/>
    </xf>
    <xf numFmtId="0" fontId="18" fillId="5" borderId="5" applyAlignment="1" pivotButton="0" quotePrefix="0" xfId="0">
      <alignment horizontal="center" vertical="center"/>
    </xf>
    <xf numFmtId="165" fontId="18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Infrastructure Costs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04, 2026</t>
        </is>
      </c>
    </row>
    <row r="6" ht="18" customHeight="1">
      <c r="B6" s="2" t="inlineStr">
        <is>
          <t>Solution:</t>
        </is>
      </c>
      <c r="C6" s="3" t="inlineStr">
        <is>
          <t>Tmpwj0_95K9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4" t="inlineStr">
        <is>
          <t>Sizing Guidelines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Small</t>
        </is>
      </c>
      <c r="D2" s="35" t="inlineStr">
        <is>
          <t>Medium</t>
        </is>
      </c>
      <c r="E2" s="35" t="inlineStr">
        <is>
          <t>Large</t>
        </is>
      </c>
      <c r="F2" s="35" t="inlineStr">
        <is>
          <t>Notes</t>
        </is>
      </c>
    </row>
    <row r="3" ht="26" customHeight="1">
      <c r="A3" s="36" t="inlineStr">
        <is>
          <t>Cloud Services</t>
        </is>
      </c>
      <c r="B3" s="37" t="inlineStr">
        <is>
          <t>Solutions per Month</t>
        </is>
      </c>
      <c r="C3" s="38" t="inlineStr">
        <is>
          <t>&lt;50 solutions</t>
        </is>
      </c>
      <c r="D3" s="38" t="inlineStr">
        <is>
          <t>50-200 solutions</t>
        </is>
      </c>
      <c r="E3" s="38" t="inlineStr">
        <is>
          <t>&gt;200 solutions</t>
        </is>
      </c>
      <c r="F3" s="37" t="inlineStr">
        <is>
          <t>Monthly EO Framework solution packages generated</t>
        </is>
      </c>
    </row>
    <row r="4" ht="26" customHeight="1">
      <c r="A4" s="39" t="inlineStr">
        <is>
          <t>Cloud Services</t>
        </is>
      </c>
      <c r="B4" s="40" t="inlineStr">
        <is>
          <t>Bedrock Token Volume</t>
        </is>
      </c>
      <c r="C4" s="41" t="inlineStr">
        <is>
          <t>&lt;5M tokens/mo</t>
        </is>
      </c>
      <c r="D4" s="41" t="inlineStr">
        <is>
          <t>5M-20M tokens/mo</t>
        </is>
      </c>
      <c r="E4" s="41" t="inlineStr">
        <is>
          <t>&gt;20M tokens/mo</t>
        </is>
      </c>
      <c r="F4" s="40" t="inlineStr">
        <is>
          <t>Aggregate Claude Sonnet + Haiku token consumption</t>
        </is>
      </c>
    </row>
    <row r="5" ht="26" customHeight="1">
      <c r="A5" s="36" t="inlineStr">
        <is>
          <t>Cloud Services</t>
        </is>
      </c>
      <c r="B5" s="37" t="inlineStr">
        <is>
          <t>Concurrent Agents</t>
        </is>
      </c>
      <c r="C5" s="38" t="inlineStr">
        <is>
          <t>1-5 agents</t>
        </is>
      </c>
      <c r="D5" s="38" t="inlineStr">
        <is>
          <t>5-15 agents</t>
        </is>
      </c>
      <c r="E5" s="38" t="inlineStr">
        <is>
          <t>15+ agents</t>
        </is>
      </c>
      <c r="F5" s="37" t="inlineStr">
        <is>
          <t>AgentCore Runtime concurrent agent executions</t>
        </is>
      </c>
    </row>
    <row r="6" ht="26" customHeight="1">
      <c r="A6" s="39" t="inlineStr">
        <is>
          <t>Cloud Services</t>
        </is>
      </c>
      <c r="B6" s="40" t="inlineStr">
        <is>
          <t>Artifacts per Solution</t>
        </is>
      </c>
      <c r="C6" s="41" t="inlineStr">
        <is>
          <t>3-5 artifacts</t>
        </is>
      </c>
      <c r="D6" s="41" t="inlineStr">
        <is>
          <t>6-9 artifacts</t>
        </is>
      </c>
      <c r="E6" s="41" t="inlineStr">
        <is>
          <t>10-12 artifacts</t>
        </is>
      </c>
      <c r="F6" s="40" t="inlineStr">
        <is>
          <t>Presales + delivery + automation artifacts</t>
        </is>
      </c>
    </row>
    <row r="7" ht="26" customHeight="1">
      <c r="A7" s="36" t="inlineStr">
        <is>
          <t>Cloud Services</t>
        </is>
      </c>
      <c r="B7" s="37" t="inlineStr">
        <is>
          <t>S3 Storage Volume</t>
        </is>
      </c>
      <c r="C7" s="38" t="inlineStr">
        <is>
          <t>&lt;100 GB</t>
        </is>
      </c>
      <c r="D7" s="38" t="inlineStr">
        <is>
          <t>100-500 GB</t>
        </is>
      </c>
      <c r="E7" s="38" t="inlineStr">
        <is>
          <t>&gt;500 GB</t>
        </is>
      </c>
      <c r="F7" s="37" t="inlineStr">
        <is>
          <t>Raw and converted artifact storage</t>
        </is>
      </c>
    </row>
    <row r="8" ht="26" customHeight="1">
      <c r="A8" s="39" t="inlineStr">
        <is>
          <t>Software Licenses</t>
        </is>
      </c>
      <c r="B8" s="40" t="inlineStr">
        <is>
          <t>Cognito MAUs</t>
        </is>
      </c>
      <c r="C8" s="41" t="inlineStr">
        <is>
          <t>&lt;200 MAUs</t>
        </is>
      </c>
      <c r="D8" s="41" t="inlineStr">
        <is>
          <t>200-1000 MAUs</t>
        </is>
      </c>
      <c r="E8" s="41" t="inlineStr">
        <is>
          <t>&gt;1000 MAUs</t>
        </is>
      </c>
      <c r="F8" s="40" t="inlineStr">
        <is>
          <t>Monthly active users (consultants accessing platform)</t>
        </is>
      </c>
    </row>
    <row r="9" ht="26" customHeight="1">
      <c r="A9" s="36" t="inlineStr">
        <is>
          <t>Support &amp; Maintenance</t>
        </is>
      </c>
      <c r="B9" s="37" t="inlineStr">
        <is>
          <t>Support Level</t>
        </is>
      </c>
      <c r="C9" s="38" t="inlineStr">
        <is>
          <t>Developer</t>
        </is>
      </c>
      <c r="D9" s="38" t="inlineStr">
        <is>
          <t>Business</t>
        </is>
      </c>
      <c r="E9" s="38" t="inlineStr">
        <is>
          <t>Enterprise</t>
        </is>
      </c>
      <c r="F9" s="37" t="inlineStr">
        <is>
          <t>AWS support tier based on criticality</t>
        </is>
      </c>
    </row>
    <row r="10" ht="26" customHeight="1">
      <c r="A10" s="39" t="inlineStr">
        <is>
          <t>Connectivity</t>
        </is>
      </c>
      <c r="B10" s="40" t="inlineStr">
        <is>
          <t>API Request Volume</t>
        </is>
      </c>
      <c r="C10" s="41" t="inlineStr">
        <is>
          <t>&lt;100K req/mo</t>
        </is>
      </c>
      <c r="D10" s="41" t="inlineStr">
        <is>
          <t>100K-500K req/mo</t>
        </is>
      </c>
      <c r="E10" s="41" t="inlineStr">
        <is>
          <t>&gt;500K req/mo</t>
        </is>
      </c>
      <c r="F10" s="40" t="inlineStr">
        <is>
          <t>API Gateway HTTP API v2 request throughput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4" t="inlineStr">
        <is>
          <t>Infrastructure Costs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Description</t>
        </is>
      </c>
      <c r="D2" s="35" t="inlineStr">
        <is>
          <t>Quantity</t>
        </is>
      </c>
      <c r="E2" s="35" t="inlineStr">
        <is>
          <t>Unit</t>
        </is>
      </c>
      <c r="F2" s="35" t="inlineStr">
        <is>
          <t>Unit Price</t>
        </is>
      </c>
      <c r="G2" s="35" t="inlineStr">
        <is>
          <t>Annual Cost</t>
        </is>
      </c>
      <c r="H2" s="35" t="inlineStr">
        <is>
          <t>Year 2</t>
        </is>
      </c>
      <c r="I2" s="35" t="inlineStr">
        <is>
          <t>Year 3</t>
        </is>
      </c>
      <c r="J2" s="35" t="inlineStr">
        <is>
          <t>3-Year Total</t>
        </is>
      </c>
      <c r="K2" s="35" t="inlineStr">
        <is>
          <t>Notes</t>
        </is>
      </c>
    </row>
    <row r="3" ht="26" customHeight="1">
      <c r="A3" s="42" t="inlineStr">
        <is>
          <t>Cloud Services</t>
        </is>
      </c>
      <c r="B3" s="43" t="inlineStr">
        <is>
          <t>Amazon Bedrock (Sonnet)</t>
        </is>
      </c>
      <c r="C3" s="43" t="inlineStr">
        <is>
          <t>Claude Sonnet 4.6 for primary artifact generation (~200 solutions/mo)</t>
        </is>
      </c>
      <c r="D3" s="44" t="n">
        <v>1500</v>
      </c>
      <c r="E3" s="43" t="inlineStr">
        <is>
          <t>Tokens-K/Month</t>
        </is>
      </c>
      <c r="F3" s="45" t="n">
        <v>1</v>
      </c>
      <c r="G3" s="45" t="n">
        <v>18000</v>
      </c>
      <c r="H3" s="44" t="n">
        <v>21600</v>
      </c>
      <c r="I3" s="44" t="n">
        <v>25920</v>
      </c>
      <c r="J3" s="44" t="n">
        <v>65520</v>
      </c>
      <c r="K3" s="43" t="inlineStr">
        <is>
          <t>Primary generation model; 20% YoY growth as solution volume scales</t>
        </is>
      </c>
    </row>
    <row r="4" ht="26" customHeight="1">
      <c r="A4" s="46" t="inlineStr">
        <is>
          <t>Cloud Services</t>
        </is>
      </c>
      <c r="B4" s="47" t="inlineStr">
        <is>
          <t>Amazon Bedrock (Haiku)</t>
        </is>
      </c>
      <c r="C4" s="47" t="inlineStr">
        <is>
          <t>Claude Haiku 4.5 for validation passes and format checks (~200 solutions/mo)</t>
        </is>
      </c>
      <c r="D4" s="48" t="n">
        <v>150</v>
      </c>
      <c r="E4" s="47" t="inlineStr">
        <is>
          <t>Tokens-K/Month</t>
        </is>
      </c>
      <c r="F4" s="49" t="n">
        <v>1</v>
      </c>
      <c r="G4" s="49" t="n">
        <v>1800</v>
      </c>
      <c r="H4" s="48" t="n">
        <v>2160</v>
      </c>
      <c r="I4" s="48" t="n">
        <v>2592</v>
      </c>
      <c r="J4" s="48" t="n">
        <v>6552</v>
      </c>
      <c r="K4" s="47" t="inlineStr">
        <is>
          <t>Cost-efficient validation model; 20% YoY growth</t>
        </is>
      </c>
    </row>
    <row r="5" ht="26" customHeight="1">
      <c r="A5" s="42" t="inlineStr">
        <is>
          <t>Cloud Services</t>
        </is>
      </c>
      <c r="B5" s="43" t="inlineStr">
        <is>
          <t>AgentCore Runtime</t>
        </is>
      </c>
      <c r="C5" s="43" t="inlineStr">
        <is>
          <t>Bedrock AgentCore Runtime hosting for 5 agents (Input Validator + Pre-Sales + Delivery + Code + EO Validator)</t>
        </is>
      </c>
      <c r="D5" s="44" t="n">
        <v>800</v>
      </c>
      <c r="E5" s="43" t="inlineStr">
        <is>
          <t>Service/Month</t>
        </is>
      </c>
      <c r="F5" s="45" t="n">
        <v>1</v>
      </c>
      <c r="G5" s="45" t="n">
        <v>9600</v>
      </c>
      <c r="H5" s="44" t="n">
        <v>9600</v>
      </c>
      <c r="I5" s="44" t="n">
        <v>9600</v>
      </c>
      <c r="J5" s="44" t="n">
        <v>28800</v>
      </c>
      <c r="K5" s="43" t="inlineStr">
        <is>
          <t>Serverless agent hosting; flat rate at steady-state 200 solutions/mo</t>
        </is>
      </c>
    </row>
    <row r="6" ht="26" customHeight="1">
      <c r="A6" s="46" t="inlineStr">
        <is>
          <t>Cloud Services</t>
        </is>
      </c>
      <c r="B6" s="47" t="inlineStr">
        <is>
          <t>API Gateway HTTP API</t>
        </is>
      </c>
      <c r="C6" s="47" t="inlineStr">
        <is>
          <t>HTTP API v2 with 11 Lambda routes (~50K requests/month)</t>
        </is>
      </c>
      <c r="D6" s="48" t="n">
        <v>18</v>
      </c>
      <c r="E6" s="47" t="inlineStr">
        <is>
          <t>Service/Month</t>
        </is>
      </c>
      <c r="F6" s="49" t="n">
        <v>1</v>
      </c>
      <c r="G6" s="49" t="n">
        <v>216</v>
      </c>
      <c r="H6" s="48" t="n">
        <v>216</v>
      </c>
      <c r="I6" s="48" t="n">
        <v>216</v>
      </c>
      <c r="J6" s="48" t="n">
        <v>648</v>
      </c>
      <c r="K6" s="47" t="inlineStr">
        <is>
          <t>JWT-authorised API surface for CLI and web consumers</t>
        </is>
      </c>
    </row>
    <row r="7" ht="26" customHeight="1">
      <c r="A7" s="42" t="inlineStr">
        <is>
          <t>Cloud Services</t>
        </is>
      </c>
      <c r="B7" s="43" t="inlineStr">
        <is>
          <t>AWS Lambda</t>
        </is>
      </c>
      <c r="C7" s="43" t="inlineStr">
        <is>
          <t>11 Lambda functions (API routes + post-confirmation Cognito trigger + converter invocations)</t>
        </is>
      </c>
      <c r="D7" s="44" t="n">
        <v>2.2</v>
      </c>
      <c r="E7" s="43" t="inlineStr">
        <is>
          <t>Service/Month</t>
        </is>
      </c>
      <c r="F7" s="45" t="n">
        <v>1</v>
      </c>
      <c r="G7" s="45" t="n">
        <v>26.4</v>
      </c>
      <c r="H7" s="44" t="n">
        <v>26.4</v>
      </c>
      <c r="I7" s="44" t="n">
        <v>26.4</v>
      </c>
      <c r="J7" s="44" t="n">
        <v>79.2</v>
      </c>
      <c r="K7" s="43" t="inlineStr">
        <is>
          <t>Lambda, Cognito trigger, and converter pipeline functions</t>
        </is>
      </c>
    </row>
    <row r="8" ht="26" customHeight="1">
      <c r="A8" s="46" t="inlineStr">
        <is>
          <t>Cloud Services</t>
        </is>
      </c>
      <c r="B8" s="47" t="inlineStr">
        <is>
          <t>Amazon DynamoDB</t>
        </is>
      </c>
      <c r="C8" s="47" t="inlineStr">
        <is>
          <t>On-demand capacity for solution metadata + user profiles + quota enforcement tables</t>
        </is>
      </c>
      <c r="D8" s="48" t="n">
        <v>25</v>
      </c>
      <c r="E8" s="47" t="inlineStr">
        <is>
          <t>Service/Month</t>
        </is>
      </c>
      <c r="F8" s="49" t="n">
        <v>1</v>
      </c>
      <c r="G8" s="49" t="n">
        <v>300</v>
      </c>
      <c r="H8" s="48" t="n">
        <v>300</v>
      </c>
      <c r="I8" s="48" t="n">
        <v>300</v>
      </c>
      <c r="J8" s="48" t="n">
        <v>900</v>
      </c>
      <c r="K8" s="47" t="inlineStr">
        <is>
          <t>Per-user monthly quota (10 solutions) and global pool (1000/mo) enforced atomically</t>
        </is>
      </c>
    </row>
    <row r="9" ht="26" customHeight="1">
      <c r="A9" s="42" t="inlineStr">
        <is>
          <t>Cloud Services</t>
        </is>
      </c>
      <c r="B9" s="43" t="inlineStr">
        <is>
          <t>Amazon S3</t>
        </is>
      </c>
      <c r="C9" s="43" t="inlineStr">
        <is>
          <t>Artifact object storage — raw MD/CSV + converted DOCX/PPTX/XLSX + Terraform bundles</t>
        </is>
      </c>
      <c r="D9" s="44" t="n">
        <v>11.5</v>
      </c>
      <c r="E9" s="43" t="inlineStr">
        <is>
          <t>GB/Month</t>
        </is>
      </c>
      <c r="F9" s="45" t="n">
        <v>1</v>
      </c>
      <c r="G9" s="45" t="n">
        <v>138</v>
      </c>
      <c r="H9" s="44" t="n">
        <v>138</v>
      </c>
      <c r="I9" s="44" t="n">
        <v>138</v>
      </c>
      <c r="J9" s="44" t="n">
        <v>414</v>
      </c>
      <c r="K9" s="43" t="inlineStr">
        <is>
          <t>500 GB estimated; 12 artifacts per solution at ~200 solutions/mo</t>
        </is>
      </c>
    </row>
    <row r="10" ht="26" customHeight="1">
      <c r="A10" s="46" t="inlineStr">
        <is>
          <t>Cloud Services</t>
        </is>
      </c>
      <c r="B10" s="47" t="inlineStr">
        <is>
          <t>Amazon Cognito</t>
        </is>
      </c>
      <c r="C10" s="47" t="inlineStr">
        <is>
          <t>User Pools for 120 consultant MAUs with 30-day refresh tokens</t>
        </is>
      </c>
      <c r="D10" s="48" t="n">
        <v>10</v>
      </c>
      <c r="E10" s="47" t="inlineStr">
        <is>
          <t>Service/Month</t>
        </is>
      </c>
      <c r="F10" s="49" t="n">
        <v>1</v>
      </c>
      <c r="G10" s="49" t="n">
        <v>120</v>
      </c>
      <c r="H10" s="48" t="n">
        <v>120</v>
      </c>
      <c r="I10" s="48" t="n">
        <v>120</v>
      </c>
      <c r="J10" s="48" t="n">
        <v>360</v>
      </c>
      <c r="K10" s="47" t="inlineStr">
        <is>
          <t>Post-confirmation Lambda trigger writes user profiles to DynamoDB</t>
        </is>
      </c>
    </row>
    <row r="11" ht="26" customHeight="1">
      <c r="A11" s="42" t="inlineStr">
        <is>
          <t>Cloud Services</t>
        </is>
      </c>
      <c r="B11" s="43" t="inlineStr">
        <is>
          <t>Amazon CloudWatch</t>
        </is>
      </c>
      <c r="C11" s="43" t="inlineStr">
        <is>
          <t>Logs + metrics + dashboards for per-phase token usage and pipeline observability</t>
        </is>
      </c>
      <c r="D11" s="44" t="n">
        <v>200</v>
      </c>
      <c r="E11" s="43" t="inlineStr">
        <is>
          <t>Service/Month</t>
        </is>
      </c>
      <c r="F11" s="45" t="n">
        <v>1</v>
      </c>
      <c r="G11" s="45" t="n">
        <v>2400</v>
      </c>
      <c r="H11" s="44" t="n">
        <v>2400</v>
      </c>
      <c r="I11" s="44" t="n">
        <v>2400</v>
      </c>
      <c r="J11" s="44" t="n">
        <v>7200</v>
      </c>
      <c r="K11" s="43" t="inlineStr">
        <is>
          <t>Per-artifact validation metrics and admin usage endpoint telemetry</t>
        </is>
      </c>
    </row>
    <row r="12" ht="26" customHeight="1">
      <c r="A12" s="46" t="inlineStr">
        <is>
          <t>Cloud Services</t>
        </is>
      </c>
      <c r="B12" s="47" t="inlineStr">
        <is>
          <t>Amazon ECR</t>
        </is>
      </c>
      <c r="C12" s="47" t="inlineStr">
        <is>
          <t>Container registry for eof-tools agent Docker images (~50 GB repository)</t>
        </is>
      </c>
      <c r="D12" s="48" t="n">
        <v>5</v>
      </c>
      <c r="E12" s="47" t="inlineStr">
        <is>
          <t>GB/Month</t>
        </is>
      </c>
      <c r="F12" s="49" t="n">
        <v>1</v>
      </c>
      <c r="G12" s="49" t="n">
        <v>60</v>
      </c>
      <c r="H12" s="48" t="n">
        <v>60</v>
      </c>
      <c r="I12" s="48" t="n">
        <v>60</v>
      </c>
      <c r="J12" s="48" t="n">
        <v>180</v>
      </c>
      <c r="K12" s="47" t="inlineStr">
        <is>
          <t>Agent container images baked with eof-tools converter library (~30 Python modules)</t>
        </is>
      </c>
    </row>
    <row r="13" ht="26" customHeight="1">
      <c r="A13" s="42" t="inlineStr">
        <is>
          <t>Cloud Services</t>
        </is>
      </c>
      <c r="B13" s="43" t="inlineStr">
        <is>
          <t>AWS CodeBuild</t>
        </is>
      </c>
      <c r="C13" s="43" t="inlineStr">
        <is>
          <t>Docker image build pipeline for agent container images</t>
        </is>
      </c>
      <c r="D13" s="44" t="n">
        <v>50</v>
      </c>
      <c r="E13" s="43" t="inlineStr">
        <is>
          <t>Service/Month</t>
        </is>
      </c>
      <c r="F13" s="45" t="n">
        <v>1</v>
      </c>
      <c r="G13" s="45" t="n">
        <v>600</v>
      </c>
      <c r="H13" s="44" t="n">
        <v>600</v>
      </c>
      <c r="I13" s="44" t="n">
        <v>600</v>
      </c>
      <c r="J13" s="44" t="n">
        <v>1800</v>
      </c>
      <c r="K13" s="43" t="inlineStr">
        <is>
          <t>Builds and pushes agent images to ECR on release</t>
        </is>
      </c>
    </row>
    <row r="14" ht="26" customHeight="1">
      <c r="A14" s="46" t="inlineStr">
        <is>
          <t>Cloud Services</t>
        </is>
      </c>
      <c r="B14" s="47" t="inlineStr">
        <is>
          <t>AWS Secrets Manager</t>
        </is>
      </c>
      <c r="C14" s="47" t="inlineStr">
        <is>
          <t>Secrets storage for GitHub PAT + Cognito client secrets + API keys (10 secrets)</t>
        </is>
      </c>
      <c r="D14" s="48" t="n">
        <v>4</v>
      </c>
      <c r="E14" s="47" t="inlineStr">
        <is>
          <t>Service/Month</t>
        </is>
      </c>
      <c r="F14" s="49" t="n">
        <v>1</v>
      </c>
      <c r="G14" s="49" t="n">
        <v>48</v>
      </c>
      <c r="H14" s="48" t="n">
        <v>48</v>
      </c>
      <c r="I14" s="48" t="n">
        <v>48</v>
      </c>
      <c r="J14" s="48" t="n">
        <v>144</v>
      </c>
      <c r="K14" s="47" t="inlineStr">
        <is>
          <t>GitHub personal access token + JWT signing keys securely stored</t>
        </is>
      </c>
    </row>
    <row r="15" ht="26" customHeight="1">
      <c r="A15" s="42" t="inlineStr">
        <is>
          <t>Support &amp; Maintenance</t>
        </is>
      </c>
      <c r="B15" s="43" t="inlineStr">
        <is>
          <t>AWS Business Support</t>
        </is>
      </c>
      <c r="C15" s="43" t="inlineStr">
        <is>
          <t>AWS Business Support — 24x7 access + &lt;1hr critical response SLA</t>
        </is>
      </c>
      <c r="D15" s="44" t="n">
        <v>500</v>
      </c>
      <c r="E15" s="43" t="inlineStr">
        <is>
          <t>Service/Month</t>
        </is>
      </c>
      <c r="F15" s="45" t="n">
        <v>1</v>
      </c>
      <c r="G15" s="45" t="n">
        <v>6000</v>
      </c>
      <c r="H15" s="44" t="n">
        <v>6000</v>
      </c>
      <c r="I15" s="44" t="n">
        <v>6000</v>
      </c>
      <c r="J15" s="44" t="n">
        <v>18000</v>
      </c>
      <c r="K15" s="43" t="inlineStr">
        <is>
          <t>Required for production platform; covers all AWS services in us-west-2</t>
        </is>
      </c>
    </row>
    <row r="16" ht="26" customHeight="1">
      <c r="A16" s="50" t="inlineStr">
        <is>
          <t>TOTAL</t>
        </is>
      </c>
      <c r="B16" s="51" t="n"/>
      <c r="C16" s="51" t="n"/>
      <c r="D16" s="51" t="n"/>
      <c r="E16" s="51" t="n"/>
      <c r="F16" s="51" t="n"/>
      <c r="G16" s="52">
        <f>SUM(G3:G15)</f>
        <v/>
      </c>
      <c r="H16" s="52">
        <f>SUM(H3:H15)</f>
        <v/>
      </c>
      <c r="I16" s="52">
        <f>SUM(I3:I15)</f>
        <v/>
      </c>
      <c r="J16" s="52">
        <f>SUM(J3:J15)</f>
        <v/>
      </c>
      <c r="K16" s="51" t="n"/>
    </row>
  </sheetData>
  <autoFilter ref="A2:K16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Category</t>
        </is>
      </c>
      <c r="B2" s="35" t="inlineStr">
        <is>
          <t>Credit Type</t>
        </is>
      </c>
      <c r="C2" s="35" t="inlineStr">
        <is>
          <t>Credit Amount</t>
        </is>
      </c>
      <c r="D2" s="35" t="inlineStr">
        <is>
          <t>Credit Comments</t>
        </is>
      </c>
    </row>
    <row r="3" ht="26" customHeight="1">
      <c r="A3" s="42" t="inlineStr">
        <is>
          <t>Hardware</t>
        </is>
      </c>
      <c r="B3" s="43" t="inlineStr">
        <is>
          <t>Equipment Credit</t>
        </is>
      </c>
      <c r="C3" s="45" t="n">
        <v>0</v>
      </c>
      <c r="D3" s="43" t="inlineStr">
        <is>
          <t>No hardware credits — cloud-only solution with no physical infrastructure</t>
        </is>
      </c>
    </row>
    <row r="4" ht="26" customHeight="1">
      <c r="A4" s="46" t="inlineStr">
        <is>
          <t>Cloud Services</t>
        </is>
      </c>
      <c r="B4" s="47" t="inlineStr">
        <is>
          <t>AWS Activate Credit</t>
        </is>
      </c>
      <c r="C4" s="49" t="n">
        <v>-5000</v>
      </c>
      <c r="D4" s="47" t="inlineStr">
        <is>
          <t>AWS Activate or Solutions Partner program credit applicable against Bedrock and compute spend in Year 1</t>
        </is>
      </c>
    </row>
    <row r="5" ht="26" customHeight="1">
      <c r="A5" s="42" t="inlineStr">
        <is>
          <t>Cloud Services</t>
        </is>
      </c>
      <c r="B5" s="43" t="inlineStr">
        <is>
          <t>AWS MAP Credit</t>
        </is>
      </c>
      <c r="C5" s="45" t="n">
        <v>0</v>
      </c>
      <c r="D5" s="43" t="inlineStr">
        <is>
          <t>Migration Acceleration Program not applicable — greenfield build engagement</t>
        </is>
      </c>
    </row>
    <row r="6" ht="26" customHeight="1">
      <c r="A6" s="46" t="inlineStr">
        <is>
          <t>Cloud Services</t>
        </is>
      </c>
      <c r="B6" s="47" t="inlineStr">
        <is>
          <t>Reserved Instance Savings</t>
        </is>
      </c>
      <c r="C6" s="49" t="n">
        <v>0</v>
      </c>
      <c r="D6" s="47" t="inlineStr">
        <is>
          <t>No Reserved Instances — serverless and on-demand architecture; savings reflected in AgentCore flat-rate pricing</t>
        </is>
      </c>
    </row>
    <row r="7" ht="26" customHeight="1">
      <c r="A7" s="42" t="inlineStr">
        <is>
          <t>Software Licenses</t>
        </is>
      </c>
      <c r="B7" s="43" t="inlineStr">
        <is>
          <t>Partner Tool Credit</t>
        </is>
      </c>
      <c r="C7" s="45" t="n">
        <v>0</v>
      </c>
      <c r="D7" s="43" t="inlineStr">
        <is>
          <t>No third-party SaaS tool credits applicable at this time</t>
        </is>
      </c>
    </row>
    <row r="8" ht="26" customHeight="1">
      <c r="A8" s="46" t="inlineStr">
        <is>
          <t>Connectivity</t>
        </is>
      </c>
      <c r="B8" s="47" t="inlineStr">
        <is>
          <t>Network Credit</t>
        </is>
      </c>
      <c r="C8" s="49" t="n">
        <v>0</v>
      </c>
      <c r="D8" s="47" t="inlineStr">
        <is>
          <t>No connectivity circuit credits — API Gateway egress costs minimal</t>
        </is>
      </c>
    </row>
    <row r="9" ht="26" customHeight="1">
      <c r="A9" s="42" t="inlineStr">
        <is>
          <t>Support &amp; Maintenance</t>
        </is>
      </c>
      <c r="B9" s="43" t="inlineStr">
        <is>
          <t>Program Credit</t>
        </is>
      </c>
      <c r="C9" s="45" t="n">
        <v>0</v>
      </c>
      <c r="D9" s="43" t="inlineStr">
        <is>
          <t>No support credits — standard Business Support plan pricing</t>
        </is>
      </c>
    </row>
    <row r="10" ht="26" customHeight="1">
      <c r="A10" s="46" t="inlineStr">
        <is>
          <t>Facilities</t>
        </is>
      </c>
      <c r="B10" s="47" t="inlineStr">
        <is>
          <t>Facilities Credit</t>
        </is>
      </c>
      <c r="C10" s="49" t="n">
        <v>0</v>
      </c>
      <c r="D10" s="47" t="inlineStr">
        <is>
          <t>No facilities costs — fully cloud-native deployment in us-west-2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4" t="inlineStr">
        <is>
          <t>3-Year Summary</t>
        </is>
      </c>
    </row>
    <row r="2" ht="32" customHeight="1">
      <c r="A2" s="35" t="inlineStr">
        <is>
          <t>Category</t>
        </is>
      </c>
      <c r="B2" s="35" t="inlineStr">
        <is>
          <t>Year 1 List</t>
        </is>
      </c>
      <c r="C2" s="35" t="inlineStr">
        <is>
          <t>Year 1 Credits</t>
        </is>
      </c>
      <c r="D2" s="35" t="inlineStr">
        <is>
          <t>Year 1 Net</t>
        </is>
      </c>
      <c r="E2" s="35" t="inlineStr">
        <is>
          <t>Year 2</t>
        </is>
      </c>
      <c r="F2" s="35" t="inlineStr">
        <is>
          <t>Year 3</t>
        </is>
      </c>
      <c r="G2" s="35" t="inlineStr">
        <is>
          <t>3-Year Total</t>
        </is>
      </c>
    </row>
    <row r="3" ht="26" customHeight="1">
      <c r="A3" s="42" t="inlineStr">
        <is>
          <t>Hardware</t>
        </is>
      </c>
      <c r="B3" s="45">
        <f>SUMIF('Infrastructure Costs'!$A:$A,A3,'Infrastructure Costs'!$G:$G)</f>
        <v/>
      </c>
      <c r="C3" s="45">
        <f>SUMIF(Credits!$A:$A,A3,Credits!$C:$C)</f>
        <v/>
      </c>
      <c r="D3" s="45">
        <f>B3+C3</f>
        <v/>
      </c>
      <c r="E3" s="45">
        <f>SUMIF('Infrastructure Costs'!$A:$A,A3,'Infrastructure Costs'!$H:$H)</f>
        <v/>
      </c>
      <c r="F3" s="45">
        <f>SUMIF('Infrastructure Costs'!$A:$A,A3,'Infrastructure Costs'!$I:$I)</f>
        <v/>
      </c>
      <c r="G3" s="45">
        <f>D3+E3+F3</f>
        <v/>
      </c>
    </row>
    <row r="4" ht="26" customHeight="1">
      <c r="A4" s="46" t="inlineStr">
        <is>
          <t>Cloud Services</t>
        </is>
      </c>
      <c r="B4" s="49">
        <f>SUMIF('Infrastructure Costs'!$A:$A,A4,'Infrastructure Costs'!$G:$G)</f>
        <v/>
      </c>
      <c r="C4" s="49">
        <f>SUMIF(Credits!$A:$A,A4,Credits!$C:$C)</f>
        <v/>
      </c>
      <c r="D4" s="49">
        <f>B4+C4</f>
        <v/>
      </c>
      <c r="E4" s="49">
        <f>SUMIF('Infrastructure Costs'!$A:$A,A4,'Infrastructure Costs'!$H:$H)</f>
        <v/>
      </c>
      <c r="F4" s="49">
        <f>SUMIF('Infrastructure Costs'!$A:$A,A4,'Infrastructure Costs'!$I:$I)</f>
        <v/>
      </c>
      <c r="G4" s="49">
        <f>D4+E4+F4</f>
        <v/>
      </c>
    </row>
    <row r="5" ht="26" customHeight="1">
      <c r="A5" s="42" t="inlineStr">
        <is>
          <t>Software Licenses</t>
        </is>
      </c>
      <c r="B5" s="45">
        <f>SUMIF('Infrastructure Costs'!$A:$A,A5,'Infrastructure Costs'!$G:$G)</f>
        <v/>
      </c>
      <c r="C5" s="45">
        <f>SUMIF(Credits!$A:$A,A5,Credits!$C:$C)</f>
        <v/>
      </c>
      <c r="D5" s="45">
        <f>B5+C5</f>
        <v/>
      </c>
      <c r="E5" s="45">
        <f>SUMIF('Infrastructure Costs'!$A:$A,A5,'Infrastructure Costs'!$H:$H)</f>
        <v/>
      </c>
      <c r="F5" s="45">
        <f>SUMIF('Infrastructure Costs'!$A:$A,A5,'Infrastructure Costs'!$I:$I)</f>
        <v/>
      </c>
      <c r="G5" s="45">
        <f>D5+E5+F5</f>
        <v/>
      </c>
    </row>
    <row r="6" ht="26" customHeight="1">
      <c r="A6" s="46" t="inlineStr">
        <is>
          <t>Connectivity</t>
        </is>
      </c>
      <c r="B6" s="49">
        <f>SUMIF('Infrastructure Costs'!$A:$A,A6,'Infrastructure Costs'!$G:$G)</f>
        <v/>
      </c>
      <c r="C6" s="49">
        <f>SUMIF(Credits!$A:$A,A6,Credits!$C:$C)</f>
        <v/>
      </c>
      <c r="D6" s="49">
        <f>B6+C6</f>
        <v/>
      </c>
      <c r="E6" s="49">
        <f>SUMIF('Infrastructure Costs'!$A:$A,A6,'Infrastructure Costs'!$H:$H)</f>
        <v/>
      </c>
      <c r="F6" s="49">
        <f>SUMIF('Infrastructure Costs'!$A:$A,A6,'Infrastructure Costs'!$I:$I)</f>
        <v/>
      </c>
      <c r="G6" s="49">
        <f>D6+E6+F6</f>
        <v/>
      </c>
    </row>
    <row r="7" ht="26" customHeight="1">
      <c r="A7" s="42" t="inlineStr">
        <is>
          <t>Support &amp; Maintenance</t>
        </is>
      </c>
      <c r="B7" s="45">
        <f>SUMIF('Infrastructure Costs'!$A:$A,A7,'Infrastructure Costs'!$G:$G)</f>
        <v/>
      </c>
      <c r="C7" s="45">
        <f>SUMIF(Credits!$A:$A,A7,Credits!$C:$C)</f>
        <v/>
      </c>
      <c r="D7" s="45">
        <f>B7+C7</f>
        <v/>
      </c>
      <c r="E7" s="45">
        <f>SUMIF('Infrastructure Costs'!$A:$A,A7,'Infrastructure Costs'!$H:$H)</f>
        <v/>
      </c>
      <c r="F7" s="45">
        <f>SUMIF('Infrastructure Costs'!$A:$A,A7,'Infrastructure Costs'!$I:$I)</f>
        <v/>
      </c>
      <c r="G7" s="45">
        <f>D7+E7+F7</f>
        <v/>
      </c>
    </row>
    <row r="8" ht="26" customHeight="1">
      <c r="A8" s="46" t="inlineStr">
        <is>
          <t>Facilities</t>
        </is>
      </c>
      <c r="B8" s="49">
        <f>SUMIF('Infrastructure Costs'!$A:$A,A8,'Infrastructure Costs'!$G:$G)</f>
        <v/>
      </c>
      <c r="C8" s="49">
        <f>SUMIF(Credits!$A:$A,A8,Credits!$C:$C)</f>
        <v/>
      </c>
      <c r="D8" s="49">
        <f>B8+C8</f>
        <v/>
      </c>
      <c r="E8" s="49">
        <f>SUMIF('Infrastructure Costs'!$A:$A,A8,'Infrastructure Costs'!$H:$H)</f>
        <v/>
      </c>
      <c r="F8" s="49">
        <f>SUMIF('Infrastructure Costs'!$A:$A,A8,'Infrastructure Costs'!$I:$I)</f>
        <v/>
      </c>
      <c r="G8" s="49">
        <f>D8+E8+F8</f>
        <v/>
      </c>
    </row>
    <row r="9" ht="26" customHeight="1">
      <c r="A9" s="50" t="inlineStr">
        <is>
          <t>TOTAL</t>
        </is>
      </c>
      <c r="B9" s="52">
        <f>SUM(B3:B8)</f>
        <v/>
      </c>
      <c r="C9" s="52">
        <f>SUM(C3:C8)</f>
        <v/>
      </c>
      <c r="D9" s="52">
        <f>SUM(D3:D8)</f>
        <v/>
      </c>
      <c r="E9" s="52">
        <f>SUM(E3:E8)</f>
        <v/>
      </c>
      <c r="F9" s="52">
        <f>SUM(F3:F8)</f>
        <v/>
      </c>
      <c r="G9" s="52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2026-06-04T17:27:38Z</dcterms:modified>
  <cp:lastModifiedBy>Kishan Siram</cp:lastModifiedBy>
</cp:coreProperties>
</file>