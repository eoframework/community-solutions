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Assumptions'!$A$2:$G$10</definedName>
    <definedName name="_xlnm._FilterDatabase" localSheetId="2" hidden="1">'Estimate Settings'!$A$2:$D$8</definedName>
    <definedName name="_xlnm._FilterDatabase" localSheetId="3" hidden="1">'LOE'!$A$2:$K$58</definedName>
    <definedName name="_xlnm._FilterDatabase" localSheetId="4" hidden="1">'Credits'!$A$2:$C$6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center" vertical="center" wrapText="1"/>
    </xf>
    <xf numFmtId="0" fontId="17" fillId="11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04, 2026</t>
        </is>
      </c>
    </row>
    <row r="6" ht="18" customHeight="1">
      <c r="B6" s="2" t="inlineStr">
        <is>
          <t>Solution:</t>
        </is>
      </c>
      <c r="C6" s="3" t="inlineStr">
        <is>
          <t>Tmpwj0_95K9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Agents / Workflows</t>
        </is>
      </c>
      <c r="B3" s="37" t="inlineStr">
        <is>
          <t>Single-agent workflow</t>
        </is>
      </c>
      <c r="C3" s="38" t="inlineStr">
        <is>
          <t>5 agents (Input Validator; Pre-Sales Generator; Delivery Generator; Code Generator; EO Validator)</t>
        </is>
      </c>
      <c r="D3" s="37" t="inlineStr">
        <is>
          <t>1-2 agents</t>
        </is>
      </c>
      <c r="E3" s="37" t="inlineStr">
        <is>
          <t>3-5 agents</t>
        </is>
      </c>
      <c r="F3" s="37" t="inlineStr">
        <is>
          <t>6+ agents</t>
        </is>
      </c>
      <c r="G3" s="37" t="inlineStr">
        <is>
          <t>Multi-agent Strands graph with Bedrock AgentCore Runtime</t>
        </is>
      </c>
    </row>
    <row r="4" ht="26" customHeight="1">
      <c r="A4" s="39" t="inlineStr">
        <is>
          <t>Artifacts per Solution</t>
        </is>
      </c>
      <c r="B4" s="40" t="inlineStr">
        <is>
          <t>3-5 artifacts per solution</t>
        </is>
      </c>
      <c r="C4" s="38" t="inlineStr">
        <is>
          <t>12 artifacts per solution (5 presales + 6 delivery + 1 automation bundle)</t>
        </is>
      </c>
      <c r="D4" s="40" t="inlineStr">
        <is>
          <t>3-5 artifacts</t>
        </is>
      </c>
      <c r="E4" s="40" t="inlineStr">
        <is>
          <t>6-9 artifacts</t>
        </is>
      </c>
      <c r="F4" s="40" t="inlineStr">
        <is>
          <t>10-12 artifacts</t>
        </is>
      </c>
      <c r="G4" s="40" t="inlineStr">
        <is>
          <t>Includes Terraform automation bundle with terraform validate gate</t>
        </is>
      </c>
    </row>
    <row r="5" ht="26" customHeight="1">
      <c r="A5" s="36" t="inlineStr">
        <is>
          <t>API Routes / CLI Subcommands</t>
        </is>
      </c>
      <c r="B5" s="37" t="inlineStr">
        <is>
          <t>5 Lambda routes + 5 CLI subcommands</t>
        </is>
      </c>
      <c r="C5" s="38" t="inlineStr">
        <is>
          <t>11 Lambda routes + 14 CLI subcommands behind API GW HTTP API v2</t>
        </is>
      </c>
      <c r="D5" s="37" t="inlineStr">
        <is>
          <t>5 routes / 5 cmds</t>
        </is>
      </c>
      <c r="E5" s="37" t="inlineStr">
        <is>
          <t>8 routes / 8 cmds</t>
        </is>
      </c>
      <c r="F5" s="37" t="inlineStr">
        <is>
          <t>11+ routes / 14+ cmds</t>
        </is>
      </c>
      <c r="G5" s="37" t="inlineStr">
        <is>
          <t>JWT-protected via Cognito User Pools with 30-day refresh tokens</t>
        </is>
      </c>
    </row>
    <row r="6" ht="26" customHeight="1">
      <c r="A6" s="39" t="inlineStr">
        <is>
          <t>Environments</t>
        </is>
      </c>
      <c r="B6" s="40" t="inlineStr">
        <is>
          <t>Single production environment</t>
        </is>
      </c>
      <c r="C6" s="38" t="inlineStr">
        <is>
          <t>3 environments (dev / staging / prod)</t>
        </is>
      </c>
      <c r="D6" s="40" t="inlineStr">
        <is>
          <t>1 environment</t>
        </is>
      </c>
      <c r="E6" s="40" t="inlineStr">
        <is>
          <t>2 environments</t>
        </is>
      </c>
      <c r="F6" s="40" t="inlineStr">
        <is>
          <t>3 environments</t>
        </is>
      </c>
      <c r="G6" s="40" t="inlineStr">
        <is>
          <t>us-west-2 greenfield footprint; isolated from existing us-east-1 workloads</t>
        </is>
      </c>
    </row>
    <row r="7" ht="26" customHeight="1">
      <c r="A7" s="36" t="inlineStr">
        <is>
          <t>Validation &amp; Retry Logic</t>
        </is>
      </c>
      <c r="B7" s="37" t="inlineStr">
        <is>
          <t>Single-pass validation</t>
        </is>
      </c>
      <c r="C7" s="38" t="inlineStr">
        <is>
          <t>Deterministic format-check + LLM quality check with up to 3 retries per artifact</t>
        </is>
      </c>
      <c r="D7" s="37" t="inlineStr">
        <is>
          <t>1 pass</t>
        </is>
      </c>
      <c r="E7" s="37" t="inlineStr">
        <is>
          <t>2 passes</t>
        </is>
      </c>
      <c r="F7" s="37" t="inlineStr">
        <is>
          <t>3 retries per artifact</t>
        </is>
      </c>
      <c r="G7" s="37" t="inlineStr">
        <is>
          <t>Haiku 4.5 for validation; Sonnet 4.6 for generation</t>
        </is>
      </c>
    </row>
    <row r="8" ht="26" customHeight="1">
      <c r="A8" s="39" t="inlineStr">
        <is>
          <t>Integrations</t>
        </is>
      </c>
      <c r="B8" s="40" t="inlineStr">
        <is>
          <t>None</t>
        </is>
      </c>
      <c r="C8" s="38" t="inlineStr">
        <is>
          <t>3 integrations (GitHub PAT commit; DynamoDB quota enforcement; eof-tools converter pipeline)</t>
        </is>
      </c>
      <c r="D8" s="40" t="inlineStr">
        <is>
          <t>1 integration</t>
        </is>
      </c>
      <c r="E8" s="40" t="inlineStr">
        <is>
          <t>2 integrations</t>
        </is>
      </c>
      <c r="F8" s="40" t="inlineStr">
        <is>
          <t>3 integrations</t>
        </is>
      </c>
      <c r="G8" s="40" t="inlineStr">
        <is>
          <t>eof-tools ~30 Python modules baked into container image</t>
        </is>
      </c>
    </row>
    <row r="9" ht="26" customHeight="1">
      <c r="A9" s="36" t="inlineStr">
        <is>
          <t>User Scale / Quotas</t>
        </is>
      </c>
      <c r="B9" s="37" t="inlineStr">
        <is>
          <t>No quota enforcement</t>
        </is>
      </c>
      <c r="C9" s="38" t="inlineStr">
        <is>
          <t>Per-user quota 10 solutions/month; global pool 1000 solutions/month enforced atomically in DynamoDB</t>
        </is>
      </c>
      <c r="D9" s="37" t="inlineStr">
        <is>
          <t>Up to 50 users</t>
        </is>
      </c>
      <c r="E9" s="37" t="inlineStr">
        <is>
          <t>50-200 users</t>
        </is>
      </c>
      <c r="F9" s="37" t="inlineStr">
        <is>
          <t>200+ users</t>
        </is>
      </c>
      <c r="G9" s="37" t="inlineStr">
        <is>
          <t>Cognito MAU-based; post-confirmation trigger Lambda for user profiles</t>
        </is>
      </c>
    </row>
    <row r="10" ht="26" customHeight="1">
      <c r="A10" s="39" t="inlineStr">
        <is>
          <t>Compliance / Observability</t>
        </is>
      </c>
      <c r="B10" s="40" t="inlineStr">
        <is>
          <t>Basic logging only</t>
        </is>
      </c>
      <c r="C10" s="38" t="inlineStr">
        <is>
          <t>CloudWatch metrics baseline; per-phase token usage in CLI + admin API; graded artifact delivery policy</t>
        </is>
      </c>
      <c r="D10" s="40" t="inlineStr">
        <is>
          <t>Basic CloudWatch</t>
        </is>
      </c>
      <c r="E10" s="40" t="inlineStr">
        <is>
          <t>Enhanced monitoring</t>
        </is>
      </c>
      <c r="F10" s="40" t="inlineStr">
        <is>
          <t>Full observability + token reporting</t>
        </is>
      </c>
      <c r="G10" s="40" t="inlineStr">
        <is>
          <t>Green CloudWatch baseline required before Phase 3 sign-off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</v>
      </c>
      <c r="D3" s="37" t="inlineStr">
        <is>
          <t>Baseline for stakeholder interviews; requirements gathering; current-state review of eof-tools library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1.2</v>
      </c>
      <c r="D4" s="40" t="inlineStr">
        <is>
          <t>Elevated for detailed architecture design; multi-agent graph design; Cognito + API GW; container pipeline design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1.3</v>
      </c>
      <c r="D5" s="37" t="inlineStr">
        <is>
          <t>Elevated for 5-agent implementation; 14 CLI subcommands; 11 Lambda routes; Docker image pipeline; eof-tools integration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1.1</v>
      </c>
      <c r="D6" s="40" t="inlineStr">
        <is>
          <t>End-to-end artifact validation across 12 artifact types; Terraform validate gate; CloudWatch baseline verification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</v>
      </c>
      <c r="D7" s="37" t="inlineStr">
        <is>
          <t>Baseline for production deployment; knowledge transfer; runbook delivery; 4-week hypercare support</t>
        </is>
      </c>
    </row>
    <row r="8" ht="26" customHeight="1">
      <c r="A8" s="39" t="inlineStr">
        <is>
          <t>Management</t>
        </is>
      </c>
      <c r="B8" s="40" t="inlineStr">
        <is>
          <t>management_factor</t>
        </is>
      </c>
      <c r="C8" s="42" t="n">
        <v>1</v>
      </c>
      <c r="D8" s="40" t="inlineStr">
        <is>
          <t>Project management and technical leadership overhead (10% of engineering tasks)</t>
        </is>
      </c>
    </row>
    <row r="10" ht="20" customHeight="1">
      <c r="A10" s="43" t="inlineStr">
        <is>
          <t>EO Sales Engineer Updates Multipliers Based on Customer Scope</t>
        </is>
      </c>
    </row>
  </sheetData>
  <autoFilter ref="A2:D8"/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Kickoff meeting with Sarah Lin; Marcus Patel; Daniel Park — align on scope; objectives and timeline</t>
        </is>
      </c>
      <c r="D3" s="45" t="inlineStr">
        <is>
          <t>Project Manager</t>
        </is>
      </c>
      <c r="E3" s="46" t="n">
        <v>8</v>
      </c>
      <c r="F3" s="47" t="n">
        <v>1</v>
      </c>
      <c r="G3" s="46" t="n">
        <v>8</v>
      </c>
      <c r="H3" s="48" t="n">
        <v>175</v>
      </c>
      <c r="I3" s="48" t="n">
        <v>1400</v>
      </c>
      <c r="J3" s="45" t="inlineStr"/>
      <c r="K3" s="45" t="inlineStr">
        <is>
          <t>Week 1</t>
        </is>
      </c>
    </row>
    <row r="4" ht="26" customHeight="1">
      <c r="A4" s="49" t="inlineStr">
        <is>
          <t>Discovery</t>
        </is>
      </c>
      <c r="B4" s="50" t="inlineStr">
        <is>
          <t>Current State Assessment</t>
        </is>
      </c>
      <c r="C4" s="50" t="inlineStr">
        <is>
          <t>Document legacy Claude Code CLI workflow; map eof-tools library modules (~30 Python modules covering 12 artifact types)</t>
        </is>
      </c>
      <c r="D4" s="50" t="inlineStr">
        <is>
          <t>Solution Architect</t>
        </is>
      </c>
      <c r="E4" s="51" t="n">
        <v>24</v>
      </c>
      <c r="F4" s="52" t="n">
        <v>1</v>
      </c>
      <c r="G4" s="51" t="n">
        <v>24</v>
      </c>
      <c r="H4" s="53" t="n">
        <v>225</v>
      </c>
      <c r="I4" s="53" t="n">
        <v>5400</v>
      </c>
      <c r="J4" s="50" t="inlineStr"/>
      <c r="K4" s="50" t="inlineStr">
        <is>
          <t>Basis for eof-tools integration design</t>
        </is>
      </c>
    </row>
    <row r="5" ht="26" customHeight="1">
      <c r="A5" s="44" t="inlineStr">
        <is>
          <t>Discovery</t>
        </is>
      </c>
      <c r="B5" s="45" t="inlineStr">
        <is>
          <t>Requirements Gathering</t>
        </is>
      </c>
      <c r="C5" s="45" t="inlineStr">
        <is>
          <t>Conduct stakeholder interviews; document 14 CLI subcommands; 11 API routes; 5-agent specs; quota and auth requirements</t>
        </is>
      </c>
      <c r="D5" s="45" t="inlineStr">
        <is>
          <t>Solution Architect</t>
        </is>
      </c>
      <c r="E5" s="46" t="n">
        <v>32</v>
      </c>
      <c r="F5" s="47" t="n">
        <v>1</v>
      </c>
      <c r="G5" s="46" t="n">
        <v>32</v>
      </c>
      <c r="H5" s="48" t="n">
        <v>225</v>
      </c>
      <c r="I5" s="48" t="n">
        <v>7200</v>
      </c>
      <c r="J5" s="45" t="inlineStr"/>
      <c r="K5" s="45" t="inlineStr">
        <is>
          <t>Inputs to Planning phase</t>
        </is>
      </c>
    </row>
    <row r="6" ht="26" customHeight="1">
      <c r="A6" s="49" t="inlineStr">
        <is>
          <t>Discovery</t>
        </is>
      </c>
      <c r="B6" s="50" t="inlineStr">
        <is>
          <t>Cloud Readiness Assessment</t>
        </is>
      </c>
      <c r="C6" s="50" t="inlineStr">
        <is>
          <t>Review existing us-east-1 footprint; plan us-west-2 greenfield provisioning; assess Bedrock and AgentCore service limits</t>
        </is>
      </c>
      <c r="D6" s="50" t="inlineStr">
        <is>
          <t>Cloud Engineer</t>
        </is>
      </c>
      <c r="E6" s="51" t="n">
        <v>16</v>
      </c>
      <c r="F6" s="52" t="n">
        <v>1</v>
      </c>
      <c r="G6" s="51" t="n">
        <v>16</v>
      </c>
      <c r="H6" s="53" t="n">
        <v>200</v>
      </c>
      <c r="I6" s="53" t="n">
        <v>3200</v>
      </c>
      <c r="J6" s="50" t="inlineStr"/>
      <c r="K6" s="50" t="inlineStr">
        <is>
          <t>Informs infrastructure architecture</t>
        </is>
      </c>
    </row>
    <row r="7" ht="26" customHeight="1">
      <c r="A7" s="44" t="inlineStr">
        <is>
          <t>Discovery</t>
        </is>
      </c>
      <c r="B7" s="45" t="inlineStr">
        <is>
          <t>AI/ML Capability Assessment</t>
        </is>
      </c>
      <c r="C7" s="45" t="inlineStr">
        <is>
          <t>Evaluate Bedrock model selection (Sonnet 4.6 / Haiku 4.5); assess token throughput; per-solution cost targeting under $5 model spend</t>
        </is>
      </c>
      <c r="D7" s="45" t="inlineStr">
        <is>
          <t>ML/AI Engineer</t>
        </is>
      </c>
      <c r="E7" s="46" t="n">
        <v>20</v>
      </c>
      <c r="F7" s="47" t="n">
        <v>1</v>
      </c>
      <c r="G7" s="46" t="n">
        <v>20</v>
      </c>
      <c r="H7" s="48" t="n">
        <v>250</v>
      </c>
      <c r="I7" s="48" t="n">
        <v>5000</v>
      </c>
      <c r="J7" s="45" t="inlineStr"/>
      <c r="K7" s="45" t="inlineStr">
        <is>
          <t>Informs agent design and cost model</t>
        </is>
      </c>
    </row>
    <row r="8" ht="26" customHeight="1">
      <c r="A8" s="49" t="inlineStr">
        <is>
          <t>Discovery</t>
        </is>
      </c>
      <c r="B8" s="50" t="inlineStr">
        <is>
          <t>Gap Analysis</t>
        </is>
      </c>
      <c r="C8" s="50" t="inlineStr">
        <is>
          <t>Identify gaps between legacy manual process and target agentic automation; document deferred scope items</t>
        </is>
      </c>
      <c r="D8" s="50" t="inlineStr">
        <is>
          <t>Solution Architect</t>
        </is>
      </c>
      <c r="E8" s="51" t="n">
        <v>16</v>
      </c>
      <c r="F8" s="52" t="n">
        <v>1</v>
      </c>
      <c r="G8" s="51" t="n">
        <v>16</v>
      </c>
      <c r="H8" s="53" t="n">
        <v>225</v>
      </c>
      <c r="I8" s="53" t="n">
        <v>3600</v>
      </c>
      <c r="J8" s="50" t="inlineStr">
        <is>
          <t>Current State Assessment</t>
        </is>
      </c>
      <c r="K8" s="50" t="inlineStr"/>
    </row>
    <row r="9" ht="26" customHeight="1">
      <c r="A9" s="44" t="inlineStr">
        <is>
          <t>Discovery</t>
        </is>
      </c>
      <c r="B9" s="45" t="inlineStr">
        <is>
          <t>Risk Assessment</t>
        </is>
      </c>
      <c r="C9" s="45" t="inlineStr">
        <is>
          <t>Identify risks: Bedrock quota limits; AgentCore cold-start latency; GitHub PAT rotation; DynamoDB hot-partition risk</t>
        </is>
      </c>
      <c r="D9" s="45" t="inlineStr">
        <is>
          <t>Project Manager</t>
        </is>
      </c>
      <c r="E9" s="46" t="n">
        <v>8</v>
      </c>
      <c r="F9" s="47" t="n">
        <v>1</v>
      </c>
      <c r="G9" s="46" t="n">
        <v>8</v>
      </c>
      <c r="H9" s="48" t="n">
        <v>175</v>
      </c>
      <c r="I9" s="48" t="n">
        <v>1400</v>
      </c>
      <c r="J9" s="45" t="inlineStr"/>
      <c r="K9" s="45" t="inlineStr"/>
    </row>
    <row r="10" ht="26" customHeight="1">
      <c r="A10" s="49" t="inlineStr">
        <is>
          <t>Discovery</t>
        </is>
      </c>
      <c r="B10" s="50" t="inlineStr">
        <is>
          <t>Assessment Report</t>
        </is>
      </c>
      <c r="C10" s="50" t="inlineStr">
        <is>
          <t>Document findings; recommended architecture; phased delivery plan aligned to Q2 2026 timeline</t>
        </is>
      </c>
      <c r="D10" s="50" t="inlineStr">
        <is>
          <t>Technical Writer</t>
        </is>
      </c>
      <c r="E10" s="51" t="n">
        <v>16</v>
      </c>
      <c r="F10" s="52" t="n">
        <v>1</v>
      </c>
      <c r="G10" s="51" t="n">
        <v>16</v>
      </c>
      <c r="H10" s="53" t="n">
        <v>125</v>
      </c>
      <c r="I10" s="53" t="n">
        <v>2000</v>
      </c>
      <c r="J10" s="50" t="inlineStr">
        <is>
          <t>Gap Analysis</t>
        </is>
      </c>
      <c r="K10" s="50" t="inlineStr">
        <is>
          <t>Deliverable for CTO review</t>
        </is>
      </c>
    </row>
    <row r="11" ht="26" customHeight="1">
      <c r="A11" s="44" t="inlineStr">
        <is>
          <t>Planning</t>
        </is>
      </c>
      <c r="B11" s="45" t="inlineStr">
        <is>
          <t>Detailed Architecture Design</t>
        </is>
      </c>
      <c r="C11" s="45" t="inlineStr">
        <is>
          <t>Design multi-agent Strands graph: Agent 0 Input Validator; Pre-Sales Generator; Delivery Generator; Code Generator; EO Validator agents with AgentCore Runtime hosting</t>
        </is>
      </c>
      <c r="D11" s="45" t="inlineStr">
        <is>
          <t>Solution Architect</t>
        </is>
      </c>
      <c r="E11" s="46" t="n">
        <v>48</v>
      </c>
      <c r="F11" s="47" t="n">
        <v>1.2</v>
      </c>
      <c r="G11" s="46" t="n">
        <v>58</v>
      </c>
      <c r="H11" s="48" t="n">
        <v>225</v>
      </c>
      <c r="I11" s="48" t="n">
        <v>13050</v>
      </c>
      <c r="J11" s="45" t="inlineStr">
        <is>
          <t>Assessment Report</t>
        </is>
      </c>
      <c r="K11" s="45" t="inlineStr">
        <is>
          <t>Critical path — CTO sign-off required</t>
        </is>
      </c>
    </row>
    <row r="12" ht="26" customHeight="1">
      <c r="A12" s="49" t="inlineStr">
        <is>
          <t>Planning</t>
        </is>
      </c>
      <c r="B12" s="50" t="inlineStr">
        <is>
          <t>AWS Foundation Design</t>
        </is>
      </c>
      <c r="C12" s="50" t="inlineStr">
        <is>
          <t>Design us-west-2 account structure; VPC; IAM roles and policies; S3 bucket layout; DynamoDB table design with GSIs for quota enforcement</t>
        </is>
      </c>
      <c r="D12" s="50" t="inlineStr">
        <is>
          <t>Cloud Engineer</t>
        </is>
      </c>
      <c r="E12" s="51" t="n">
        <v>40</v>
      </c>
      <c r="F12" s="52" t="n">
        <v>1.2</v>
      </c>
      <c r="G12" s="51" t="n">
        <v>48</v>
      </c>
      <c r="H12" s="53" t="n">
        <v>200</v>
      </c>
      <c r="I12" s="53" t="n">
        <v>9600</v>
      </c>
      <c r="J12" s="50" t="inlineStr">
        <is>
          <t>Detailed Architecture Design</t>
        </is>
      </c>
      <c r="K12" s="50" t="inlineStr"/>
    </row>
    <row r="13" ht="26" customHeight="1">
      <c r="A13" s="44" t="inlineStr">
        <is>
          <t>Planning</t>
        </is>
      </c>
      <c r="B13" s="45" t="inlineStr">
        <is>
          <t>Cognito &amp; Auth Design</t>
        </is>
      </c>
      <c r="C13" s="45" t="inlineStr">
        <is>
          <t>Design Cognito User Pool; app client; JWT token settings (30-day refresh); post-confirmation Lambda trigger; API GW HTTP API v2 authoriser</t>
        </is>
      </c>
      <c r="D13" s="45" t="inlineStr">
        <is>
          <t>Security Engineer</t>
        </is>
      </c>
      <c r="E13" s="46" t="n">
        <v>32</v>
      </c>
      <c r="F13" s="47" t="n">
        <v>1.2</v>
      </c>
      <c r="G13" s="46" t="n">
        <v>38</v>
      </c>
      <c r="H13" s="48" t="n">
        <v>225</v>
      </c>
      <c r="I13" s="48" t="n">
        <v>8550</v>
      </c>
      <c r="J13" s="45" t="inlineStr">
        <is>
          <t>Detailed Architecture Design</t>
        </is>
      </c>
      <c r="K13" s="45" t="inlineStr">
        <is>
          <t>Rate includes security cert premium</t>
        </is>
      </c>
    </row>
    <row r="14" ht="26" customHeight="1">
      <c r="A14" s="49" t="inlineStr">
        <is>
          <t>Planning</t>
        </is>
      </c>
      <c r="B14" s="50" t="inlineStr">
        <is>
          <t>API Gateway &amp; Lambda Architecture</t>
        </is>
      </c>
      <c r="C14" s="50" t="inlineStr">
        <is>
          <t>Design 11 Lambda route handlers; API GW HTTP API v2 stage; throttling; CORS; request and response schemas for all 14 CLI subcommands</t>
        </is>
      </c>
      <c r="D14" s="50" t="inlineStr">
        <is>
          <t>Solutions Engineer</t>
        </is>
      </c>
      <c r="E14" s="51" t="n">
        <v>32</v>
      </c>
      <c r="F14" s="52" t="n">
        <v>1.2</v>
      </c>
      <c r="G14" s="51" t="n">
        <v>38</v>
      </c>
      <c r="H14" s="53" t="n">
        <v>200</v>
      </c>
      <c r="I14" s="53" t="n">
        <v>7600</v>
      </c>
      <c r="J14" s="50" t="inlineStr">
        <is>
          <t>Cognito &amp; Auth Design</t>
        </is>
      </c>
      <c r="K14" s="50" t="inlineStr"/>
    </row>
    <row r="15" ht="26" customHeight="1">
      <c r="A15" s="44" t="inlineStr">
        <is>
          <t>Planning</t>
        </is>
      </c>
      <c r="B15" s="45" t="inlineStr">
        <is>
          <t>Agent Orchestration Design</t>
        </is>
      </c>
      <c r="C15" s="45" t="inlineStr">
        <is>
          <t>Design Strands agent graph topology; inter-agent messaging; graded artifact delivery policy; per-phase token usage tracking; retry logic up to 3 retries per artifact</t>
        </is>
      </c>
      <c r="D15" s="45" t="inlineStr">
        <is>
          <t>ML/AI Engineer</t>
        </is>
      </c>
      <c r="E15" s="46" t="n">
        <v>40</v>
      </c>
      <c r="F15" s="47" t="n">
        <v>1.2</v>
      </c>
      <c r="G15" s="46" t="n">
        <v>48</v>
      </c>
      <c r="H15" s="48" t="n">
        <v>250</v>
      </c>
      <c r="I15" s="48" t="n">
        <v>12000</v>
      </c>
      <c r="J15" s="45" t="inlineStr">
        <is>
          <t>Detailed Architecture Design</t>
        </is>
      </c>
      <c r="K15" s="45" t="inlineStr"/>
    </row>
    <row r="16" ht="26" customHeight="1">
      <c r="A16" s="49" t="inlineStr">
        <is>
          <t>Planning</t>
        </is>
      </c>
      <c r="B16" s="50" t="inlineStr">
        <is>
          <t>Container Image Pipeline Design</t>
        </is>
      </c>
      <c r="C16" s="50" t="inlineStr">
        <is>
          <t>Design Docker image architecture for eof-tools integration; ECR repository; image build pipeline; AgentCore Runtime registration workflow</t>
        </is>
      </c>
      <c r="D16" s="50" t="inlineStr">
        <is>
          <t>DevOps Engineer</t>
        </is>
      </c>
      <c r="E16" s="51" t="n">
        <v>24</v>
      </c>
      <c r="F16" s="52" t="n">
        <v>1.2</v>
      </c>
      <c r="G16" s="51" t="n">
        <v>29</v>
      </c>
      <c r="H16" s="53" t="n">
        <v>200</v>
      </c>
      <c r="I16" s="53" t="n">
        <v>5800</v>
      </c>
      <c r="J16" s="50" t="inlineStr">
        <is>
          <t>Agent Orchestration Design</t>
        </is>
      </c>
      <c r="K16" s="50" t="inlineStr"/>
    </row>
    <row r="17" ht="26" customHeight="1">
      <c r="A17" s="44" t="inlineStr">
        <is>
          <t>Planning</t>
        </is>
      </c>
      <c r="B17" s="45" t="inlineStr">
        <is>
          <t>Security Baseline Design</t>
        </is>
      </c>
      <c r="C17" s="45" t="inlineStr">
        <is>
          <t>Design IAM least-privilege policies; Secrets Manager for GitHub PAT; CloudTrail; WAF for API Gateway; DynamoDB encryption at rest</t>
        </is>
      </c>
      <c r="D17" s="45" t="inlineStr">
        <is>
          <t>Security Engineer</t>
        </is>
      </c>
      <c r="E17" s="46" t="n">
        <v>24</v>
      </c>
      <c r="F17" s="47" t="n">
        <v>1.2</v>
      </c>
      <c r="G17" s="46" t="n">
        <v>29</v>
      </c>
      <c r="H17" s="48" t="n">
        <v>225</v>
      </c>
      <c r="I17" s="48" t="n">
        <v>6525</v>
      </c>
      <c r="J17" s="45" t="inlineStr">
        <is>
          <t>AWS Foundation Design</t>
        </is>
      </c>
      <c r="K17" s="45" t="inlineStr"/>
    </row>
    <row r="18" ht="26" customHeight="1">
      <c r="A18" s="49" t="inlineStr">
        <is>
          <t>Planning</t>
        </is>
      </c>
      <c r="B18" s="50" t="inlineStr">
        <is>
          <t>Monitoring &amp; Observability Design</t>
        </is>
      </c>
      <c r="C18" s="50" t="inlineStr">
        <is>
          <t>Design CloudWatch dashboards; per-phase token usage metrics; alarms for quota thresholds; structured logging schema for all agents</t>
        </is>
      </c>
      <c r="D18" s="50" t="inlineStr">
        <is>
          <t>DevOps Engineer</t>
        </is>
      </c>
      <c r="E18" s="51" t="n">
        <v>20</v>
      </c>
      <c r="F18" s="52" t="n">
        <v>1.2</v>
      </c>
      <c r="G18" s="51" t="n">
        <v>24</v>
      </c>
      <c r="H18" s="53" t="n">
        <v>200</v>
      </c>
      <c r="I18" s="53" t="n">
        <v>4800</v>
      </c>
      <c r="J18" s="50" t="inlineStr">
        <is>
          <t>Agent Orchestration Design</t>
        </is>
      </c>
      <c r="K18" s="50" t="inlineStr"/>
    </row>
    <row r="19" ht="26" customHeight="1">
      <c r="A19" s="44" t="inlineStr">
        <is>
          <t>Planning</t>
        </is>
      </c>
      <c r="B19" s="45" t="inlineStr">
        <is>
          <t>Design Documentation</t>
        </is>
      </c>
      <c r="C19" s="45" t="inlineStr">
        <is>
          <t>Produce architecture diagrams; sequence diagrams for agent flows; data flow diagrams; API specification in OpenAPI format</t>
        </is>
      </c>
      <c r="D19" s="45" t="inlineStr">
        <is>
          <t>Technical Writer</t>
        </is>
      </c>
      <c r="E19" s="46" t="n">
        <v>24</v>
      </c>
      <c r="F19" s="47" t="n">
        <v>1.2</v>
      </c>
      <c r="G19" s="46" t="n">
        <v>29</v>
      </c>
      <c r="H19" s="48" t="n">
        <v>125</v>
      </c>
      <c r="I19" s="48" t="n">
        <v>3625</v>
      </c>
      <c r="J19" s="45" t="inlineStr">
        <is>
          <t>All Planning tasks</t>
        </is>
      </c>
      <c r="K19" s="45" t="inlineStr">
        <is>
          <t>Inputs to Statement of Work</t>
        </is>
      </c>
    </row>
    <row r="20" ht="26" customHeight="1">
      <c r="A20" s="49" t="inlineStr">
        <is>
          <t>Development</t>
        </is>
      </c>
      <c r="B20" s="50" t="inlineStr">
        <is>
          <t>Foundation Infrastructure</t>
        </is>
      </c>
      <c r="C20" s="50" t="inlineStr">
        <is>
          <t>Provision Cognito User Pool; DynamoDB tables (user profiles + quota counters); S3 buckets; IAM roles; API GW HTTP API v2 — Phase 1 Weeks 1-4</t>
        </is>
      </c>
      <c r="D20" s="50" t="inlineStr">
        <is>
          <t>Cloud Engineer</t>
        </is>
      </c>
      <c r="E20" s="51" t="n">
        <v>48</v>
      </c>
      <c r="F20" s="52" t="n">
        <v>1.3</v>
      </c>
      <c r="G20" s="51" t="n">
        <v>62</v>
      </c>
      <c r="H20" s="53" t="n">
        <v>200</v>
      </c>
      <c r="I20" s="53" t="n">
        <v>12400</v>
      </c>
      <c r="J20" s="50" t="inlineStr">
        <is>
          <t>AWS Foundation Design</t>
        </is>
      </c>
      <c r="K20" s="50" t="inlineStr">
        <is>
          <t>Phase 1 deliverable</t>
        </is>
      </c>
    </row>
    <row r="21" ht="26" customHeight="1">
      <c r="A21" s="44" t="inlineStr">
        <is>
          <t>Development</t>
        </is>
      </c>
      <c r="B21" s="45" t="inlineStr">
        <is>
          <t>Post-Confirmation Lambda</t>
        </is>
      </c>
      <c r="C21" s="45" t="inlineStr">
        <is>
          <t>Develop Cognito post-confirmation trigger Lambda; DynamoDB user profile write on registration; unit tests</t>
        </is>
      </c>
      <c r="D21" s="45" t="inlineStr">
        <is>
          <t>Solutions Engineer</t>
        </is>
      </c>
      <c r="E21" s="46" t="n">
        <v>16</v>
      </c>
      <c r="F21" s="47" t="n">
        <v>1.3</v>
      </c>
      <c r="G21" s="46" t="n">
        <v>21</v>
      </c>
      <c r="H21" s="48" t="n">
        <v>200</v>
      </c>
      <c r="I21" s="48" t="n">
        <v>4200</v>
      </c>
      <c r="J21" s="45" t="inlineStr">
        <is>
          <t>Foundation Infrastructure</t>
        </is>
      </c>
      <c r="K21" s="45" t="inlineStr"/>
    </row>
    <row r="22" ht="26" customHeight="1">
      <c r="A22" s="49" t="inlineStr">
        <is>
          <t>Development</t>
        </is>
      </c>
      <c r="B22" s="50" t="inlineStr">
        <is>
          <t>Agent 0 — Input Validator</t>
        </is>
      </c>
      <c r="C22" s="50" t="inlineStr">
        <is>
          <t>Develop Input Validator agent; brief parsing; schema validation; error surfacing; integration with Strands framework</t>
        </is>
      </c>
      <c r="D22" s="50" t="inlineStr">
        <is>
          <t>ML/AI Engineer</t>
        </is>
      </c>
      <c r="E22" s="51" t="n">
        <v>32</v>
      </c>
      <c r="F22" s="52" t="n">
        <v>1.3</v>
      </c>
      <c r="G22" s="51" t="n">
        <v>42</v>
      </c>
      <c r="H22" s="53" t="n">
        <v>250</v>
      </c>
      <c r="I22" s="53" t="n">
        <v>10500</v>
      </c>
      <c r="J22" s="50" t="inlineStr">
        <is>
          <t>Agent Orchestration Design</t>
        </is>
      </c>
      <c r="K22" s="50" t="inlineStr">
        <is>
          <t>Phase 2 Weeks 5-9</t>
        </is>
      </c>
    </row>
    <row r="23" ht="26" customHeight="1">
      <c r="A23" s="44" t="inlineStr">
        <is>
          <t>Development</t>
        </is>
      </c>
      <c r="B23" s="45" t="inlineStr">
        <is>
          <t>Pre-Sales Generator Agent</t>
        </is>
      </c>
      <c r="C23" s="45" t="inlineStr">
        <is>
          <t>Develop Pre-Sales Generator agent; 5-artifact workflow (solution briefing; infra costs; LOE; SoW; proposal); LLM prompting with Sonnet 4.6; format-check integration</t>
        </is>
      </c>
      <c r="D23" s="45" t="inlineStr">
        <is>
          <t>ML/AI Engineer</t>
        </is>
      </c>
      <c r="E23" s="46" t="n">
        <v>48</v>
      </c>
      <c r="F23" s="47" t="n">
        <v>1.3</v>
      </c>
      <c r="G23" s="46" t="n">
        <v>62</v>
      </c>
      <c r="H23" s="48" t="n">
        <v>250</v>
      </c>
      <c r="I23" s="48" t="n">
        <v>15500</v>
      </c>
      <c r="J23" s="45" t="inlineStr">
        <is>
          <t>Agent 0 — Input Validator</t>
        </is>
      </c>
      <c r="K23" s="45" t="inlineStr"/>
    </row>
    <row r="24" ht="26" customHeight="1">
      <c r="A24" s="49" t="inlineStr">
        <is>
          <t>Development</t>
        </is>
      </c>
      <c r="B24" s="50" t="inlineStr">
        <is>
          <t>Delivery Generator Agent</t>
        </is>
      </c>
      <c r="C24" s="50" t="inlineStr">
        <is>
          <t>Develop Delivery Generator agent; 6-artifact workflow (project charter; implementation plan; RAID log; runbooks; test plan; closure report)</t>
        </is>
      </c>
      <c r="D24" s="50" t="inlineStr">
        <is>
          <t>ML/AI Engineer</t>
        </is>
      </c>
      <c r="E24" s="51" t="n">
        <v>40</v>
      </c>
      <c r="F24" s="52" t="n">
        <v>1.3</v>
      </c>
      <c r="G24" s="51" t="n">
        <v>52</v>
      </c>
      <c r="H24" s="53" t="n">
        <v>250</v>
      </c>
      <c r="I24" s="53" t="n">
        <v>13000</v>
      </c>
      <c r="J24" s="50" t="inlineStr">
        <is>
          <t>Pre-Sales Generator Agent</t>
        </is>
      </c>
      <c r="K24" s="50" t="inlineStr"/>
    </row>
    <row r="25" ht="26" customHeight="1">
      <c r="A25" s="44" t="inlineStr">
        <is>
          <t>Development</t>
        </is>
      </c>
      <c r="B25" s="45" t="inlineStr">
        <is>
          <t>Code Generator Agent</t>
        </is>
      </c>
      <c r="C25" s="45" t="inlineStr">
        <is>
          <t>Develop Code Generator agent; Terraform IaC templates for 5 core AWS services; terraform validate gate; output bundled as automation artifact</t>
        </is>
      </c>
      <c r="D25" s="45" t="inlineStr">
        <is>
          <t>ML/AI Engineer</t>
        </is>
      </c>
      <c r="E25" s="46" t="n">
        <v>40</v>
      </c>
      <c r="F25" s="47" t="n">
        <v>1.3</v>
      </c>
      <c r="G25" s="46" t="n">
        <v>52</v>
      </c>
      <c r="H25" s="48" t="n">
        <v>250</v>
      </c>
      <c r="I25" s="48" t="n">
        <v>13000</v>
      </c>
      <c r="J25" s="45" t="inlineStr">
        <is>
          <t>Delivery Generator Agent</t>
        </is>
      </c>
      <c r="K25" s="45" t="inlineStr"/>
    </row>
    <row r="26" ht="26" customHeight="1">
      <c r="A26" s="49" t="inlineStr">
        <is>
          <t>Development</t>
        </is>
      </c>
      <c r="B26" s="50" t="inlineStr">
        <is>
          <t>EO Validator Agent</t>
        </is>
      </c>
      <c r="C26" s="50" t="inlineStr">
        <is>
          <t>Develop EO Validator agent; deterministic format-check pass; LLM quality check using Haiku 4.5; up to 3 retries per artifact; pass/fail envelope</t>
        </is>
      </c>
      <c r="D26" s="50" t="inlineStr">
        <is>
          <t>ML/AI Engineer</t>
        </is>
      </c>
      <c r="E26" s="51" t="n">
        <v>32</v>
      </c>
      <c r="F26" s="52" t="n">
        <v>1.3</v>
      </c>
      <c r="G26" s="51" t="n">
        <v>42</v>
      </c>
      <c r="H26" s="53" t="n">
        <v>250</v>
      </c>
      <c r="I26" s="53" t="n">
        <v>10500</v>
      </c>
      <c r="J26" s="50" t="inlineStr">
        <is>
          <t>Pre-Sales Generator Agent</t>
        </is>
      </c>
      <c r="K26" s="50" t="inlineStr"/>
    </row>
    <row r="27" ht="26" customHeight="1">
      <c r="A27" s="44" t="inlineStr">
        <is>
          <t>Development</t>
        </is>
      </c>
      <c r="B27" s="45" t="inlineStr">
        <is>
          <t>eof-Tools Integration</t>
        </is>
      </c>
      <c r="C27" s="45" t="inlineStr">
        <is>
          <t>Integrate eof-tools converter pipeline (~30 Python modules) into Docker container image; test DOCX/PPTX/XLSX conversion for all 12 artifact types</t>
        </is>
      </c>
      <c r="D27" s="45" t="inlineStr">
        <is>
          <t>Solutions Engineer</t>
        </is>
      </c>
      <c r="E27" s="46" t="n">
        <v>48</v>
      </c>
      <c r="F27" s="47" t="n">
        <v>1.3</v>
      </c>
      <c r="G27" s="46" t="n">
        <v>62</v>
      </c>
      <c r="H27" s="48" t="n">
        <v>200</v>
      </c>
      <c r="I27" s="48" t="n">
        <v>12400</v>
      </c>
      <c r="J27" s="45" t="inlineStr">
        <is>
          <t>Container Image Pipeline Design</t>
        </is>
      </c>
      <c r="K27" s="45" t="inlineStr">
        <is>
          <t>Key existing asset — must not be rewritten</t>
        </is>
      </c>
    </row>
    <row r="28" ht="26" customHeight="1">
      <c r="A28" s="49" t="inlineStr">
        <is>
          <t>Development</t>
        </is>
      </c>
      <c r="B28" s="50" t="inlineStr">
        <is>
          <t>Docker Image &amp; ECR Pipeline</t>
        </is>
      </c>
      <c r="C28" s="50" t="inlineStr">
        <is>
          <t>Build multi-stage Dockerfile; ECR push workflow; AgentCore Runtime image registration; image tagging and versioning strategy</t>
        </is>
      </c>
      <c r="D28" s="50" t="inlineStr">
        <is>
          <t>DevOps Engineer</t>
        </is>
      </c>
      <c r="E28" s="51" t="n">
        <v>32</v>
      </c>
      <c r="F28" s="52" t="n">
        <v>1.3</v>
      </c>
      <c r="G28" s="51" t="n">
        <v>42</v>
      </c>
      <c r="H28" s="53" t="n">
        <v>200</v>
      </c>
      <c r="I28" s="53" t="n">
        <v>8400</v>
      </c>
      <c r="J28" s="50" t="inlineStr">
        <is>
          <t>Container Image Pipeline Design</t>
        </is>
      </c>
      <c r="K28" s="50" t="inlineStr"/>
    </row>
    <row r="29" ht="26" customHeight="1">
      <c r="A29" s="44" t="inlineStr">
        <is>
          <t>Development</t>
        </is>
      </c>
      <c r="B29" s="45" t="inlineStr">
        <is>
          <t>CLI Development — 14 Subcommands</t>
        </is>
      </c>
      <c r="C29" s="45" t="inlineStr">
        <is>
          <t>Develop pip-installable CLI; 14 subcommands (auth login/logout; solution generate; solution status; artifact download; admin usage); JWT token handling</t>
        </is>
      </c>
      <c r="D29" s="45" t="inlineStr">
        <is>
          <t>Solutions Engineer</t>
        </is>
      </c>
      <c r="E29" s="46" t="n">
        <v>48</v>
      </c>
      <c r="F29" s="47" t="n">
        <v>1.3</v>
      </c>
      <c r="G29" s="46" t="n">
        <v>62</v>
      </c>
      <c r="H29" s="48" t="n">
        <v>200</v>
      </c>
      <c r="I29" s="48" t="n">
        <v>12400</v>
      </c>
      <c r="J29" s="45" t="inlineStr">
        <is>
          <t>Foundation Infrastructure</t>
        </is>
      </c>
      <c r="K29" s="45" t="inlineStr"/>
    </row>
    <row r="30" ht="26" customHeight="1">
      <c r="A30" s="49" t="inlineStr">
        <is>
          <t>Development</t>
        </is>
      </c>
      <c r="B30" s="50" t="inlineStr">
        <is>
          <t>Lambda Route Handlers — 11 Routes</t>
        </is>
      </c>
      <c r="C30" s="50" t="inlineStr">
        <is>
          <t>Develop 11 JWT-protected Lambda handlers (solution create; status; artifact fetch; user profile; quota check; admin usage); request validation; error handling</t>
        </is>
      </c>
      <c r="D30" s="50" t="inlineStr">
        <is>
          <t>Solutions Engineer</t>
        </is>
      </c>
      <c r="E30" s="51" t="n">
        <v>40</v>
      </c>
      <c r="F30" s="52" t="n">
        <v>1.3</v>
      </c>
      <c r="G30" s="51" t="n">
        <v>52</v>
      </c>
      <c r="H30" s="53" t="n">
        <v>200</v>
      </c>
      <c r="I30" s="53" t="n">
        <v>10400</v>
      </c>
      <c r="J30" s="50" t="inlineStr">
        <is>
          <t>Foundation Infrastructure</t>
        </is>
      </c>
      <c r="K30" s="50" t="inlineStr"/>
    </row>
    <row r="31" ht="26" customHeight="1">
      <c r="A31" s="44" t="inlineStr">
        <is>
          <t>Development</t>
        </is>
      </c>
      <c r="B31" s="45" t="inlineStr">
        <is>
          <t>DynamoDB Quota Enforcement</t>
        </is>
      </c>
      <c r="C31" s="45" t="inlineStr">
        <is>
          <t>Implement atomic per-user 10/month and global 1000/month quota counters using DynamoDB conditional writes; overflow error handling</t>
        </is>
      </c>
      <c r="D31" s="45" t="inlineStr">
        <is>
          <t>Solutions Engineer</t>
        </is>
      </c>
      <c r="E31" s="46" t="n">
        <v>16</v>
      </c>
      <c r="F31" s="47" t="n">
        <v>1.3</v>
      </c>
      <c r="G31" s="46" t="n">
        <v>21</v>
      </c>
      <c r="H31" s="48" t="n">
        <v>200</v>
      </c>
      <c r="I31" s="48" t="n">
        <v>4200</v>
      </c>
      <c r="J31" s="45" t="inlineStr">
        <is>
          <t>Foundation Infrastructure</t>
        </is>
      </c>
      <c r="K31" s="45" t="inlineStr"/>
    </row>
    <row r="32" ht="26" customHeight="1">
      <c r="A32" s="49" t="inlineStr">
        <is>
          <t>Development</t>
        </is>
      </c>
      <c r="B32" s="50" t="inlineStr">
        <is>
          <t>GitHub Integration</t>
        </is>
      </c>
      <c r="C32" s="50" t="inlineStr">
        <is>
          <t>Implement GitHub PAT-based commit workflow; solution artifact bundle commit to fixed public repository; branch strategy</t>
        </is>
      </c>
      <c r="D32" s="50" t="inlineStr">
        <is>
          <t>Solutions Engineer</t>
        </is>
      </c>
      <c r="E32" s="51" t="n">
        <v>16</v>
      </c>
      <c r="F32" s="52" t="n">
        <v>1.3</v>
      </c>
      <c r="G32" s="51" t="n">
        <v>21</v>
      </c>
      <c r="H32" s="53" t="n">
        <v>200</v>
      </c>
      <c r="I32" s="53" t="n">
        <v>4200</v>
      </c>
      <c r="J32" s="50" t="inlineStr">
        <is>
          <t>eof-Tools Integration</t>
        </is>
      </c>
      <c r="K32" s="50" t="inlineStr"/>
    </row>
    <row r="33" ht="26" customHeight="1">
      <c r="A33" s="44" t="inlineStr">
        <is>
          <t>Development</t>
        </is>
      </c>
      <c r="B33" s="45" t="inlineStr">
        <is>
          <t>CloudWatch Observability Implementation</t>
        </is>
      </c>
      <c r="C33" s="45" t="inlineStr">
        <is>
          <t>Implement per-phase token usage metrics emission; structured log groups; CloudWatch dashboards; quota alarm notifications</t>
        </is>
      </c>
      <c r="D33" s="45" t="inlineStr">
        <is>
          <t>DevOps Engineer</t>
        </is>
      </c>
      <c r="E33" s="46" t="n">
        <v>24</v>
      </c>
      <c r="F33" s="47" t="n">
        <v>1.3</v>
      </c>
      <c r="G33" s="46" t="n">
        <v>31</v>
      </c>
      <c r="H33" s="48" t="n">
        <v>200</v>
      </c>
      <c r="I33" s="48" t="n">
        <v>6200</v>
      </c>
      <c r="J33" s="45" t="inlineStr">
        <is>
          <t>Monitoring &amp; Observability Design</t>
        </is>
      </c>
      <c r="K33" s="45" t="inlineStr">
        <is>
          <t>Phase 3 prerequisite</t>
        </is>
      </c>
    </row>
    <row r="34" ht="26" customHeight="1">
      <c r="A34" s="49" t="inlineStr">
        <is>
          <t>Development</t>
        </is>
      </c>
      <c r="B34" s="50" t="inlineStr">
        <is>
          <t>Security Hardening</t>
        </is>
      </c>
      <c r="C34" s="50" t="inlineStr">
        <is>
          <t>Implement Secrets Manager for GitHub PAT; WAF rules on API GW; CloudTrail for audit; DynamoDB KMS encryption; Cognito MFA option</t>
        </is>
      </c>
      <c r="D34" s="50" t="inlineStr">
        <is>
          <t>Security Engineer</t>
        </is>
      </c>
      <c r="E34" s="51" t="n">
        <v>24</v>
      </c>
      <c r="F34" s="52" t="n">
        <v>1.3</v>
      </c>
      <c r="G34" s="51" t="n">
        <v>31</v>
      </c>
      <c r="H34" s="53" t="n">
        <v>225</v>
      </c>
      <c r="I34" s="53" t="n">
        <v>6975</v>
      </c>
      <c r="J34" s="50" t="inlineStr">
        <is>
          <t>Security Baseline Design</t>
        </is>
      </c>
      <c r="K34" s="50" t="inlineStr"/>
    </row>
    <row r="35" ht="26" customHeight="1">
      <c r="A35" s="44" t="inlineStr">
        <is>
          <t>Development</t>
        </is>
      </c>
      <c r="B35" s="45" t="inlineStr">
        <is>
          <t>Configuration Documentation</t>
        </is>
      </c>
      <c r="C35" s="45" t="inlineStr">
        <is>
          <t>Document all Lambda environment variables; DynamoDB table schemas; S3 bucket policies; Cognito app client settings</t>
        </is>
      </c>
      <c r="D35" s="45" t="inlineStr">
        <is>
          <t>Technical Writer</t>
        </is>
      </c>
      <c r="E35" s="46" t="n">
        <v>32</v>
      </c>
      <c r="F35" s="47" t="n">
        <v>1.3</v>
      </c>
      <c r="G35" s="46" t="n">
        <v>42</v>
      </c>
      <c r="H35" s="48" t="n">
        <v>125</v>
      </c>
      <c r="I35" s="48" t="n">
        <v>5250</v>
      </c>
      <c r="J35" s="45" t="inlineStr">
        <is>
          <t>All Development tasks</t>
        </is>
      </c>
      <c r="K35" s="45" t="inlineStr"/>
    </row>
    <row r="36" ht="26" customHeight="1">
      <c r="A36" s="49" t="inlineStr">
        <is>
          <t>Testing</t>
        </is>
      </c>
      <c r="B36" s="50" t="inlineStr">
        <is>
          <t>Test Plan Development</t>
        </is>
      </c>
      <c r="C36" s="50" t="inlineStr">
        <is>
          <t>Create comprehensive test plan covering agent workflows; CLI commands; API routes; quota enforcement; converter pipeline; Terraform validation</t>
        </is>
      </c>
      <c r="D36" s="50" t="inlineStr">
        <is>
          <t>QA Engineer</t>
        </is>
      </c>
      <c r="E36" s="51" t="n">
        <v>16</v>
      </c>
      <c r="F36" s="52" t="n">
        <v>1.1</v>
      </c>
      <c r="G36" s="51" t="n">
        <v>18</v>
      </c>
      <c r="H36" s="53" t="n">
        <v>150</v>
      </c>
      <c r="I36" s="53" t="n">
        <v>2700</v>
      </c>
      <c r="J36" s="50" t="inlineStr">
        <is>
          <t>All Development tasks</t>
        </is>
      </c>
      <c r="K36" s="50" t="inlineStr">
        <is>
          <t>Phase 3 Weeks 10-12</t>
        </is>
      </c>
    </row>
    <row r="37" ht="26" customHeight="1">
      <c r="A37" s="44" t="inlineStr">
        <is>
          <t>Testing</t>
        </is>
      </c>
      <c r="B37" s="45" t="inlineStr">
        <is>
          <t>Unit Testing — Agent Logic</t>
        </is>
      </c>
      <c r="C37" s="45" t="inlineStr">
        <is>
          <t>Execute unit tests for all 5 agent modules; mock Bedrock calls; validate input/output schemas; retry logic coverage</t>
        </is>
      </c>
      <c r="D37" s="45" t="inlineStr">
        <is>
          <t>Solutions Engineer</t>
        </is>
      </c>
      <c r="E37" s="46" t="n">
        <v>24</v>
      </c>
      <c r="F37" s="47" t="n">
        <v>1.1</v>
      </c>
      <c r="G37" s="46" t="n">
        <v>26</v>
      </c>
      <c r="H37" s="48" t="n">
        <v>200</v>
      </c>
      <c r="I37" s="48" t="n">
        <v>5200</v>
      </c>
      <c r="J37" s="45" t="inlineStr">
        <is>
          <t>All Development tasks</t>
        </is>
      </c>
      <c r="K37" s="45" t="inlineStr"/>
    </row>
    <row r="38" ht="26" customHeight="1">
      <c r="A38" s="49" t="inlineStr">
        <is>
          <t>Testing</t>
        </is>
      </c>
      <c r="B38" s="50" t="inlineStr">
        <is>
          <t>Integration Testing — End-to-End Artifacts</t>
        </is>
      </c>
      <c r="C38" s="50" t="inlineStr">
        <is>
          <t>Execute end-to-end artifact generation for all 12 artifact types; validate format-check pass; LLM quality check; converter pipeline output (DOCX/PPTX/XLSX)</t>
        </is>
      </c>
      <c r="D38" s="50" t="inlineStr">
        <is>
          <t>ML/AI Engineer</t>
        </is>
      </c>
      <c r="E38" s="51" t="n">
        <v>32</v>
      </c>
      <c r="F38" s="52" t="n">
        <v>1.1</v>
      </c>
      <c r="G38" s="51" t="n">
        <v>35</v>
      </c>
      <c r="H38" s="53" t="n">
        <v>250</v>
      </c>
      <c r="I38" s="53" t="n">
        <v>8750</v>
      </c>
      <c r="J38" s="50" t="inlineStr">
        <is>
          <t>eof-Tools Integration</t>
        </is>
      </c>
      <c r="K38" s="50" t="inlineStr">
        <is>
          <t>Critical — must pass before Phase 3 sign-off</t>
        </is>
      </c>
    </row>
    <row r="39" ht="26" customHeight="1">
      <c r="A39" s="44" t="inlineStr">
        <is>
          <t>Testing</t>
        </is>
      </c>
      <c r="B39" s="45" t="inlineStr">
        <is>
          <t>API Route Testing</t>
        </is>
      </c>
      <c r="C39" s="45" t="inlineStr">
        <is>
          <t>Test all 11 Lambda routes via CLI and HTTP client; JWT auth validation; error response codes; rate limiting behaviour</t>
        </is>
      </c>
      <c r="D39" s="45" t="inlineStr">
        <is>
          <t>Solutions Engineer</t>
        </is>
      </c>
      <c r="E39" s="46" t="n">
        <v>20</v>
      </c>
      <c r="F39" s="47" t="n">
        <v>1.1</v>
      </c>
      <c r="G39" s="46" t="n">
        <v>22</v>
      </c>
      <c r="H39" s="48" t="n">
        <v>200</v>
      </c>
      <c r="I39" s="48" t="n">
        <v>4400</v>
      </c>
      <c r="J39" s="45" t="inlineStr">
        <is>
          <t>Lambda Route Handlers — 11 Routes</t>
        </is>
      </c>
      <c r="K39" s="45" t="inlineStr"/>
    </row>
    <row r="40" ht="26" customHeight="1">
      <c r="A40" s="49" t="inlineStr">
        <is>
          <t>Testing</t>
        </is>
      </c>
      <c r="B40" s="50" t="inlineStr">
        <is>
          <t>Terraform Validate Gate Testing</t>
        </is>
      </c>
      <c r="C40" s="50" t="inlineStr">
        <is>
          <t>Validate Terraform IaC output for all 5 core AWS services passes terraform validate; test error surfacing on syntax failures</t>
        </is>
      </c>
      <c r="D40" s="50" t="inlineStr">
        <is>
          <t>Solutions Engineer</t>
        </is>
      </c>
      <c r="E40" s="51" t="n">
        <v>12</v>
      </c>
      <c r="F40" s="52" t="n">
        <v>1.1</v>
      </c>
      <c r="G40" s="51" t="n">
        <v>13</v>
      </c>
      <c r="H40" s="53" t="n">
        <v>200</v>
      </c>
      <c r="I40" s="53" t="n">
        <v>2600</v>
      </c>
      <c r="J40" s="50" t="inlineStr">
        <is>
          <t>Code Generator Agent</t>
        </is>
      </c>
      <c r="K40" s="50" t="inlineStr"/>
    </row>
    <row r="41" ht="26" customHeight="1">
      <c r="A41" s="44" t="inlineStr">
        <is>
          <t>Testing</t>
        </is>
      </c>
      <c r="B41" s="45" t="inlineStr">
        <is>
          <t>Performance &amp; Quota Testing</t>
        </is>
      </c>
      <c r="C41" s="45" t="inlineStr">
        <is>
          <t>Load test quota enforcement (concurrent solution submissions); verify atomic DynamoDB writes under contention; measure per-solution latency (target under 60 minutes)</t>
        </is>
      </c>
      <c r="D41" s="45" t="inlineStr">
        <is>
          <t>Solutions Engineer</t>
        </is>
      </c>
      <c r="E41" s="46" t="n">
        <v>20</v>
      </c>
      <c r="F41" s="47" t="n">
        <v>1.1</v>
      </c>
      <c r="G41" s="46" t="n">
        <v>22</v>
      </c>
      <c r="H41" s="48" t="n">
        <v>200</v>
      </c>
      <c r="I41" s="48" t="n">
        <v>4400</v>
      </c>
      <c r="J41" s="45" t="inlineStr">
        <is>
          <t>DynamoDB Quota Enforcement</t>
        </is>
      </c>
      <c r="K41" s="45" t="inlineStr"/>
    </row>
    <row r="42" ht="26" customHeight="1">
      <c r="A42" s="49" t="inlineStr">
        <is>
          <t>Testing</t>
        </is>
      </c>
      <c r="B42" s="50" t="inlineStr">
        <is>
          <t>Security Testing</t>
        </is>
      </c>
      <c r="C42" s="50" t="inlineStr">
        <is>
          <t>Perform JWT validation bypass attempts; API GW WAF rule verification; IAM privilege escalation checks; Secrets Manager access control validation</t>
        </is>
      </c>
      <c r="D42" s="50" t="inlineStr">
        <is>
          <t>Security Engineer</t>
        </is>
      </c>
      <c r="E42" s="51" t="n">
        <v>16</v>
      </c>
      <c r="F42" s="52" t="n">
        <v>1.1</v>
      </c>
      <c r="G42" s="51" t="n">
        <v>18</v>
      </c>
      <c r="H42" s="53" t="n">
        <v>225</v>
      </c>
      <c r="I42" s="53" t="n">
        <v>4050</v>
      </c>
      <c r="J42" s="50" t="inlineStr">
        <is>
          <t>Security Hardening</t>
        </is>
      </c>
      <c r="K42" s="50" t="inlineStr"/>
    </row>
    <row r="43" ht="26" customHeight="1">
      <c r="A43" s="44" t="inlineStr">
        <is>
          <t>Testing</t>
        </is>
      </c>
      <c r="B43" s="45" t="inlineStr">
        <is>
          <t>CloudWatch Baseline Validation</t>
        </is>
      </c>
      <c r="C43" s="45" t="inlineStr">
        <is>
          <t>Verify green CloudWatch metrics baseline; validate per-phase token usage reporting in CLI status command and admin usage endpoint</t>
        </is>
      </c>
      <c r="D43" s="45" t="inlineStr">
        <is>
          <t>DevOps Engineer</t>
        </is>
      </c>
      <c r="E43" s="46" t="n">
        <v>12</v>
      </c>
      <c r="F43" s="47" t="n">
        <v>1.1</v>
      </c>
      <c r="G43" s="46" t="n">
        <v>13</v>
      </c>
      <c r="H43" s="48" t="n">
        <v>200</v>
      </c>
      <c r="I43" s="48" t="n">
        <v>2600</v>
      </c>
      <c r="J43" s="45" t="inlineStr">
        <is>
          <t>CloudWatch Observability Implementation</t>
        </is>
      </c>
      <c r="K43" s="45" t="inlineStr">
        <is>
          <t>Gate for Phase 3 completion</t>
        </is>
      </c>
    </row>
    <row r="44" ht="26" customHeight="1">
      <c r="A44" s="49" t="inlineStr">
        <is>
          <t>Testing</t>
        </is>
      </c>
      <c r="B44" s="50" t="inlineStr">
        <is>
          <t>UAT Coordination</t>
        </is>
      </c>
      <c r="C44" s="50" t="inlineStr">
        <is>
          <t>Coordinate UAT with Marcus Patel (Pre-Sales Engineering); execute representative presales bundle generation; review output with Sarah Lin (CRO)</t>
        </is>
      </c>
      <c r="D44" s="50" t="inlineStr">
        <is>
          <t>Project Manager</t>
        </is>
      </c>
      <c r="E44" s="51" t="n">
        <v>16</v>
      </c>
      <c r="F44" s="52" t="n">
        <v>1.1</v>
      </c>
      <c r="G44" s="51" t="n">
        <v>18</v>
      </c>
      <c r="H44" s="53" t="n">
        <v>175</v>
      </c>
      <c r="I44" s="53" t="n">
        <v>3150</v>
      </c>
      <c r="J44" s="50" t="inlineStr">
        <is>
          <t>Integration Testing — End-to-End Artifacts</t>
        </is>
      </c>
      <c r="K44" s="50" t="inlineStr"/>
    </row>
    <row r="45" ht="26" customHeight="1">
      <c r="A45" s="44" t="inlineStr">
        <is>
          <t>Testing</t>
        </is>
      </c>
      <c r="B45" s="45" t="inlineStr">
        <is>
          <t>Defect Resolution</t>
        </is>
      </c>
      <c r="C45" s="45" t="inlineStr">
        <is>
          <t>Address and resolve defects identified during testing phases; regression testing after fixes; 10% contingency buffer</t>
        </is>
      </c>
      <c r="D45" s="45" t="inlineStr">
        <is>
          <t>Solutions Engineer</t>
        </is>
      </c>
      <c r="E45" s="46" t="n">
        <v>24</v>
      </c>
      <c r="F45" s="47" t="n">
        <v>1.1</v>
      </c>
      <c r="G45" s="46" t="n">
        <v>26</v>
      </c>
      <c r="H45" s="48" t="n">
        <v>200</v>
      </c>
      <c r="I45" s="48" t="n">
        <v>5200</v>
      </c>
      <c r="J45" s="45" t="inlineStr">
        <is>
          <t>Test Plan Development</t>
        </is>
      </c>
      <c r="K45" s="45" t="inlineStr"/>
    </row>
    <row r="46" ht="26" customHeight="1">
      <c r="A46" s="49" t="inlineStr">
        <is>
          <t>Testing</t>
        </is>
      </c>
      <c r="B46" s="50" t="inlineStr">
        <is>
          <t>Test Results Report</t>
        </is>
      </c>
      <c r="C46" s="50" t="inlineStr">
        <is>
          <t>Document test results; sign-off checklist; known limitations; deferred items for Phase 2 engagement</t>
        </is>
      </c>
      <c r="D46" s="50" t="inlineStr">
        <is>
          <t>QA Engineer</t>
        </is>
      </c>
      <c r="E46" s="51" t="n">
        <v>8</v>
      </c>
      <c r="F46" s="52" t="n">
        <v>1.1</v>
      </c>
      <c r="G46" s="51" t="n">
        <v>9</v>
      </c>
      <c r="H46" s="53" t="n">
        <v>150</v>
      </c>
      <c r="I46" s="53" t="n">
        <v>1350</v>
      </c>
      <c r="J46" s="50" t="inlineStr">
        <is>
          <t>Defect Resolution</t>
        </is>
      </c>
      <c r="K46" s="50" t="inlineStr"/>
    </row>
    <row r="47" ht="26" customHeight="1">
      <c r="A47" s="44" t="inlineStr">
        <is>
          <t>Deployment</t>
        </is>
      </c>
      <c r="B47" s="45" t="inlineStr">
        <is>
          <t>Go-Live Planning</t>
        </is>
      </c>
      <c r="C47" s="45" t="inlineStr">
        <is>
          <t>Plan production cutover approach; rollback procedures; CloudWatch alarm thresholds; stakeholder communication plan</t>
        </is>
      </c>
      <c r="D47" s="45" t="inlineStr">
        <is>
          <t>Project Manager</t>
        </is>
      </c>
      <c r="E47" s="46" t="n">
        <v>8</v>
      </c>
      <c r="F47" s="47" t="n">
        <v>1</v>
      </c>
      <c r="G47" s="46" t="n">
        <v>8</v>
      </c>
      <c r="H47" s="48" t="n">
        <v>175</v>
      </c>
      <c r="I47" s="48" t="n">
        <v>1400</v>
      </c>
      <c r="J47" s="45" t="inlineStr">
        <is>
          <t>Test Results Report</t>
        </is>
      </c>
      <c r="K47" s="45" t="inlineStr"/>
    </row>
    <row r="48" ht="26" customHeight="1">
      <c r="A48" s="49" t="inlineStr">
        <is>
          <t>Deployment</t>
        </is>
      </c>
      <c r="B48" s="50" t="inlineStr">
        <is>
          <t>Production Deployment</t>
        </is>
      </c>
      <c r="C48" s="50" t="inlineStr">
        <is>
          <t>Deploy all infrastructure (Cognito; API GW; Lambda; DynamoDB; S3; AgentCore) to production us-west-2 via Terraform; smoke test</t>
        </is>
      </c>
      <c r="D48" s="50" t="inlineStr">
        <is>
          <t>Cloud Engineer</t>
        </is>
      </c>
      <c r="E48" s="51" t="n">
        <v>24</v>
      </c>
      <c r="F48" s="52" t="n">
        <v>1</v>
      </c>
      <c r="G48" s="51" t="n">
        <v>24</v>
      </c>
      <c r="H48" s="53" t="n">
        <v>200</v>
      </c>
      <c r="I48" s="53" t="n">
        <v>4800</v>
      </c>
      <c r="J48" s="50" t="inlineStr">
        <is>
          <t>Go-Live Planning</t>
        </is>
      </c>
      <c r="K48" s="50" t="inlineStr">
        <is>
          <t>CTO sign-off required pre-deployment</t>
        </is>
      </c>
    </row>
    <row r="49" ht="26" customHeight="1">
      <c r="A49" s="44" t="inlineStr">
        <is>
          <t>Deployment</t>
        </is>
      </c>
      <c r="B49" s="45" t="inlineStr">
        <is>
          <t>CLI Package Publishing</t>
        </is>
      </c>
      <c r="C49" s="45" t="inlineStr">
        <is>
          <t>Publish pip-installable CLI to internal or public PyPI; versioning and changelog documentation</t>
        </is>
      </c>
      <c r="D49" s="45" t="inlineStr">
        <is>
          <t>DevOps Engineer</t>
        </is>
      </c>
      <c r="E49" s="46" t="n">
        <v>8</v>
      </c>
      <c r="F49" s="47" t="n">
        <v>1</v>
      </c>
      <c r="G49" s="46" t="n">
        <v>8</v>
      </c>
      <c r="H49" s="48" t="n">
        <v>200</v>
      </c>
      <c r="I49" s="48" t="n">
        <v>1600</v>
      </c>
      <c r="J49" s="45" t="inlineStr">
        <is>
          <t>Production Deployment</t>
        </is>
      </c>
      <c r="K49" s="45" t="inlineStr"/>
    </row>
    <row r="50" ht="26" customHeight="1">
      <c r="A50" s="49" t="inlineStr">
        <is>
          <t>Deployment</t>
        </is>
      </c>
      <c r="B50" s="50" t="inlineStr">
        <is>
          <t>Runbook Development</t>
        </is>
      </c>
      <c r="C50" s="50" t="inlineStr">
        <is>
          <t>Create operational runbooks: agent failure recovery; quota reset procedures; GitHub PAT rotation; AgentCore image update process</t>
        </is>
      </c>
      <c r="D50" s="50" t="inlineStr">
        <is>
          <t>Technical Writer</t>
        </is>
      </c>
      <c r="E50" s="51" t="n">
        <v>24</v>
      </c>
      <c r="F50" s="52" t="n">
        <v>1</v>
      </c>
      <c r="G50" s="51" t="n">
        <v>24</v>
      </c>
      <c r="H50" s="53" t="n">
        <v>125</v>
      </c>
      <c r="I50" s="53" t="n">
        <v>3000</v>
      </c>
      <c r="J50" s="50" t="inlineStr">
        <is>
          <t>Production Deployment</t>
        </is>
      </c>
      <c r="K50" s="50" t="inlineStr"/>
    </row>
    <row r="51" ht="26" customHeight="1">
      <c r="A51" s="44" t="inlineStr">
        <is>
          <t>Deployment</t>
        </is>
      </c>
      <c r="B51" s="45" t="inlineStr">
        <is>
          <t>Knowledge Transfer Sessions</t>
        </is>
      </c>
      <c r="C51" s="45" t="inlineStr">
        <is>
          <t>Conduct training sessions for Marcus Patel Pre-Sales Engineering team; Daniel Park Delivery Operations team; CLI usage; admin API; quota management</t>
        </is>
      </c>
      <c r="D51" s="45" t="inlineStr">
        <is>
          <t>Trainer</t>
        </is>
      </c>
      <c r="E51" s="46" t="n">
        <v>24</v>
      </c>
      <c r="F51" s="47" t="n">
        <v>1</v>
      </c>
      <c r="G51" s="46" t="n">
        <v>24</v>
      </c>
      <c r="H51" s="48" t="n">
        <v>150</v>
      </c>
      <c r="I51" s="48" t="n">
        <v>3600</v>
      </c>
      <c r="J51" s="45" t="inlineStr">
        <is>
          <t>Runbook Development</t>
        </is>
      </c>
      <c r="K51" s="45" t="inlineStr"/>
    </row>
    <row r="52" ht="26" customHeight="1">
      <c r="A52" s="49" t="inlineStr">
        <is>
          <t>Deployment</t>
        </is>
      </c>
      <c r="B52" s="50" t="inlineStr">
        <is>
          <t>Documentation Delivery</t>
        </is>
      </c>
      <c r="C52" s="50" t="inlineStr">
        <is>
          <t>Deliver as-built architecture documentation; API reference; CLI command reference; operator guide; user onboarding guide</t>
        </is>
      </c>
      <c r="D52" s="50" t="inlineStr">
        <is>
          <t>Technical Writer</t>
        </is>
      </c>
      <c r="E52" s="51" t="n">
        <v>16</v>
      </c>
      <c r="F52" s="52" t="n">
        <v>1</v>
      </c>
      <c r="G52" s="51" t="n">
        <v>16</v>
      </c>
      <c r="H52" s="53" t="n">
        <v>125</v>
      </c>
      <c r="I52" s="53" t="n">
        <v>2000</v>
      </c>
      <c r="J52" s="50" t="inlineStr">
        <is>
          <t>Runbook Development</t>
        </is>
      </c>
      <c r="K52" s="50" t="inlineStr"/>
    </row>
    <row r="53" ht="26" customHeight="1">
      <c r="A53" s="44" t="inlineStr">
        <is>
          <t>Deployment</t>
        </is>
      </c>
      <c r="B53" s="45" t="inlineStr">
        <is>
          <t>Hypercare Support</t>
        </is>
      </c>
      <c r="C53" s="45" t="inlineStr">
        <is>
          <t>4-week post-go-live hypercare support; incident triage; agent prompt tuning; quota adjustment; GitHub commit troubleshooting</t>
        </is>
      </c>
      <c r="D53" s="45" t="inlineStr">
        <is>
          <t>Support Engineer</t>
        </is>
      </c>
      <c r="E53" s="46" t="n">
        <v>40</v>
      </c>
      <c r="F53" s="47" t="n">
        <v>1</v>
      </c>
      <c r="G53" s="46" t="n">
        <v>40</v>
      </c>
      <c r="H53" s="48" t="n">
        <v>150</v>
      </c>
      <c r="I53" s="48" t="n">
        <v>6000</v>
      </c>
      <c r="J53" s="45" t="inlineStr">
        <is>
          <t>Production Deployment</t>
        </is>
      </c>
      <c r="K53" s="45" t="inlineStr">
        <is>
          <t>4-week medium-complexity hypercare</t>
        </is>
      </c>
    </row>
    <row r="54" ht="26" customHeight="1">
      <c r="A54" s="49" t="inlineStr">
        <is>
          <t>Deployment</t>
        </is>
      </c>
      <c r="B54" s="50" t="inlineStr">
        <is>
          <t>Optimization Recommendations</t>
        </is>
      </c>
      <c r="C54" s="50" t="inlineStr">
        <is>
          <t>Document Phase 2 roadmap recommendations: parallel pipeline throughput; multi-region expansion; additional artifact types; cost optimisation at 200 solutions/month</t>
        </is>
      </c>
      <c r="D54" s="50" t="inlineStr">
        <is>
          <t>Solution Architect</t>
        </is>
      </c>
      <c r="E54" s="51" t="n">
        <v>16</v>
      </c>
      <c r="F54" s="52" t="n">
        <v>1</v>
      </c>
      <c r="G54" s="51" t="n">
        <v>16</v>
      </c>
      <c r="H54" s="53" t="n">
        <v>225</v>
      </c>
      <c r="I54" s="53" t="n">
        <v>3600</v>
      </c>
      <c r="J54" s="50" t="inlineStr">
        <is>
          <t>Hypercare Support</t>
        </is>
      </c>
      <c r="K54" s="50" t="inlineStr"/>
    </row>
    <row r="55" ht="26" customHeight="1">
      <c r="A55" s="44" t="inlineStr">
        <is>
          <t>Deployment</t>
        </is>
      </c>
      <c r="B55" s="45" t="inlineStr">
        <is>
          <t>Project Closeout</t>
        </is>
      </c>
      <c r="C55" s="45" t="inlineStr">
        <is>
          <t>Project retrospective with Sarah Lin; Marcus Patel; Daniel Park — lessons learned; 90% effort-reduction metric validation; formal acceptance</t>
        </is>
      </c>
      <c r="D55" s="45" t="inlineStr">
        <is>
          <t>Project Manager</t>
        </is>
      </c>
      <c r="E55" s="46" t="n">
        <v>8</v>
      </c>
      <c r="F55" s="47" t="n">
        <v>1</v>
      </c>
      <c r="G55" s="46" t="n">
        <v>8</v>
      </c>
      <c r="H55" s="48" t="n">
        <v>175</v>
      </c>
      <c r="I55" s="48" t="n">
        <v>1400</v>
      </c>
      <c r="J55" s="45" t="inlineStr">
        <is>
          <t>Optimization Recommendations</t>
        </is>
      </c>
      <c r="K55" s="45" t="inlineStr"/>
    </row>
    <row r="56" ht="26" customHeight="1">
      <c r="A56" s="49" t="inlineStr">
        <is>
          <t>Management</t>
        </is>
      </c>
      <c r="B56" s="50" t="inlineStr">
        <is>
          <t>Technical Leadership</t>
        </is>
      </c>
      <c r="C56" s="50" t="inlineStr">
        <is>
          <t>Quarterback technical oversight across all phases: architecture decisions; agent design reviews; Bedrock model governance; CTO briefings</t>
        </is>
      </c>
      <c r="D56" s="50">
        <f>ROUND(SUM($G$3:$G$62)*0.10,0)</f>
        <v/>
      </c>
      <c r="E56" s="51" t="n">
        <v>1</v>
      </c>
      <c r="F56" s="54">
        <f>ROUND(SUM($G$3:$G$62)*0.10,0)</f>
        <v/>
      </c>
      <c r="G56" s="53" t="n">
        <v>225</v>
      </c>
      <c r="H56" s="55">
        <f>TEXT(ROUND(SUM($G$3:$G$62)*0.10,0)*225,"$#,##0")</f>
        <v/>
      </c>
      <c r="I56" s="55" t="inlineStr"/>
      <c r="J56" s="50" t="inlineStr">
        <is>
          <t>10% of engineering tasks (rows 3-62)</t>
        </is>
      </c>
      <c r="K56" s="50" t="inlineStr"/>
    </row>
    <row r="57" ht="26" customHeight="1">
      <c r="A57" s="44" t="inlineStr">
        <is>
          <t>Management</t>
        </is>
      </c>
      <c r="B57" s="45" t="inlineStr">
        <is>
          <t>Project Management</t>
        </is>
      </c>
      <c r="C57" s="45" t="inlineStr">
        <is>
          <t>Project coordination; weekly status reporting; risk log maintenance; budget tracking; procurement liaison for AWS spend envelope</t>
        </is>
      </c>
      <c r="D57" s="45">
        <f>ROUND(SUM($G$3:$G$62)*0.10,0)</f>
        <v/>
      </c>
      <c r="E57" s="46" t="n">
        <v>1</v>
      </c>
      <c r="F57" s="56">
        <f>ROUND(SUM($G$3:$G$62)*0.10,0)</f>
        <v/>
      </c>
      <c r="G57" s="48" t="n">
        <v>175</v>
      </c>
      <c r="H57" s="57">
        <f>TEXT(ROUND(SUM($G$3:$G$62)*0.10,0)*175,"$#,##0")</f>
        <v/>
      </c>
      <c r="I57" s="57" t="inlineStr"/>
      <c r="J57" s="45" t="inlineStr">
        <is>
          <t>10% of engineering tasks (rows 3-62)</t>
        </is>
      </c>
      <c r="K57" s="45" t="inlineStr"/>
    </row>
    <row r="58" ht="26" customHeight="1">
      <c r="A58" s="58" t="inlineStr"/>
      <c r="B58" s="58" t="inlineStr"/>
      <c r="C58" s="58" t="inlineStr"/>
      <c r="D58" s="58" t="inlineStr"/>
      <c r="E58" s="58" t="inlineStr"/>
      <c r="F58" s="59" t="inlineStr">
        <is>
          <t>TOTAL HOURS</t>
        </is>
      </c>
      <c r="G58" s="59">
        <f>SUM($G$3:$G$64)</f>
        <v/>
      </c>
      <c r="H58" s="59" t="inlineStr">
        <is>
          <t>TOTAL COST</t>
        </is>
      </c>
      <c r="I58" s="59">
        <f>TEXT(SUMPRODUCT($G$3:$G$64,$H$3:$H$64),"$#,##0")</f>
        <v/>
      </c>
      <c r="J58" s="58" t="inlineStr"/>
      <c r="K58" s="58" t="inlineStr"/>
    </row>
  </sheetData>
  <autoFilter ref="A2:K58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60" t="n">
        <v>-15000</v>
      </c>
      <c r="C3" s="37" t="inlineStr">
        <is>
          <t>AWS Partner Network (APN) Advanced Tier credit for Bedrock and AgentCore solution architecture and implementation services — applied to Year 1 professional services</t>
        </is>
      </c>
    </row>
    <row r="4" ht="26" customHeight="1">
      <c r="A4" s="39" t="inlineStr">
        <is>
          <t>AWS Generative AI Competency Incentive</t>
        </is>
      </c>
      <c r="B4" s="61" t="n">
        <v>-5000</v>
      </c>
      <c r="C4" s="40" t="inlineStr">
        <is>
          <t>AWS Generative AI competency partner incentive for validated multi-agent Bedrock implementations — eligibility subject to APN competency verification</t>
        </is>
      </c>
    </row>
    <row r="5" ht="26" customHeight="1">
      <c r="A5" s="36" t="inlineStr">
        <is>
          <t>Volume Implementation Discount</t>
        </is>
      </c>
      <c r="B5" s="60" t="n">
        <v>-5000</v>
      </c>
      <c r="C5" s="37" t="inlineStr">
        <is>
          <t>Strategic account discount on professional services for 12-week fixed-scope engagement — approximately 2% of total services value</t>
        </is>
      </c>
    </row>
    <row r="6" ht="26" customHeight="1">
      <c r="A6" s="62" t="inlineStr">
        <is>
          <t>TOTAL</t>
        </is>
      </c>
      <c r="B6" s="63">
        <f>SUMPRODUCT($G$3:$G$64,$H$3:$H$64)-25000</f>
        <v/>
      </c>
      <c r="C6" s="64" t="inlineStr">
        <is>
          <t>Total professional services cost minus AWS Partner and volume credits — reflects Year 1 billable amount to PREDICTif Solutions</t>
        </is>
      </c>
    </row>
  </sheetData>
  <autoFilter ref="A2:C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2026-06-04T17:27:38Z</dcterms:modified>
  <cp:lastModifiedBy>Kishan Siram</cp:lastModifiedBy>
</cp:coreProperties>
</file>