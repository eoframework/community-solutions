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Tmp546Ryoep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65</v>
      </c>
      <c r="B2" s="35">
        <f>SUMPRODUCT(--(LEN(F5:F69)&gt;0))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IF('Technical Requirements'!A2="","",'Technical Requirements'!A2)</f>
        <v/>
      </c>
      <c r="B15" s="38">
        <f>IF('Technical Requirements'!B2="","",'Technical Requirements'!B2)</f>
        <v/>
      </c>
      <c r="C15" s="38">
        <f>IF('Technical Requirements'!C2="","",'Technical Requirements'!C2)</f>
        <v/>
      </c>
      <c r="D15" s="38">
        <f>IF('Technical Requirements'!D2="","",'Technical Requirements'!D2)</f>
        <v/>
      </c>
      <c r="E15" s="38">
        <f>IF('Technical Requirements'!E2="","",'Technical Requirements'!E2)</f>
        <v/>
      </c>
      <c r="F15" s="39">
        <f>IF('Technical Requirements'!F2="","",'Technical Requirements'!F2)</f>
        <v/>
      </c>
      <c r="G15" s="38">
        <f>IF('Technical Requirements'!G2="","",'Technical Requirements'!G2)</f>
        <v/>
      </c>
    </row>
    <row r="16">
      <c r="A16" s="40">
        <f>IF('Technical Requirements'!A3="","",'Technical Requirements'!A3)</f>
        <v/>
      </c>
      <c r="B16" s="40">
        <f>IF('Technical Requirements'!B3="","",'Technical Requirements'!B3)</f>
        <v/>
      </c>
      <c r="C16" s="40">
        <f>IF('Technical Requirements'!C3="","",'Technical Requirements'!C3)</f>
        <v/>
      </c>
      <c r="D16" s="40">
        <f>IF('Technical Requirements'!D3="","",'Technical Requirements'!D3)</f>
        <v/>
      </c>
      <c r="E16" s="40">
        <f>IF('Technical Requirements'!E3="","",'Technical Requirements'!E3)</f>
        <v/>
      </c>
      <c r="F16" s="39">
        <f>IF('Technical Requirements'!F3="","",'Technical Requirements'!F3)</f>
        <v/>
      </c>
      <c r="G16" s="40">
        <f>IF('Technical Requirements'!G3="","",'Technical Requirements'!G3)</f>
        <v/>
      </c>
    </row>
    <row r="17">
      <c r="A17" s="38">
        <f>IF('Technical Requirements'!A4="","",'Technical Requirements'!A4)</f>
        <v/>
      </c>
      <c r="B17" s="38">
        <f>IF('Technical Requirements'!B4="","",'Technical Requirements'!B4)</f>
        <v/>
      </c>
      <c r="C17" s="38">
        <f>IF('Technical Requirements'!C4="","",'Technical Requirements'!C4)</f>
        <v/>
      </c>
      <c r="D17" s="38">
        <f>IF('Technical Requirements'!D4="","",'Technical Requirements'!D4)</f>
        <v/>
      </c>
      <c r="E17" s="38">
        <f>IF('Technical Requirements'!E4="","",'Technical Requirements'!E4)</f>
        <v/>
      </c>
      <c r="F17" s="39">
        <f>IF('Technical Requirements'!F4="","",'Technical Requirements'!F4)</f>
        <v/>
      </c>
      <c r="G17" s="38">
        <f>IF('Technical Requirements'!G4="","",'Technical Requirements'!G4)</f>
        <v/>
      </c>
    </row>
    <row r="18">
      <c r="A18" s="40">
        <f>IF('Technical Requirements'!A5="","",'Technical Requirements'!A5)</f>
        <v/>
      </c>
      <c r="B18" s="40">
        <f>IF('Technical Requirements'!B5="","",'Technical Requirements'!B5)</f>
        <v/>
      </c>
      <c r="C18" s="40">
        <f>IF('Technical Requirements'!C5="","",'Technical Requirements'!C5)</f>
        <v/>
      </c>
      <c r="D18" s="40">
        <f>IF('Technical Requirements'!D5="","",'Technical Requirements'!D5)</f>
        <v/>
      </c>
      <c r="E18" s="40">
        <f>IF('Technical Requirements'!E5="","",'Technical Requirements'!E5)</f>
        <v/>
      </c>
      <c r="F18" s="39">
        <f>IF('Technical Requirements'!F5="","",'Technical Requirements'!F5)</f>
        <v/>
      </c>
      <c r="G18" s="40">
        <f>IF('Technical Requirements'!G5="","",'Technical Requirements'!G5)</f>
        <v/>
      </c>
    </row>
    <row r="19">
      <c r="A19" s="38">
        <f>IF('Technical Requirements'!A6="","",'Technical Requirements'!A6)</f>
        <v/>
      </c>
      <c r="B19" s="38">
        <f>IF('Technical Requirements'!B6="","",'Technical Requirements'!B6)</f>
        <v/>
      </c>
      <c r="C19" s="38">
        <f>IF('Technical Requirements'!C6="","",'Technical Requirements'!C6)</f>
        <v/>
      </c>
      <c r="D19" s="38">
        <f>IF('Technical Requirements'!D6="","",'Technical Requirements'!D6)</f>
        <v/>
      </c>
      <c r="E19" s="38">
        <f>IF('Technical Requirements'!E6="","",'Technical Requirements'!E6)</f>
        <v/>
      </c>
      <c r="F19" s="39">
        <f>IF('Technical Requirements'!F6="","",'Technical Requirements'!F6)</f>
        <v/>
      </c>
      <c r="G19" s="38">
        <f>IF('Technical Requirements'!G6="","",'Technical Requirements'!G6)</f>
        <v/>
      </c>
    </row>
    <row r="20">
      <c r="A20" s="40">
        <f>IF('Technical Requirements'!A7="","",'Technical Requirements'!A7)</f>
        <v/>
      </c>
      <c r="B20" s="40">
        <f>IF('Technical Requirements'!B7="","",'Technical Requirements'!B7)</f>
        <v/>
      </c>
      <c r="C20" s="40">
        <f>IF('Technical Requirements'!C7="","",'Technical Requirements'!C7)</f>
        <v/>
      </c>
      <c r="D20" s="40">
        <f>IF('Technical Requirements'!D7="","",'Technical Requirements'!D7)</f>
        <v/>
      </c>
      <c r="E20" s="40">
        <f>IF('Technical Requirements'!E7="","",'Technical Requirements'!E7)</f>
        <v/>
      </c>
      <c r="F20" s="39">
        <f>IF('Technical Requirements'!F7="","",'Technical Requirements'!F7)</f>
        <v/>
      </c>
      <c r="G20" s="40">
        <f>IF('Technical Requirements'!G7="","",'Technical Requirements'!G7)</f>
        <v/>
      </c>
    </row>
    <row r="21">
      <c r="A21" s="38">
        <f>IF('Technical Requirements'!A8="","",'Technical Requirements'!A8)</f>
        <v/>
      </c>
      <c r="B21" s="38">
        <f>IF('Technical Requirements'!B8="","",'Technical Requirements'!B8)</f>
        <v/>
      </c>
      <c r="C21" s="38">
        <f>IF('Technical Requirements'!C8="","",'Technical Requirements'!C8)</f>
        <v/>
      </c>
      <c r="D21" s="38">
        <f>IF('Technical Requirements'!D8="","",'Technical Requirements'!D8)</f>
        <v/>
      </c>
      <c r="E21" s="38">
        <f>IF('Technical Requirements'!E8="","",'Technical Requirements'!E8)</f>
        <v/>
      </c>
      <c r="F21" s="39">
        <f>IF('Technical Requirements'!F8="","",'Technical Requirements'!F8)</f>
        <v/>
      </c>
      <c r="G21" s="38">
        <f>IF('Technical Requirements'!G8="","",'Technical Requirements'!G8)</f>
        <v/>
      </c>
    </row>
    <row r="22">
      <c r="A22" s="40">
        <f>IF('Technical Requirements'!A9="","",'Technical Requirements'!A9)</f>
        <v/>
      </c>
      <c r="B22" s="40">
        <f>IF('Technical Requirements'!B9="","",'Technical Requirements'!B9)</f>
        <v/>
      </c>
      <c r="C22" s="40">
        <f>IF('Technical Requirements'!C9="","",'Technical Requirements'!C9)</f>
        <v/>
      </c>
      <c r="D22" s="40">
        <f>IF('Technical Requirements'!D9="","",'Technical Requirements'!D9)</f>
        <v/>
      </c>
      <c r="E22" s="40">
        <f>IF('Technical Requirements'!E9="","",'Technical Requirements'!E9)</f>
        <v/>
      </c>
      <c r="F22" s="39">
        <f>IF('Technical Requirements'!F9="","",'Technical Requirements'!F9)</f>
        <v/>
      </c>
      <c r="G22" s="40">
        <f>IF('Technical Requirements'!G9="","",'Technical Requirements'!G9)</f>
        <v/>
      </c>
    </row>
    <row r="23">
      <c r="A23" s="38">
        <f>IF('Technical Requirements'!A10="","",'Technical Requirements'!A10)</f>
        <v/>
      </c>
      <c r="B23" s="38">
        <f>IF('Technical Requirements'!B10="","",'Technical Requirements'!B10)</f>
        <v/>
      </c>
      <c r="C23" s="38">
        <f>IF('Technical Requirements'!C10="","",'Technical Requirements'!C10)</f>
        <v/>
      </c>
      <c r="D23" s="38">
        <f>IF('Technical Requirements'!D10="","",'Technical Requirements'!D10)</f>
        <v/>
      </c>
      <c r="E23" s="38">
        <f>IF('Technical Requirements'!E10="","",'Technical Requirements'!E10)</f>
        <v/>
      </c>
      <c r="F23" s="39">
        <f>IF('Technical Requirements'!F10="","",'Technical Requirements'!F10)</f>
        <v/>
      </c>
      <c r="G23" s="38">
        <f>IF('Technical Requirements'!G10="","",'Technical Requirements'!G10)</f>
        <v/>
      </c>
    </row>
    <row r="24">
      <c r="A24" s="40">
        <f>IF('Technical Requirements'!A11="","",'Technical Requirements'!A11)</f>
        <v/>
      </c>
      <c r="B24" s="40">
        <f>IF('Technical Requirements'!B11="","",'Technical Requirements'!B11)</f>
        <v/>
      </c>
      <c r="C24" s="40">
        <f>IF('Technical Requirements'!C11="","",'Technical Requirements'!C11)</f>
        <v/>
      </c>
      <c r="D24" s="40">
        <f>IF('Technical Requirements'!D11="","",'Technical Requirements'!D11)</f>
        <v/>
      </c>
      <c r="E24" s="40">
        <f>IF('Technical Requirements'!E11="","",'Technical Requirements'!E11)</f>
        <v/>
      </c>
      <c r="F24" s="39">
        <f>IF('Technical Requirements'!F11="","",'Technical Requirements'!F11)</f>
        <v/>
      </c>
      <c r="G24" s="40">
        <f>IF('Technical Requirements'!G11="","",'Technical Requirements'!G11)</f>
        <v/>
      </c>
    </row>
    <row r="25">
      <c r="A25" s="38">
        <f>IF('Technical Requirements'!A12="","",'Technical Requirements'!A12)</f>
        <v/>
      </c>
      <c r="B25" s="38">
        <f>IF('Technical Requirements'!B12="","",'Technical Requirements'!B12)</f>
        <v/>
      </c>
      <c r="C25" s="38">
        <f>IF('Technical Requirements'!C12="","",'Technical Requirements'!C12)</f>
        <v/>
      </c>
      <c r="D25" s="38">
        <f>IF('Technical Requirements'!D12="","",'Technical Requirements'!D12)</f>
        <v/>
      </c>
      <c r="E25" s="38">
        <f>IF('Technical Requirements'!E12="","",'Technical Requirements'!E12)</f>
        <v/>
      </c>
      <c r="F25" s="39">
        <f>IF('Technical Requirements'!F12="","",'Technical Requirements'!F12)</f>
        <v/>
      </c>
      <c r="G25" s="38">
        <f>IF('Technical Requirements'!G12="","",'Technical Requirements'!G12)</f>
        <v/>
      </c>
    </row>
    <row r="26">
      <c r="A26" s="40">
        <f>IF('Technical Requirements'!A13="","",'Technical Requirements'!A13)</f>
        <v/>
      </c>
      <c r="B26" s="40">
        <f>IF('Technical Requirements'!B13="","",'Technical Requirements'!B13)</f>
        <v/>
      </c>
      <c r="C26" s="40">
        <f>IF('Technical Requirements'!C13="","",'Technical Requirements'!C13)</f>
        <v/>
      </c>
      <c r="D26" s="40">
        <f>IF('Technical Requirements'!D13="","",'Technical Requirements'!D13)</f>
        <v/>
      </c>
      <c r="E26" s="40">
        <f>IF('Technical Requirements'!E13="","",'Technical Requirements'!E13)</f>
        <v/>
      </c>
      <c r="F26" s="39">
        <f>IF('Technical Requirements'!F13="","",'Technical Requirements'!F13)</f>
        <v/>
      </c>
      <c r="G26" s="40">
        <f>IF('Technical Requirements'!G13="","",'Technical Requirements'!G13)</f>
        <v/>
      </c>
    </row>
    <row r="27">
      <c r="A27" s="38">
        <f>IF('Technical Requirements'!A14="","",'Technical Requirements'!A14)</f>
        <v/>
      </c>
      <c r="B27" s="38">
        <f>IF('Technical Requirements'!B14="","",'Technical Requirements'!B14)</f>
        <v/>
      </c>
      <c r="C27" s="38">
        <f>IF('Technical Requirements'!C14="","",'Technical Requirements'!C14)</f>
        <v/>
      </c>
      <c r="D27" s="38">
        <f>IF('Technical Requirements'!D14="","",'Technical Requirements'!D14)</f>
        <v/>
      </c>
      <c r="E27" s="38">
        <f>IF('Technical Requirements'!E14="","",'Technical Requirements'!E14)</f>
        <v/>
      </c>
      <c r="F27" s="39">
        <f>IF('Technical Requirements'!F14="","",'Technical Requirements'!F14)</f>
        <v/>
      </c>
      <c r="G27" s="38">
        <f>IF('Technical Requirements'!G14="","",'Technical Requirements'!G14)</f>
        <v/>
      </c>
    </row>
    <row r="28">
      <c r="A28" s="40">
        <f>IF('Technical Requirements'!A15="","",'Technical Requirements'!A15)</f>
        <v/>
      </c>
      <c r="B28" s="40">
        <f>IF('Technical Requirements'!B15="","",'Technical Requirements'!B15)</f>
        <v/>
      </c>
      <c r="C28" s="40">
        <f>IF('Technical Requirements'!C15="","",'Technical Requirements'!C15)</f>
        <v/>
      </c>
      <c r="D28" s="40">
        <f>IF('Technical Requirements'!D15="","",'Technical Requirements'!D15)</f>
        <v/>
      </c>
      <c r="E28" s="40">
        <f>IF('Technical Requirements'!E15="","",'Technical Requirements'!E15)</f>
        <v/>
      </c>
      <c r="F28" s="39">
        <f>IF('Technical Requirements'!F15="","",'Technical Requirements'!F15)</f>
        <v/>
      </c>
      <c r="G28" s="40">
        <f>IF('Technical Requirements'!G15="","",'Technical Requirements'!G15)</f>
        <v/>
      </c>
    </row>
    <row r="29">
      <c r="A29" s="38">
        <f>IF('Technical Requirements'!A16="","",'Technical Requirements'!A16)</f>
        <v/>
      </c>
      <c r="B29" s="38">
        <f>IF('Technical Requirements'!B16="","",'Technical Requirements'!B16)</f>
        <v/>
      </c>
      <c r="C29" s="38">
        <f>IF('Technical Requirements'!C16="","",'Technical Requirements'!C16)</f>
        <v/>
      </c>
      <c r="D29" s="38">
        <f>IF('Technical Requirements'!D16="","",'Technical Requirements'!D16)</f>
        <v/>
      </c>
      <c r="E29" s="38">
        <f>IF('Technical Requirements'!E16="","",'Technical Requirements'!E16)</f>
        <v/>
      </c>
      <c r="F29" s="39">
        <f>IF('Technical Requirements'!F16="","",'Technical Requirements'!F16)</f>
        <v/>
      </c>
      <c r="G29" s="38">
        <f>IF('Technical Requirements'!G16="","",'Technical Requirements'!G16)</f>
        <v/>
      </c>
    </row>
    <row r="30">
      <c r="A30" s="40">
        <f>IF('Technical Requirements'!A17="","",'Technical Requirements'!A17)</f>
        <v/>
      </c>
      <c r="B30" s="40">
        <f>IF('Technical Requirements'!B17="","",'Technical Requirements'!B17)</f>
        <v/>
      </c>
      <c r="C30" s="40">
        <f>IF('Technical Requirements'!C17="","",'Technical Requirements'!C17)</f>
        <v/>
      </c>
      <c r="D30" s="40">
        <f>IF('Technical Requirements'!D17="","",'Technical Requirements'!D17)</f>
        <v/>
      </c>
      <c r="E30" s="40">
        <f>IF('Technical Requirements'!E17="","",'Technical Requirements'!E17)</f>
        <v/>
      </c>
      <c r="F30" s="39">
        <f>IF('Technical Requirements'!F17="","",'Technical Requirements'!F17)</f>
        <v/>
      </c>
      <c r="G30" s="40">
        <f>IF('Technical Requirements'!G17="","",'Technical Requirements'!G17)</f>
        <v/>
      </c>
    </row>
    <row r="31">
      <c r="A31" s="38">
        <f>IF('Technical Requirements'!A18="","",'Technical Requirements'!A18)</f>
        <v/>
      </c>
      <c r="B31" s="38">
        <f>IF('Technical Requirements'!B18="","",'Technical Requirements'!B18)</f>
        <v/>
      </c>
      <c r="C31" s="38">
        <f>IF('Technical Requirements'!C18="","",'Technical Requirements'!C18)</f>
        <v/>
      </c>
      <c r="D31" s="38">
        <f>IF('Technical Requirements'!D18="","",'Technical Requirements'!D18)</f>
        <v/>
      </c>
      <c r="E31" s="38">
        <f>IF('Technical Requirements'!E18="","",'Technical Requirements'!E18)</f>
        <v/>
      </c>
      <c r="F31" s="39">
        <f>IF('Technical Requirements'!F18="","",'Technical Requirements'!F18)</f>
        <v/>
      </c>
      <c r="G31" s="38">
        <f>IF('Technical Requirements'!G18="","",'Technical Requirements'!G18)</f>
        <v/>
      </c>
    </row>
    <row r="32">
      <c r="A32" s="40">
        <f>IF('Technical Requirements'!A19="","",'Technical Requirements'!A19)</f>
        <v/>
      </c>
      <c r="B32" s="40">
        <f>IF('Technical Requirements'!B19="","",'Technical Requirements'!B19)</f>
        <v/>
      </c>
      <c r="C32" s="40">
        <f>IF('Technical Requirements'!C19="","",'Technical Requirements'!C19)</f>
        <v/>
      </c>
      <c r="D32" s="40">
        <f>IF('Technical Requirements'!D19="","",'Technical Requirements'!D19)</f>
        <v/>
      </c>
      <c r="E32" s="40">
        <f>IF('Technical Requirements'!E19="","",'Technical Requirements'!E19)</f>
        <v/>
      </c>
      <c r="F32" s="39">
        <f>IF('Technical Requirements'!F19="","",'Technical Requirements'!F19)</f>
        <v/>
      </c>
      <c r="G32" s="40">
        <f>IF('Technical Requirements'!G19="","",'Technical Requirements'!G19)</f>
        <v/>
      </c>
    </row>
    <row r="33">
      <c r="A33" s="38">
        <f>IF('Technical Requirements'!A20="","",'Technical Requirements'!A20)</f>
        <v/>
      </c>
      <c r="B33" s="38">
        <f>IF('Technical Requirements'!B20="","",'Technical Requirements'!B20)</f>
        <v/>
      </c>
      <c r="C33" s="38">
        <f>IF('Technical Requirements'!C20="","",'Technical Requirements'!C20)</f>
        <v/>
      </c>
      <c r="D33" s="38">
        <f>IF('Technical Requirements'!D20="","",'Technical Requirements'!D20)</f>
        <v/>
      </c>
      <c r="E33" s="38">
        <f>IF('Technical Requirements'!E20="","",'Technical Requirements'!E20)</f>
        <v/>
      </c>
      <c r="F33" s="39">
        <f>IF('Technical Requirements'!F20="","",'Technical Requirements'!F20)</f>
        <v/>
      </c>
      <c r="G33" s="38">
        <f>IF('Technical Requirements'!G20="","",'Technical Requirements'!G20)</f>
        <v/>
      </c>
    </row>
    <row r="34">
      <c r="A34" s="40">
        <f>IF('Technical Requirements'!A21="","",'Technical Requirements'!A21)</f>
        <v/>
      </c>
      <c r="B34" s="40">
        <f>IF('Technical Requirements'!B21="","",'Technical Requirements'!B21)</f>
        <v/>
      </c>
      <c r="C34" s="40">
        <f>IF('Technical Requirements'!C21="","",'Technical Requirements'!C21)</f>
        <v/>
      </c>
      <c r="D34" s="40">
        <f>IF('Technical Requirements'!D21="","",'Technical Requirements'!D21)</f>
        <v/>
      </c>
      <c r="E34" s="40">
        <f>IF('Technical Requirements'!E21="","",'Technical Requirements'!E21)</f>
        <v/>
      </c>
      <c r="F34" s="39">
        <f>IF('Technical Requirements'!F21="","",'Technical Requirements'!F21)</f>
        <v/>
      </c>
      <c r="G34" s="40">
        <f>IF('Technical Requirements'!G21="","",'Technical Requirements'!G21)</f>
        <v/>
      </c>
    </row>
    <row r="35">
      <c r="A35" s="38">
        <f>IF('Security &amp; Compliance'!A2="","",'Security &amp; Compliance'!A2)</f>
        <v/>
      </c>
      <c r="B35" s="38">
        <f>IF('Security &amp; Compliance'!B2="","",'Security &amp; Compliance'!B2)</f>
        <v/>
      </c>
      <c r="C35" s="38">
        <f>IF('Security &amp; Compliance'!C2="","",'Security &amp; Compliance'!C2)</f>
        <v/>
      </c>
      <c r="D35" s="38">
        <f>IF('Security &amp; Compliance'!D2="","",'Security &amp; Compliance'!D2)</f>
        <v/>
      </c>
      <c r="E35" s="38">
        <f>IF('Security &amp; Compliance'!E2="","",'Security &amp; Compliance'!E2)</f>
        <v/>
      </c>
      <c r="F35" s="39">
        <f>IF('Security &amp; Compliance'!F2="","",'Security &amp; Compliance'!F2)</f>
        <v/>
      </c>
      <c r="G35" s="38">
        <f>IF('Security &amp; Compliance'!G2="","",'Security &amp; Compliance'!G2)</f>
        <v/>
      </c>
    </row>
    <row r="36">
      <c r="A36" s="40">
        <f>IF('Security &amp; Compliance'!A3="","",'Security &amp; Compliance'!A3)</f>
        <v/>
      </c>
      <c r="B36" s="40">
        <f>IF('Security &amp; Compliance'!B3="","",'Security &amp; Compliance'!B3)</f>
        <v/>
      </c>
      <c r="C36" s="40">
        <f>IF('Security &amp; Compliance'!C3="","",'Security &amp; Compliance'!C3)</f>
        <v/>
      </c>
      <c r="D36" s="40">
        <f>IF('Security &amp; Compliance'!D3="","",'Security &amp; Compliance'!D3)</f>
        <v/>
      </c>
      <c r="E36" s="40">
        <f>IF('Security &amp; Compliance'!E3="","",'Security &amp; Compliance'!E3)</f>
        <v/>
      </c>
      <c r="F36" s="39">
        <f>IF('Security &amp; Compliance'!F3="","",'Security &amp; Compliance'!F3)</f>
        <v/>
      </c>
      <c r="G36" s="40">
        <f>IF('Security &amp; Compliance'!G3="","",'Security &amp; Compliance'!G3)</f>
        <v/>
      </c>
    </row>
    <row r="37">
      <c r="A37" s="38">
        <f>IF('Security &amp; Compliance'!A4="","",'Security &amp; Compliance'!A4)</f>
        <v/>
      </c>
      <c r="B37" s="38">
        <f>IF('Security &amp; Compliance'!B4="","",'Security &amp; Compliance'!B4)</f>
        <v/>
      </c>
      <c r="C37" s="38">
        <f>IF('Security &amp; Compliance'!C4="","",'Security &amp; Compliance'!C4)</f>
        <v/>
      </c>
      <c r="D37" s="38">
        <f>IF('Security &amp; Compliance'!D4="","",'Security &amp; Compliance'!D4)</f>
        <v/>
      </c>
      <c r="E37" s="38">
        <f>IF('Security &amp; Compliance'!E4="","",'Security &amp; Compliance'!E4)</f>
        <v/>
      </c>
      <c r="F37" s="39">
        <f>IF('Security &amp; Compliance'!F4="","",'Security &amp; Compliance'!F4)</f>
        <v/>
      </c>
      <c r="G37" s="38">
        <f>IF('Security &amp; Compliance'!G4="","",'Security &amp; Compliance'!G4)</f>
        <v/>
      </c>
    </row>
    <row r="38">
      <c r="A38" s="40">
        <f>IF('Security &amp; Compliance'!A5="","",'Security &amp; Compliance'!A5)</f>
        <v/>
      </c>
      <c r="B38" s="40">
        <f>IF('Security &amp; Compliance'!B5="","",'Security &amp; Compliance'!B5)</f>
        <v/>
      </c>
      <c r="C38" s="40">
        <f>IF('Security &amp; Compliance'!C5="","",'Security &amp; Compliance'!C5)</f>
        <v/>
      </c>
      <c r="D38" s="40">
        <f>IF('Security &amp; Compliance'!D5="","",'Security &amp; Compliance'!D5)</f>
        <v/>
      </c>
      <c r="E38" s="40">
        <f>IF('Security &amp; Compliance'!E5="","",'Security &amp; Compliance'!E5)</f>
        <v/>
      </c>
      <c r="F38" s="39">
        <f>IF('Security &amp; Compliance'!F5="","",'Security &amp; Compliance'!F5)</f>
        <v/>
      </c>
      <c r="G38" s="40">
        <f>IF('Security &amp; Compliance'!G5="","",'Security &amp; Compliance'!G5)</f>
        <v/>
      </c>
    </row>
    <row r="39">
      <c r="A39" s="38">
        <f>IF('Security &amp; Compliance'!A6="","",'Security &amp; Compliance'!A6)</f>
        <v/>
      </c>
      <c r="B39" s="38">
        <f>IF('Security &amp; Compliance'!B6="","",'Security &amp; Compliance'!B6)</f>
        <v/>
      </c>
      <c r="C39" s="38">
        <f>IF('Security &amp; Compliance'!C6="","",'Security &amp; Compliance'!C6)</f>
        <v/>
      </c>
      <c r="D39" s="38">
        <f>IF('Security &amp; Compliance'!D6="","",'Security &amp; Compliance'!D6)</f>
        <v/>
      </c>
      <c r="E39" s="38">
        <f>IF('Security &amp; Compliance'!E6="","",'Security &amp; Compliance'!E6)</f>
        <v/>
      </c>
      <c r="F39" s="39">
        <f>IF('Security &amp; Compliance'!F6="","",'Security &amp; Compliance'!F6)</f>
        <v/>
      </c>
      <c r="G39" s="38">
        <f>IF('Security &amp; Compliance'!G6="","",'Security &amp; Compliance'!G6)</f>
        <v/>
      </c>
    </row>
    <row r="40">
      <c r="A40" s="40">
        <f>IF('Security &amp; Compliance'!A7="","",'Security &amp; Compliance'!A7)</f>
        <v/>
      </c>
      <c r="B40" s="40">
        <f>IF('Security &amp; Compliance'!B7="","",'Security &amp; Compliance'!B7)</f>
        <v/>
      </c>
      <c r="C40" s="40">
        <f>IF('Security &amp; Compliance'!C7="","",'Security &amp; Compliance'!C7)</f>
        <v/>
      </c>
      <c r="D40" s="40">
        <f>IF('Security &amp; Compliance'!D7="","",'Security &amp; Compliance'!D7)</f>
        <v/>
      </c>
      <c r="E40" s="40">
        <f>IF('Security &amp; Compliance'!E7="","",'Security &amp; Compliance'!E7)</f>
        <v/>
      </c>
      <c r="F40" s="39">
        <f>IF('Security &amp; Compliance'!F7="","",'Security &amp; Compliance'!F7)</f>
        <v/>
      </c>
      <c r="G40" s="40">
        <f>IF('Security &amp; Compliance'!G7="","",'Security &amp; Compliance'!G7)</f>
        <v/>
      </c>
    </row>
    <row r="41">
      <c r="A41" s="38">
        <f>IF('Security &amp; Compliance'!A8="","",'Security &amp; Compliance'!A8)</f>
        <v/>
      </c>
      <c r="B41" s="38">
        <f>IF('Security &amp; Compliance'!B8="","",'Security &amp; Compliance'!B8)</f>
        <v/>
      </c>
      <c r="C41" s="38">
        <f>IF('Security &amp; Compliance'!C8="","",'Security &amp; Compliance'!C8)</f>
        <v/>
      </c>
      <c r="D41" s="38">
        <f>IF('Security &amp; Compliance'!D8="","",'Security &amp; Compliance'!D8)</f>
        <v/>
      </c>
      <c r="E41" s="38">
        <f>IF('Security &amp; Compliance'!E8="","",'Security &amp; Compliance'!E8)</f>
        <v/>
      </c>
      <c r="F41" s="39">
        <f>IF('Security &amp; Compliance'!F8="","",'Security &amp; Compliance'!F8)</f>
        <v/>
      </c>
      <c r="G41" s="38">
        <f>IF('Security &amp; Compliance'!G8="","",'Security &amp; Compliance'!G8)</f>
        <v/>
      </c>
    </row>
    <row r="42">
      <c r="A42" s="40">
        <f>IF('Security &amp; Compliance'!A9="","",'Security &amp; Compliance'!A9)</f>
        <v/>
      </c>
      <c r="B42" s="40">
        <f>IF('Security &amp; Compliance'!B9="","",'Security &amp; Compliance'!B9)</f>
        <v/>
      </c>
      <c r="C42" s="40">
        <f>IF('Security &amp; Compliance'!C9="","",'Security &amp; Compliance'!C9)</f>
        <v/>
      </c>
      <c r="D42" s="40">
        <f>IF('Security &amp; Compliance'!D9="","",'Security &amp; Compliance'!D9)</f>
        <v/>
      </c>
      <c r="E42" s="40">
        <f>IF('Security &amp; Compliance'!E9="","",'Security &amp; Compliance'!E9)</f>
        <v/>
      </c>
      <c r="F42" s="39">
        <f>IF('Security &amp; Compliance'!F9="","",'Security &amp; Compliance'!F9)</f>
        <v/>
      </c>
      <c r="G42" s="40">
        <f>IF('Security &amp; Compliance'!G9="","",'Security &amp; Compliance'!G9)</f>
        <v/>
      </c>
    </row>
    <row r="43">
      <c r="A43" s="38">
        <f>IF('Security &amp; Compliance'!A10="","",'Security &amp; Compliance'!A10)</f>
        <v/>
      </c>
      <c r="B43" s="38">
        <f>IF('Security &amp; Compliance'!B10="","",'Security &amp; Compliance'!B10)</f>
        <v/>
      </c>
      <c r="C43" s="38">
        <f>IF('Security &amp; Compliance'!C10="","",'Security &amp; Compliance'!C10)</f>
        <v/>
      </c>
      <c r="D43" s="38">
        <f>IF('Security &amp; Compliance'!D10="","",'Security &amp; Compliance'!D10)</f>
        <v/>
      </c>
      <c r="E43" s="38">
        <f>IF('Security &amp; Compliance'!E10="","",'Security &amp; Compliance'!E10)</f>
        <v/>
      </c>
      <c r="F43" s="39">
        <f>IF('Security &amp; Compliance'!F10="","",'Security &amp; Compliance'!F10)</f>
        <v/>
      </c>
      <c r="G43" s="38">
        <f>IF('Security &amp; Compliance'!G10="","",'Security &amp; Compliance'!G10)</f>
        <v/>
      </c>
    </row>
    <row r="44">
      <c r="A44" s="40">
        <f>IF('Security &amp; Compliance'!A11="","",'Security &amp; Compliance'!A11)</f>
        <v/>
      </c>
      <c r="B44" s="40">
        <f>IF('Security &amp; Compliance'!B11="","",'Security &amp; Compliance'!B11)</f>
        <v/>
      </c>
      <c r="C44" s="40">
        <f>IF('Security &amp; Compliance'!C11="","",'Security &amp; Compliance'!C11)</f>
        <v/>
      </c>
      <c r="D44" s="40">
        <f>IF('Security &amp; Compliance'!D11="","",'Security &amp; Compliance'!D11)</f>
        <v/>
      </c>
      <c r="E44" s="40">
        <f>IF('Security &amp; Compliance'!E11="","",'Security &amp; Compliance'!E11)</f>
        <v/>
      </c>
      <c r="F44" s="39">
        <f>IF('Security &amp; Compliance'!F11="","",'Security &amp; Compliance'!F11)</f>
        <v/>
      </c>
      <c r="G44" s="40">
        <f>IF('Security &amp; Compliance'!G11="","",'Security &amp; Compliance'!G11)</f>
        <v/>
      </c>
    </row>
    <row r="45">
      <c r="A45" s="38">
        <f>IF('Security &amp; Compliance'!A12="","",'Security &amp; Compliance'!A12)</f>
        <v/>
      </c>
      <c r="B45" s="38">
        <f>IF('Security &amp; Compliance'!B12="","",'Security &amp; Compliance'!B12)</f>
        <v/>
      </c>
      <c r="C45" s="38">
        <f>IF('Security &amp; Compliance'!C12="","",'Security &amp; Compliance'!C12)</f>
        <v/>
      </c>
      <c r="D45" s="38">
        <f>IF('Security &amp; Compliance'!D12="","",'Security &amp; Compliance'!D12)</f>
        <v/>
      </c>
      <c r="E45" s="38">
        <f>IF('Security &amp; Compliance'!E12="","",'Security &amp; Compliance'!E12)</f>
        <v/>
      </c>
      <c r="F45" s="39">
        <f>IF('Security &amp; Compliance'!F12="","",'Security &amp; Compliance'!F12)</f>
        <v/>
      </c>
      <c r="G45" s="38">
        <f>IF('Security &amp; Compliance'!G12="","",'Security &amp; Compliance'!G12)</f>
        <v/>
      </c>
    </row>
    <row r="46">
      <c r="A46" s="40">
        <f>IF('Operations &amp; Support'!A2="","",'Operations &amp; Support'!A2)</f>
        <v/>
      </c>
      <c r="B46" s="40">
        <f>IF('Operations &amp; Support'!B2="","",'Operations &amp; Support'!B2)</f>
        <v/>
      </c>
      <c r="C46" s="40">
        <f>IF('Operations &amp; Support'!C2="","",'Operations &amp; Support'!C2)</f>
        <v/>
      </c>
      <c r="D46" s="40">
        <f>IF('Operations &amp; Support'!D2="","",'Operations &amp; Support'!D2)</f>
        <v/>
      </c>
      <c r="E46" s="40">
        <f>IF('Operations &amp; Support'!E2="","",'Operations &amp; Support'!E2)</f>
        <v/>
      </c>
      <c r="F46" s="39">
        <f>IF('Operations &amp; Support'!F2="","",'Operations &amp; Support'!F2)</f>
        <v/>
      </c>
      <c r="G46" s="40">
        <f>IF('Operations &amp; Support'!G2="","",'Operations &amp; Support'!G2)</f>
        <v/>
      </c>
    </row>
    <row r="47">
      <c r="A47" s="38">
        <f>IF('Operations &amp; Support'!A3="","",'Operations &amp; Support'!A3)</f>
        <v/>
      </c>
      <c r="B47" s="38">
        <f>IF('Operations &amp; Support'!B3="","",'Operations &amp; Support'!B3)</f>
        <v/>
      </c>
      <c r="C47" s="38">
        <f>IF('Operations &amp; Support'!C3="","",'Operations &amp; Support'!C3)</f>
        <v/>
      </c>
      <c r="D47" s="38">
        <f>IF('Operations &amp; Support'!D3="","",'Operations &amp; Support'!D3)</f>
        <v/>
      </c>
      <c r="E47" s="38">
        <f>IF('Operations &amp; Support'!E3="","",'Operations &amp; Support'!E3)</f>
        <v/>
      </c>
      <c r="F47" s="39">
        <f>IF('Operations &amp; Support'!F3="","",'Operations &amp; Support'!F3)</f>
        <v/>
      </c>
      <c r="G47" s="38">
        <f>IF('Operations &amp; Support'!G3="","",'Operations &amp; Support'!G3)</f>
        <v/>
      </c>
    </row>
    <row r="48">
      <c r="A48" s="40">
        <f>IF('Operations &amp; Support'!A4="","",'Operations &amp; Support'!A4)</f>
        <v/>
      </c>
      <c r="B48" s="40">
        <f>IF('Operations &amp; Support'!B4="","",'Operations &amp; Support'!B4)</f>
        <v/>
      </c>
      <c r="C48" s="40">
        <f>IF('Operations &amp; Support'!C4="","",'Operations &amp; Support'!C4)</f>
        <v/>
      </c>
      <c r="D48" s="40">
        <f>IF('Operations &amp; Support'!D4="","",'Operations &amp; Support'!D4)</f>
        <v/>
      </c>
      <c r="E48" s="40">
        <f>IF('Operations &amp; Support'!E4="","",'Operations &amp; Support'!E4)</f>
        <v/>
      </c>
      <c r="F48" s="39">
        <f>IF('Operations &amp; Support'!F4="","",'Operations &amp; Support'!F4)</f>
        <v/>
      </c>
      <c r="G48" s="40">
        <f>IF('Operations &amp; Support'!G4="","",'Operations &amp; Support'!G4)</f>
        <v/>
      </c>
    </row>
    <row r="49">
      <c r="A49" s="38">
        <f>IF('Operations &amp; Support'!A5="","",'Operations &amp; Support'!A5)</f>
        <v/>
      </c>
      <c r="B49" s="38">
        <f>IF('Operations &amp; Support'!B5="","",'Operations &amp; Support'!B5)</f>
        <v/>
      </c>
      <c r="C49" s="38">
        <f>IF('Operations &amp; Support'!C5="","",'Operations &amp; Support'!C5)</f>
        <v/>
      </c>
      <c r="D49" s="38">
        <f>IF('Operations &amp; Support'!D5="","",'Operations &amp; Support'!D5)</f>
        <v/>
      </c>
      <c r="E49" s="38">
        <f>IF('Operations &amp; Support'!E5="","",'Operations &amp; Support'!E5)</f>
        <v/>
      </c>
      <c r="F49" s="39">
        <f>IF('Operations &amp; Support'!F5="","",'Operations &amp; Support'!F5)</f>
        <v/>
      </c>
      <c r="G49" s="38">
        <f>IF('Operations &amp; Support'!G5="","",'Operations &amp; Support'!G5)</f>
        <v/>
      </c>
    </row>
    <row r="50">
      <c r="A50" s="40">
        <f>IF('Operations &amp; Support'!A6="","",'Operations &amp; Support'!A6)</f>
        <v/>
      </c>
      <c r="B50" s="40">
        <f>IF('Operations &amp; Support'!B6="","",'Operations &amp; Support'!B6)</f>
        <v/>
      </c>
      <c r="C50" s="40">
        <f>IF('Operations &amp; Support'!C6="","",'Operations &amp; Support'!C6)</f>
        <v/>
      </c>
      <c r="D50" s="40">
        <f>IF('Operations &amp; Support'!D6="","",'Operations &amp; Support'!D6)</f>
        <v/>
      </c>
      <c r="E50" s="40">
        <f>IF('Operations &amp; Support'!E6="","",'Operations &amp; Support'!E6)</f>
        <v/>
      </c>
      <c r="F50" s="39">
        <f>IF('Operations &amp; Support'!F6="","",'Operations &amp; Support'!F6)</f>
        <v/>
      </c>
      <c r="G50" s="40">
        <f>IF('Operations &amp; Support'!G6="","",'Operations &amp; Support'!G6)</f>
        <v/>
      </c>
    </row>
    <row r="51">
      <c r="A51" s="38">
        <f>IF('Operations &amp; Support'!A7="","",'Operations &amp; Support'!A7)</f>
        <v/>
      </c>
      <c r="B51" s="38">
        <f>IF('Operations &amp; Support'!B7="","",'Operations &amp; Support'!B7)</f>
        <v/>
      </c>
      <c r="C51" s="38">
        <f>IF('Operations &amp; Support'!C7="","",'Operations &amp; Support'!C7)</f>
        <v/>
      </c>
      <c r="D51" s="38">
        <f>IF('Operations &amp; Support'!D7="","",'Operations &amp; Support'!D7)</f>
        <v/>
      </c>
      <c r="E51" s="38">
        <f>IF('Operations &amp; Support'!E7="","",'Operations &amp; Support'!E7)</f>
        <v/>
      </c>
      <c r="F51" s="39">
        <f>IF('Operations &amp; Support'!F7="","",'Operations &amp; Support'!F7)</f>
        <v/>
      </c>
      <c r="G51" s="38">
        <f>IF('Operations &amp; Support'!G7="","",'Operations &amp; Support'!G7)</f>
        <v/>
      </c>
    </row>
    <row r="52">
      <c r="A52" s="40">
        <f>IF('Operations &amp; Support'!A8="","",'Operations &amp; Support'!A8)</f>
        <v/>
      </c>
      <c r="B52" s="40">
        <f>IF('Operations &amp; Support'!B8="","",'Operations &amp; Support'!B8)</f>
        <v/>
      </c>
      <c r="C52" s="40">
        <f>IF('Operations &amp; Support'!C8="","",'Operations &amp; Support'!C8)</f>
        <v/>
      </c>
      <c r="D52" s="40">
        <f>IF('Operations &amp; Support'!D8="","",'Operations &amp; Support'!D8)</f>
        <v/>
      </c>
      <c r="E52" s="40">
        <f>IF('Operations &amp; Support'!E8="","",'Operations &amp; Support'!E8)</f>
        <v/>
      </c>
      <c r="F52" s="39">
        <f>IF('Operations &amp; Support'!F8="","",'Operations &amp; Support'!F8)</f>
        <v/>
      </c>
      <c r="G52" s="40">
        <f>IF('Operations &amp; Support'!G8="","",'Operations &amp; Support'!G8)</f>
        <v/>
      </c>
    </row>
    <row r="53">
      <c r="A53" s="38">
        <f>IF('Operations &amp; Support'!A9="","",'Operations &amp; Support'!A9)</f>
        <v/>
      </c>
      <c r="B53" s="38">
        <f>IF('Operations &amp; Support'!B9="","",'Operations &amp; Support'!B9)</f>
        <v/>
      </c>
      <c r="C53" s="38">
        <f>IF('Operations &amp; Support'!C9="","",'Operations &amp; Support'!C9)</f>
        <v/>
      </c>
      <c r="D53" s="38">
        <f>IF('Operations &amp; Support'!D9="","",'Operations &amp; Support'!D9)</f>
        <v/>
      </c>
      <c r="E53" s="38">
        <f>IF('Operations &amp; Support'!E9="","",'Operations &amp; Support'!E9)</f>
        <v/>
      </c>
      <c r="F53" s="39">
        <f>IF('Operations &amp; Support'!F9="","",'Operations &amp; Support'!F9)</f>
        <v/>
      </c>
      <c r="G53" s="38">
        <f>IF('Operations &amp; Support'!G9="","",'Operations &amp; Support'!G9)</f>
        <v/>
      </c>
    </row>
    <row r="54">
      <c r="A54" s="40">
        <f>IF('Implementation Planning'!A2="","",'Implementation Planning'!A2)</f>
        <v/>
      </c>
      <c r="B54" s="40">
        <f>IF('Implementation Planning'!B2="","",'Implementation Planning'!B2)</f>
        <v/>
      </c>
      <c r="C54" s="40">
        <f>IF('Implementation Planning'!C2="","",'Implementation Planning'!C2)</f>
        <v/>
      </c>
      <c r="D54" s="40">
        <f>IF('Implementation Planning'!D2="","",'Implementation Planning'!D2)</f>
        <v/>
      </c>
      <c r="E54" s="40">
        <f>IF('Implementation Planning'!E2="","",'Implementation Planning'!E2)</f>
        <v/>
      </c>
      <c r="F54" s="39">
        <f>IF('Implementation Planning'!F2="","",'Implementation Planning'!F2)</f>
        <v/>
      </c>
      <c r="G54" s="40">
        <f>IF('Implementation Planning'!G2="","",'Implementation Planning'!G2)</f>
        <v/>
      </c>
    </row>
    <row r="55">
      <c r="A55" s="38">
        <f>IF('Implementation Planning'!A3="","",'Implementation Planning'!A3)</f>
        <v/>
      </c>
      <c r="B55" s="38">
        <f>IF('Implementation Planning'!B3="","",'Implementation Planning'!B3)</f>
        <v/>
      </c>
      <c r="C55" s="38">
        <f>IF('Implementation Planning'!C3="","",'Implementation Planning'!C3)</f>
        <v/>
      </c>
      <c r="D55" s="38">
        <f>IF('Implementation Planning'!D3="","",'Implementation Planning'!D3)</f>
        <v/>
      </c>
      <c r="E55" s="38">
        <f>IF('Implementation Planning'!E3="","",'Implementation Planning'!E3)</f>
        <v/>
      </c>
      <c r="F55" s="39">
        <f>IF('Implementation Planning'!F3="","",'Implementation Planning'!F3)</f>
        <v/>
      </c>
      <c r="G55" s="38">
        <f>IF('Implementation Planning'!G3="","",'Implementation Planning'!G3)</f>
        <v/>
      </c>
    </row>
    <row r="56">
      <c r="A56" s="40">
        <f>IF('Implementation Planning'!A4="","",'Implementation Planning'!A4)</f>
        <v/>
      </c>
      <c r="B56" s="40">
        <f>IF('Implementation Planning'!B4="","",'Implementation Planning'!B4)</f>
        <v/>
      </c>
      <c r="C56" s="40">
        <f>IF('Implementation Planning'!C4="","",'Implementation Planning'!C4)</f>
        <v/>
      </c>
      <c r="D56" s="40">
        <f>IF('Implementation Planning'!D4="","",'Implementation Planning'!D4)</f>
        <v/>
      </c>
      <c r="E56" s="40">
        <f>IF('Implementation Planning'!E4="","",'Implementation Planning'!E4)</f>
        <v/>
      </c>
      <c r="F56" s="39">
        <f>IF('Implementation Planning'!F4="","",'Implementation Planning'!F4)</f>
        <v/>
      </c>
      <c r="G56" s="40">
        <f>IF('Implementation Planning'!G4="","",'Implementation Planning'!G4)</f>
        <v/>
      </c>
    </row>
    <row r="57">
      <c r="A57" s="38">
        <f>IF('Implementation Planning'!A5="","",'Implementation Planning'!A5)</f>
        <v/>
      </c>
      <c r="B57" s="38">
        <f>IF('Implementation Planning'!B5="","",'Implementation Planning'!B5)</f>
        <v/>
      </c>
      <c r="C57" s="38">
        <f>IF('Implementation Planning'!C5="","",'Implementation Planning'!C5)</f>
        <v/>
      </c>
      <c r="D57" s="38">
        <f>IF('Implementation Planning'!D5="","",'Implementation Planning'!D5)</f>
        <v/>
      </c>
      <c r="E57" s="38">
        <f>IF('Implementation Planning'!E5="","",'Implementation Planning'!E5)</f>
        <v/>
      </c>
      <c r="F57" s="39">
        <f>IF('Implementation Planning'!F5="","",'Implementation Planning'!F5)</f>
        <v/>
      </c>
      <c r="G57" s="38">
        <f>IF('Implementation Planning'!G5="","",'Implementation Planning'!G5)</f>
        <v/>
      </c>
    </row>
    <row r="58">
      <c r="A58" s="40">
        <f>IF('Implementation Planning'!A6="","",'Implementation Planning'!A6)</f>
        <v/>
      </c>
      <c r="B58" s="40">
        <f>IF('Implementation Planning'!B6="","",'Implementation Planning'!B6)</f>
        <v/>
      </c>
      <c r="C58" s="40">
        <f>IF('Implementation Planning'!C6="","",'Implementation Planning'!C6)</f>
        <v/>
      </c>
      <c r="D58" s="40">
        <f>IF('Implementation Planning'!D6="","",'Implementation Planning'!D6)</f>
        <v/>
      </c>
      <c r="E58" s="40">
        <f>IF('Implementation Planning'!E6="","",'Implementation Planning'!E6)</f>
        <v/>
      </c>
      <c r="F58" s="39">
        <f>IF('Implementation Planning'!F6="","",'Implementation Planning'!F6)</f>
        <v/>
      </c>
      <c r="G58" s="40">
        <f>IF('Implementation Planning'!G6="","",'Implementation Planning'!G6)</f>
        <v/>
      </c>
    </row>
    <row r="59">
      <c r="A59" s="38">
        <f>IF('Implementation Planning'!A7="","",'Implementation Planning'!A7)</f>
        <v/>
      </c>
      <c r="B59" s="38">
        <f>IF('Implementation Planning'!B7="","",'Implementation Planning'!B7)</f>
        <v/>
      </c>
      <c r="C59" s="38">
        <f>IF('Implementation Planning'!C7="","",'Implementation Planning'!C7)</f>
        <v/>
      </c>
      <c r="D59" s="38">
        <f>IF('Implementation Planning'!D7="","",'Implementation Planning'!D7)</f>
        <v/>
      </c>
      <c r="E59" s="38">
        <f>IF('Implementation Planning'!E7="","",'Implementation Planning'!E7)</f>
        <v/>
      </c>
      <c r="F59" s="39">
        <f>IF('Implementation Planning'!F7="","",'Implementation Planning'!F7)</f>
        <v/>
      </c>
      <c r="G59" s="38">
        <f>IF('Implementation Planning'!G7="","",'Implementation Planning'!G7)</f>
        <v/>
      </c>
    </row>
    <row r="60">
      <c r="A60" s="40">
        <f>IF('Implementation Planning'!A8="","",'Implementation Planning'!A8)</f>
        <v/>
      </c>
      <c r="B60" s="40">
        <f>IF('Implementation Planning'!B8="","",'Implementation Planning'!B8)</f>
        <v/>
      </c>
      <c r="C60" s="40">
        <f>IF('Implementation Planning'!C8="","",'Implementation Planning'!C8)</f>
        <v/>
      </c>
      <c r="D60" s="40">
        <f>IF('Implementation Planning'!D8="","",'Implementation Planning'!D8)</f>
        <v/>
      </c>
      <c r="E60" s="40">
        <f>IF('Implementation Planning'!E8="","",'Implementation Planning'!E8)</f>
        <v/>
      </c>
      <c r="F60" s="39">
        <f>IF('Implementation Planning'!F8="","",'Implementation Planning'!F8)</f>
        <v/>
      </c>
      <c r="G60" s="40">
        <f>IF('Implementation Planning'!G8="","",'Implementation Planning'!G8)</f>
        <v/>
      </c>
    </row>
    <row r="61">
      <c r="A61" s="38">
        <f>IF('Implementation Planning'!A9="","",'Implementation Planning'!A9)</f>
        <v/>
      </c>
      <c r="B61" s="38">
        <f>IF('Implementation Planning'!B9="","",'Implementation Planning'!B9)</f>
        <v/>
      </c>
      <c r="C61" s="38">
        <f>IF('Implementation Planning'!C9="","",'Implementation Planning'!C9)</f>
        <v/>
      </c>
      <c r="D61" s="38">
        <f>IF('Implementation Planning'!D9="","",'Implementation Planning'!D9)</f>
        <v/>
      </c>
      <c r="E61" s="38">
        <f>IF('Implementation Planning'!E9="","",'Implementation Planning'!E9)</f>
        <v/>
      </c>
      <c r="F61" s="39">
        <f>IF('Implementation Planning'!F9="","",'Implementation Planning'!F9)</f>
        <v/>
      </c>
      <c r="G61" s="38">
        <f>IF('Implementation Planning'!G9="","",'Implementation Planning'!G9)</f>
        <v/>
      </c>
    </row>
    <row r="62">
      <c r="A62" s="40">
        <f>IF('Implementation Planning'!A10="","",'Implementation Planning'!A10)</f>
        <v/>
      </c>
      <c r="B62" s="40">
        <f>IF('Implementation Planning'!B10="","",'Implementation Planning'!B10)</f>
        <v/>
      </c>
      <c r="C62" s="40">
        <f>IF('Implementation Planning'!C10="","",'Implementation Planning'!C10)</f>
        <v/>
      </c>
      <c r="D62" s="40">
        <f>IF('Implementation Planning'!D10="","",'Implementation Planning'!D10)</f>
        <v/>
      </c>
      <c r="E62" s="40">
        <f>IF('Implementation Planning'!E10="","",'Implementation Planning'!E10)</f>
        <v/>
      </c>
      <c r="F62" s="39">
        <f>IF('Implementation Planning'!F10="","",'Implementation Planning'!F10)</f>
        <v/>
      </c>
      <c r="G62" s="40">
        <f>IF('Implementation Planning'!G10="","",'Implementation Planning'!G10)</f>
        <v/>
      </c>
    </row>
    <row r="63">
      <c r="A63" s="38">
        <f>IF('Implementation Planning'!A11="","",'Implementation Planning'!A11)</f>
        <v/>
      </c>
      <c r="B63" s="38">
        <f>IF('Implementation Planning'!B11="","",'Implementation Planning'!B11)</f>
        <v/>
      </c>
      <c r="C63" s="38">
        <f>IF('Implementation Planning'!C11="","",'Implementation Planning'!C11)</f>
        <v/>
      </c>
      <c r="D63" s="38">
        <f>IF('Implementation Planning'!D11="","",'Implementation Planning'!D11)</f>
        <v/>
      </c>
      <c r="E63" s="38">
        <f>IF('Implementation Planning'!E11="","",'Implementation Planning'!E11)</f>
        <v/>
      </c>
      <c r="F63" s="39">
        <f>IF('Implementation Planning'!F11="","",'Implementation Planning'!F11)</f>
        <v/>
      </c>
      <c r="G63" s="38">
        <f>IF('Implementation Planning'!G11="","",'Implementation Planning'!G11)</f>
        <v/>
      </c>
    </row>
    <row r="64">
      <c r="A64" s="40">
        <f>IF('Implementation Planning'!A12="","",'Implementation Planning'!A12)</f>
        <v/>
      </c>
      <c r="B64" s="40">
        <f>IF('Implementation Planning'!B12="","",'Implementation Planning'!B12)</f>
        <v/>
      </c>
      <c r="C64" s="40">
        <f>IF('Implementation Planning'!C12="","",'Implementation Planning'!C12)</f>
        <v/>
      </c>
      <c r="D64" s="40">
        <f>IF('Implementation Planning'!D12="","",'Implementation Planning'!D12)</f>
        <v/>
      </c>
      <c r="E64" s="40">
        <f>IF('Implementation Planning'!E12="","",'Implementation Planning'!E12)</f>
        <v/>
      </c>
      <c r="F64" s="39">
        <f>IF('Implementation Planning'!F12="","",'Implementation Planning'!F12)</f>
        <v/>
      </c>
      <c r="G64" s="40">
        <f>IF('Implementation Planning'!G12="","",'Implementation Planning'!G12)</f>
        <v/>
      </c>
    </row>
    <row r="65">
      <c r="A65" s="38">
        <f>IF('Risk &amp; Constraints'!A2="","",'Risk &amp; Constraints'!A2)</f>
        <v/>
      </c>
      <c r="B65" s="38">
        <f>IF('Risk &amp; Constraints'!B2="","",'Risk &amp; Constraints'!B2)</f>
        <v/>
      </c>
      <c r="C65" s="38">
        <f>IF('Risk &amp; Constraints'!C2="","",'Risk &amp; Constraints'!C2)</f>
        <v/>
      </c>
      <c r="D65" s="38">
        <f>IF('Risk &amp; Constraints'!D2="","",'Risk &amp; Constraints'!D2)</f>
        <v/>
      </c>
      <c r="E65" s="38">
        <f>IF('Risk &amp; Constraints'!E2="","",'Risk &amp; Constraints'!E2)</f>
        <v/>
      </c>
      <c r="F65" s="39">
        <f>IF('Risk &amp; Constraints'!F2="","",'Risk &amp; Constraints'!F2)</f>
        <v/>
      </c>
      <c r="G65" s="38">
        <f>IF('Risk &amp; Constraints'!G2="","",'Risk &amp; Constraints'!G2)</f>
        <v/>
      </c>
    </row>
    <row r="66">
      <c r="A66" s="40">
        <f>IF('Risk &amp; Constraints'!A3="","",'Risk &amp; Constraints'!A3)</f>
        <v/>
      </c>
      <c r="B66" s="40">
        <f>IF('Risk &amp; Constraints'!B3="","",'Risk &amp; Constraints'!B3)</f>
        <v/>
      </c>
      <c r="C66" s="40">
        <f>IF('Risk &amp; Constraints'!C3="","",'Risk &amp; Constraints'!C3)</f>
        <v/>
      </c>
      <c r="D66" s="40">
        <f>IF('Risk &amp; Constraints'!D3="","",'Risk &amp; Constraints'!D3)</f>
        <v/>
      </c>
      <c r="E66" s="40">
        <f>IF('Risk &amp; Constraints'!E3="","",'Risk &amp; Constraints'!E3)</f>
        <v/>
      </c>
      <c r="F66" s="39">
        <f>IF('Risk &amp; Constraints'!F3="","",'Risk &amp; Constraints'!F3)</f>
        <v/>
      </c>
      <c r="G66" s="40">
        <f>IF('Risk &amp; Constraints'!G3="","",'Risk &amp; Constraints'!G3)</f>
        <v/>
      </c>
    </row>
    <row r="67">
      <c r="A67" s="38">
        <f>IF('Risk &amp; Constraints'!A4="","",'Risk &amp; Constraints'!A4)</f>
        <v/>
      </c>
      <c r="B67" s="38">
        <f>IF('Risk &amp; Constraints'!B4="","",'Risk &amp; Constraints'!B4)</f>
        <v/>
      </c>
      <c r="C67" s="38">
        <f>IF('Risk &amp; Constraints'!C4="","",'Risk &amp; Constraints'!C4)</f>
        <v/>
      </c>
      <c r="D67" s="38">
        <f>IF('Risk &amp; Constraints'!D4="","",'Risk &amp; Constraints'!D4)</f>
        <v/>
      </c>
      <c r="E67" s="38">
        <f>IF('Risk &amp; Constraints'!E4="","",'Risk &amp; Constraints'!E4)</f>
        <v/>
      </c>
      <c r="F67" s="39">
        <f>IF('Risk &amp; Constraints'!F4="","",'Risk &amp; Constraints'!F4)</f>
        <v/>
      </c>
      <c r="G67" s="38">
        <f>IF('Risk &amp; Constraints'!G4="","",'Risk &amp; Constraints'!G4)</f>
        <v/>
      </c>
    </row>
    <row r="68">
      <c r="A68" s="40">
        <f>IF('Risk &amp; Constraints'!A5="","",'Risk &amp; Constraints'!A5)</f>
        <v/>
      </c>
      <c r="B68" s="40">
        <f>IF('Risk &amp; Constraints'!B5="","",'Risk &amp; Constraints'!B5)</f>
        <v/>
      </c>
      <c r="C68" s="40">
        <f>IF('Risk &amp; Constraints'!C5="","",'Risk &amp; Constraints'!C5)</f>
        <v/>
      </c>
      <c r="D68" s="40">
        <f>IF('Risk &amp; Constraints'!D5="","",'Risk &amp; Constraints'!D5)</f>
        <v/>
      </c>
      <c r="E68" s="40">
        <f>IF('Risk &amp; Constraints'!E5="","",'Risk &amp; Constraints'!E5)</f>
        <v/>
      </c>
      <c r="F68" s="39">
        <f>IF('Risk &amp; Constraints'!F5="","",'Risk &amp; Constraints'!F5)</f>
        <v/>
      </c>
      <c r="G68" s="40">
        <f>IF('Risk &amp; Constraints'!G5="","",'Risk &amp; Constraints'!G5)</f>
        <v/>
      </c>
    </row>
    <row r="69">
      <c r="A69" s="38">
        <f>IF('Risk &amp; Constraints'!A6="","",'Risk &amp; Constraints'!A6)</f>
        <v/>
      </c>
      <c r="B69" s="38">
        <f>IF('Risk &amp; Constraints'!B6="","",'Risk &amp; Constraints'!B6)</f>
        <v/>
      </c>
      <c r="C69" s="38">
        <f>IF('Risk &amp; Constraints'!C6="","",'Risk &amp; Constraints'!C6)</f>
        <v/>
      </c>
      <c r="D69" s="38">
        <f>IF('Risk &amp; Constraints'!D6="","",'Risk &amp; Constraints'!D6)</f>
        <v/>
      </c>
      <c r="E69" s="38">
        <f>IF('Risk &amp; Constraints'!E6="","",'Risk &amp; Constraints'!E6)</f>
        <v/>
      </c>
      <c r="F69" s="39">
        <f>IF('Risk &amp; Constraints'!F6="","",'Risk &amp; Constraints'!F6)</f>
        <v/>
      </c>
      <c r="G69" s="38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primary business pain points driving the Intelligent Solution Builder initiative?</t>
        </is>
      </c>
      <c r="E2" s="40" t="inlineStr">
        <is>
          <t>Describe top 3-5 issues with the current manual artifact process (e.g. inconsistency, speed, capacity constraints)</t>
        </is>
      </c>
      <c r="F2" s="39" t="n"/>
      <c r="G2" s="40" t="inlineStr">
        <is>
          <t>Understanding business drivers helps align the technical solution with business outcomes and prioritise features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Success Criteria</t>
        </is>
      </c>
      <c r="D3" s="38" t="inlineStr">
        <is>
          <t>What does success look like at the end of Phase 1 (Pre-Sales MVP)?</t>
        </is>
      </c>
      <c r="E3" s="38" t="inlineStr">
        <is>
          <t>Reference measurable targets such as artifact turnaround time (target &lt;2 business days) and first-pass QA pass rate (target ≥90%)</t>
        </is>
      </c>
      <c r="F3" s="39" t="n"/>
      <c r="G3" s="38" t="inlineStr">
        <is>
          <t>Critical for defining scope and measuring whether the MVP meets stakeholder expectations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are the success criteria for the overall platform at General Availability?</t>
        </is>
      </c>
      <c r="E4" s="40" t="inlineStr">
        <is>
          <t>Include throughput targets (e.g. ~24 active engagements per quarter) and consulting-hour reduction (target 40%)</t>
        </is>
      </c>
      <c r="F4" s="39" t="n"/>
      <c r="G4" s="40" t="inlineStr">
        <is>
          <t>Shapes the backlog prioritisation and go/no-go criteria for each phase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Timeline</t>
        </is>
      </c>
      <c r="D5" s="38" t="inlineStr">
        <is>
          <t>Are the phase deadlines — Phase 1 by 2026-09-30, Phase 2 by 2026-12-15, GA in Q1 2027 — fixed or flexible?</t>
        </is>
      </c>
      <c r="E5" s="38" t="inlineStr">
        <is>
          <t>Identify which milestones are hard constraints vs aspirational targets</t>
        </is>
      </c>
      <c r="F5" s="39" t="n"/>
      <c r="G5" s="38" t="inlineStr">
        <is>
          <t>Directly impacts sprint planning, team size, and risk decisions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Timeline</t>
        </is>
      </c>
      <c r="D6" s="40" t="inlineStr">
        <is>
          <t>What is the significance of the 2027-01-31 flagship client renewal deadline?</t>
        </is>
      </c>
      <c r="E6" s="40" t="inlineStr">
        <is>
          <t>Clarify the dependency: does the platform need to be live and generating deliverables before that date, or just available?</t>
        </is>
      </c>
      <c r="F6" s="39" t="n"/>
      <c r="G6" s="40" t="inlineStr">
        <is>
          <t>This is a hard external deadline; late delivery may have contractual or revenue implications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Budget</t>
        </is>
      </c>
      <c r="D7" s="38" t="inlineStr">
        <is>
          <t>Is the $300k–$450k budget allocated across all three phases, or specific to Phase 1?</t>
        </is>
      </c>
      <c r="E7" s="38" t="inlineStr">
        <is>
          <t>Clarify CapEx vs OpEx split and whether the ~$4k–$6k/month run cost is included in Year 1 budget</t>
        </is>
      </c>
      <c r="F7" s="39" t="n"/>
      <c r="G7" s="38" t="inlineStr">
        <is>
          <t>Right-sizes each phase's scope and informs build vs buy decisions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Who has budget approval authority, and what is the approval process for scope changes?</t>
        </is>
      </c>
      <c r="E8" s="40" t="inlineStr">
        <is>
          <t>Identify the CTO as executive sponsor; clarify thresholds and timelines for change orders</t>
        </is>
      </c>
      <c r="F8" s="39" t="n"/>
      <c r="G8" s="40" t="inlineStr">
        <is>
          <t>Prevents delays caused by unplanned procurement or approval cycles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Stakeholders</t>
        </is>
      </c>
      <c r="D9" s="38" t="inlineStr">
        <is>
          <t>Which stakeholder groups will formally sign off on each phase deliverable?</t>
        </is>
      </c>
      <c r="E9" s="38" t="inlineStr">
        <is>
          <t>Map sign-off: CTO (Phase gates), VP Engineering (technical acceptance), Head of Solutions (artifact quality), Security Lead (compliance)</t>
        </is>
      </c>
      <c r="F9" s="39" t="n"/>
      <c r="G9" s="38" t="inlineStr">
        <is>
          <t>Defines the governance model and prevents scope-creep or rework late in each phase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Stakeholders</t>
        </is>
      </c>
      <c r="D10" s="40" t="inlineStr">
        <is>
          <t>How many pre-sales consultants will be primary day-to-day users of the platform?</t>
        </is>
      </c>
      <c r="E10" s="40" t="inlineStr">
        <is>
          <t>Provide current headcount and expected growth over 12 months</t>
        </is>
      </c>
      <c r="F10" s="39" t="n"/>
      <c r="G10" s="40" t="inlineStr">
        <is>
          <t>Informs Cognito user pool sizing, usage-quota design, and UI/UX requirements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Business Drivers</t>
        </is>
      </c>
      <c r="D11" s="38" t="inlineStr">
        <is>
          <t>How do downstream consumers (Delivery Consulting and Sales teams) currently receive generated artifacts?</t>
        </is>
      </c>
      <c r="E11" s="38" t="inlineStr">
        <is>
          <t>Describe current handoff: email, shared drive, portal, etc.</t>
        </is>
      </c>
      <c r="F11" s="39" t="n"/>
      <c r="G11" s="38" t="inlineStr">
        <is>
          <t>Determines whether the platform needs a delivery/notification mechanism beyond S3 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Describe the legacy monolith currently running on a single EC2 instance that is to be retired.</t>
        </is>
      </c>
      <c r="E2" s="40" t="inlineStr">
        <is>
          <t>Include programming language, OS, any APIs it exposes, data it holds, and estimated retirement timeline</t>
        </is>
      </c>
      <c r="F2" s="39" t="n"/>
      <c r="G2" s="40" t="inlineStr">
        <is>
          <t>Identifies decommission dependencies and potential data-migration or integration tasks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What Google Workspace integrations exist today that may need to connect to or be replaced by the new platform?</t>
        </is>
      </c>
      <c r="E3" s="38" t="inlineStr">
        <is>
          <t>Cover Docs, Sheets, Slides, Drive — identify if any are used as artifact templates or collaboration surfaces</t>
        </is>
      </c>
      <c r="F3" s="39" t="n"/>
      <c r="G3" s="38" t="inlineStr">
        <is>
          <t>Determines whether template conversion (Word/Excel/PowerPoint) requires Google export pipelines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Cloud Platform</t>
        </is>
      </c>
      <c r="D4" s="40" t="inlineStr">
        <is>
          <t>Does Amatra already have an AWS Organisation, Control Tower landing zone, or existing AWS accounts in us-west-2?</t>
        </is>
      </c>
      <c r="E4" s="40" t="inlineStr">
        <is>
          <t>Provide account structure, VPC topology, and any shared services (logging, security hub, etc.)</t>
        </is>
      </c>
      <c r="F4" s="39" t="n"/>
      <c r="G4" s="40" t="inlineStr">
        <is>
          <t>Determines greenfield build scope vs landing-zone integration effort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Cloud Platform</t>
        </is>
      </c>
      <c r="D5" s="38" t="inlineStr">
        <is>
          <t>Are there any existing AWS programme agreements (MAP credits, EDP, APN) that should be leveraged for this project?</t>
        </is>
      </c>
      <c r="E5" s="38" t="inlineStr">
        <is>
          <t>Include credit amounts, expiry dates, and eligible services</t>
        </is>
      </c>
      <c r="F5" s="39" t="n"/>
      <c r="G5" s="38" t="inlineStr">
        <is>
          <t>Can materially reduce infrastructure costs and inform service selection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AI &amp; ML</t>
        </is>
      </c>
      <c r="D6" s="40" t="inlineStr">
        <is>
          <t>Which Amazon Bedrock Claude model versions are preferred for artifact generation (e.g. Claude 3 Haiku, Sonnet, Opus)?</t>
        </is>
      </c>
      <c r="E6" s="40" t="inlineStr">
        <is>
          <t>Consider cost vs quality trade-offs for different artifact types (discovery questionnaires vs detailed designs)</t>
        </is>
      </c>
      <c r="F6" s="39" t="n"/>
      <c r="G6" s="40" t="inlineStr">
        <is>
          <t>Model selection drives per-token costs and latency; may differ by artifact type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AI &amp; ML</t>
        </is>
      </c>
      <c r="D7" s="38" t="inlineStr">
        <is>
          <t>What is the expected average prompt + completion token count per artifact generation job?</t>
        </is>
      </c>
      <c r="E7" s="38" t="inlineStr">
        <is>
          <t>Estimate tokens per job and expected job volume per day/month</t>
        </is>
      </c>
      <c r="F7" s="39" t="n"/>
      <c r="G7" s="38" t="inlineStr">
        <is>
          <t>Critical input for Bedrock cost modelling and Lambda timeout/memory sizing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AI &amp; ML</t>
        </is>
      </c>
      <c r="D8" s="40" t="inlineStr">
        <is>
          <t>Are there requirements to fine-tune or customise Bedrock models using Amatra's proprietary templates or past engagement data?</t>
        </is>
      </c>
      <c r="E8" s="40" t="inlineStr">
        <is>
          <t>Specify if custom model customisation (continued pre-training or fine-tuning) is in scope</t>
        </is>
      </c>
      <c r="F8" s="39" t="n"/>
      <c r="G8" s="40" t="inlineStr">
        <is>
          <t>Custom model training has significant additional cost and timeline implications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Compute &amp; Async Jobs</t>
        </is>
      </c>
      <c r="D9" s="38" t="inlineStr">
        <is>
          <t>How should long-running generation jobs (30–60 min) be orchestrated — Lambda with Step Functions, ECS Fargate, or another approach?</t>
        </is>
      </c>
      <c r="E9" s="38" t="inlineStr">
        <is>
          <t>Clarify whether Lambda's 15-min maximum execution limit has been accounted for; Step Functions may be required</t>
        </is>
      </c>
      <c r="F9" s="39" t="n"/>
      <c r="G9" s="38" t="inlineStr">
        <is>
          <t>Lambda alone cannot run 30–60 min jobs; orchestration architecture must be confirmed early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Compute &amp; Async Jobs</t>
        </is>
      </c>
      <c r="D10" s="40" t="inlineStr">
        <is>
          <t>What is the expected peak concurrency of simultaneous artifact generation jobs?</t>
        </is>
      </c>
      <c r="E10" s="40" t="inlineStr">
        <is>
          <t>Estimate maximum parallel jobs during peak usage periods (e.g. end-of-quarter proposal rush)</t>
        </is>
      </c>
      <c r="F10" s="39" t="n"/>
      <c r="G10" s="40" t="inlineStr">
        <is>
          <t>Determines Lambda concurrency limits, DynamoDB capacity mode, and Bedrock throughput quotas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API &amp; Integration</t>
        </is>
      </c>
      <c r="D11" s="38" t="inlineStr">
        <is>
          <t>What REST API authentication mechanism will API Gateway use beyond Cognito JWT validation?</t>
        </is>
      </c>
      <c r="E11" s="38" t="inlineStr">
        <is>
          <t>Clarify whether API keys, IAM SigV4, Lambda authorisers, or WAF integration are required</t>
        </is>
      </c>
      <c r="F11" s="39" t="n"/>
      <c r="G11" s="38" t="inlineStr">
        <is>
          <t>Drives API Gateway configuration and security posture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API &amp; Integration</t>
        </is>
      </c>
      <c r="D12" s="40" t="inlineStr">
        <is>
          <t>Which systems or tools will consume the platform API (e.g. internal portal, Salesforce CRM, Slack bot)?</t>
        </is>
      </c>
      <c r="E12" s="40" t="inlineStr">
        <is>
          <t>List all integration points and their data exchange patterns (sync vs async, webhooks, polling)</t>
        </is>
      </c>
      <c r="F12" s="39" t="n"/>
      <c r="G12" s="40" t="inlineStr">
        <is>
          <t>Identifies integration complexity and potential need for event-driven notification (SNS/SQS/EventBridge)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Data &amp; Storage</t>
        </is>
      </c>
      <c r="D13" s="38" t="inlineStr">
        <is>
          <t>What artifact types must the platform generate in Phase 1, and what are their output formats?</t>
        </is>
      </c>
      <c r="E13" s="38" t="inlineStr">
        <is>
          <t>e.g. discovery questionnaire (CSV/XLSX), solution briefing (PPTX), statement of work (DOCX), infrastructure costs (XLSX)</t>
        </is>
      </c>
      <c r="F13" s="39" t="n"/>
      <c r="G13" s="38" t="inlineStr">
        <is>
          <t>Determines the document-generation pipeline and S3 object structure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Data &amp; Storage</t>
        </is>
      </c>
      <c r="D14" s="40" t="inlineStr">
        <is>
          <t>How many client engagements are expected per month, and how long must artifacts be retained in S3?</t>
        </is>
      </c>
      <c r="E14" s="40" t="inlineStr">
        <is>
          <t>Include active retention and archive requirements (e.g. 7-year retention for audit purposes)</t>
        </is>
      </c>
      <c r="F14" s="39" t="n"/>
      <c r="G14" s="40" t="inlineStr">
        <is>
          <t>Drives S3 storage tier selection (Standard vs Intelligent-Tiering vs Glacier) and cost projection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Data &amp; Storage</t>
        </is>
      </c>
      <c r="D15" s="38" t="inlineStr">
        <is>
          <t>What is the expected size of input briefs and generated artifacts per engagement?</t>
        </is>
      </c>
      <c r="E15" s="38" t="inlineStr">
        <is>
          <t>Estimate average bytes/KB per input and per output artifact</t>
        </is>
      </c>
      <c r="F15" s="39" t="n"/>
      <c r="G15" s="38" t="inlineStr">
        <is>
          <t>Informs S3 PUT/GET cost estimates and DynamoDB item size planning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Identity &amp; Access</t>
        </is>
      </c>
      <c r="D16" s="40" t="inlineStr">
        <is>
          <t>How many Cognito user groups are required beyond 'admins'?</t>
        </is>
      </c>
      <c r="E16" s="40" t="inlineStr">
        <is>
          <t>e.g. pre-sales-consultants, read-only reviewers, delivery team — describe permissions per group</t>
        </is>
      </c>
      <c r="F16" s="39" t="n"/>
      <c r="G16" s="40" t="inlineStr">
        <is>
          <t>Determines Cognito user pool and identity pool configuration complexity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Identity &amp; Access</t>
        </is>
      </c>
      <c r="D17" s="38" t="inlineStr">
        <is>
          <t>What is the plan to migrate existing Okta user identities to Amazon Cognito?</t>
        </is>
      </c>
      <c r="E17" s="38" t="inlineStr">
        <is>
          <t>Clarify number of users, attributes to migrate, and whether Okta remains as a SAML/OIDC IdP federated into Cognito</t>
        </is>
      </c>
      <c r="F17" s="39" t="n"/>
      <c r="G17" s="38" t="inlineStr">
        <is>
          <t>Identity migration is a hard dependency for user acceptance testing; may require phased cut-over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Performance</t>
        </is>
      </c>
      <c r="D18" s="40" t="inlineStr">
        <is>
          <t>What are the acceptable response-time SLAs for synchronous API calls vs asynchronous job status polling?</t>
        </is>
      </c>
      <c r="E18" s="40" t="inlineStr">
        <is>
          <t>e.g. API response &lt;500ms, job completion notification within 5 min of finishing</t>
        </is>
      </c>
      <c r="F18" s="39" t="n"/>
      <c r="G18" s="40" t="inlineStr">
        <is>
          <t>Drives API Gateway timeout settings, Lambda memory, and DynamoDB read/write capacity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Performance</t>
        </is>
      </c>
      <c r="D19" s="38" t="inlineStr">
        <is>
          <t>What is the target platform availability SLA (stated as 99.9%), and how is that measured?</t>
        </is>
      </c>
      <c r="E19" s="38" t="inlineStr">
        <is>
          <t>Clarify measurement window (monthly), exclusions, and whether planned maintenance counts as downtime</t>
        </is>
      </c>
      <c r="F19" s="39" t="n"/>
      <c r="G19" s="38" t="inlineStr">
        <is>
          <t>99.9% equates to ~43.8 min/month downtime; drives multi-AZ and failover architecture decisions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Templates &amp; Artifacts</t>
        </is>
      </c>
      <c r="D20" s="40" t="inlineStr">
        <is>
          <t>What existing Word, Excel, and PowerPoint artifact templates must be ingested into the automated pipeline?</t>
        </is>
      </c>
      <c r="E20" s="40" t="inlineStr">
        <is>
          <t>Provide a full inventory with version history and owner team for each template</t>
        </is>
      </c>
      <c r="F20" s="39" t="n"/>
      <c r="G20" s="40" t="inlineStr">
        <is>
          <t>Template ingestion is a Phase 1 dependency; complexity affects effort and timeline estimates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Usage Governance</t>
        </is>
      </c>
      <c r="D21" s="38" t="inlineStr">
        <is>
          <t>How are per-user and global monthly usage limits defined (e.g. max jobs per user per month, max tokens per month)?</t>
        </is>
      </c>
      <c r="E21" s="38" t="inlineStr">
        <is>
          <t>Specify enforcement mechanism: hard block vs soft warning, and the admin interface for adjusting limits</t>
        </is>
      </c>
      <c r="F21" s="39" t="n"/>
      <c r="G21" s="38" t="inlineStr">
        <is>
          <t>Usage controls affect DynamoDB schema design and Lambda authoriser logic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Confirm that SOC 2 Type II is required. Are there additional frameworks — GDPR, ISO 27001, or others — that apply?</t>
        </is>
      </c>
      <c r="E2" s="40" t="inlineStr">
        <is>
          <t>List all applicable compliance frameworks and any certifications Amatra must hold or inherit from AWS</t>
        </is>
      </c>
      <c r="F2" s="39" t="n"/>
      <c r="G2" s="40" t="inlineStr">
        <is>
          <t>Each framework adds specific controls; SOC 2 + GDPR together affect logging, data retention, and DPA agreements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data classification levels apply to client brief inputs and generated artifacts?</t>
        </is>
      </c>
      <c r="E3" s="38" t="inlineStr">
        <is>
          <t>e.g. Confidential/Internal — do any artifacts contain PII, financial data, or trade secrets?</t>
        </is>
      </c>
      <c r="F3" s="39" t="n"/>
      <c r="G3" s="38" t="inlineStr">
        <is>
          <t>Determines encryption tier, S3 bucket policies, and DLP requirements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Data Residency</t>
        </is>
      </c>
      <c r="D4" s="40" t="inlineStr">
        <is>
          <t>Confirm that all customer data must remain in the United States (us-west-2). Is a second US region required for DR?</t>
        </is>
      </c>
      <c r="E4" s="40" t="inlineStr">
        <is>
          <t>Identify if us-east-1 or another US region is acceptable for disaster recovery replication</t>
        </is>
      </c>
      <c r="F4" s="39" t="n"/>
      <c r="G4" s="40" t="inlineStr">
        <is>
          <t>Data-residency constraint rules out non-US Bedrock regions and affects DR architecture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Authentication</t>
        </is>
      </c>
      <c r="D5" s="38" t="inlineStr">
        <is>
          <t>Will Amazon Cognito be the sole IdP, or will Okta remain federated via SAML/OIDC post-migration?</t>
        </is>
      </c>
      <c r="E5" s="38" t="inlineStr">
        <is>
          <t>Describe target state identity architecture and any phased federation approach during migration</t>
        </is>
      </c>
      <c r="F5" s="39" t="n"/>
      <c r="G5" s="38" t="inlineStr">
        <is>
          <t>Dual-IdP configurations add complexity and must be designed carefully to avoid token-trust issues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Authentication</t>
        </is>
      </c>
      <c r="D6" s="40" t="inlineStr">
        <is>
          <t>Is Multi-Factor Authentication (MFA) mandatory for all users, or only for the admins group?</t>
        </is>
      </c>
      <c r="E6" s="40" t="inlineStr">
        <is>
          <t>Specify MFA methods: TOTP, SMS, push notification</t>
        </is>
      </c>
      <c r="F6" s="39" t="n"/>
      <c r="G6" s="40" t="inlineStr">
        <is>
          <t>MFA enforcement is a SOC 2 control requirement; configuration must be set at Cognito user pool level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Encryption</t>
        </is>
      </c>
      <c r="D7" s="38" t="inlineStr">
        <is>
          <t>What key management approach is required for S3 and DynamoDB encryption at rest?</t>
        </is>
      </c>
      <c r="E7" s="38" t="inlineStr">
        <is>
          <t>AWS-managed keys (SSE-S3/SSE-KMS with AWS-managed CMK) vs customer-managed CMK in AWS KMS</t>
        </is>
      </c>
      <c r="F7" s="39" t="n"/>
      <c r="G7" s="38" t="inlineStr">
        <is>
          <t>Customer-managed CMKs add operational overhead (key rotation, policies) but are often required for SOC 2 evidence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Encryption</t>
        </is>
      </c>
      <c r="D8" s="40" t="inlineStr">
        <is>
          <t>Is TLS 1.2 minimum sufficient for data in transit, or is TLS 1.3 required?</t>
        </is>
      </c>
      <c r="E8" s="40" t="inlineStr">
        <is>
          <t>Applies to API Gateway, Bedrock, and all internal service-to-service calls</t>
        </is>
      </c>
      <c r="F8" s="39" t="n"/>
      <c r="G8" s="40" t="inlineStr">
        <is>
          <t>TLS version requirements may be dictated by client contracts or SOC 2 auditors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Audit &amp; Logging</t>
        </is>
      </c>
      <c r="D9" s="38" t="inlineStr">
        <is>
          <t>What logging and audit trail requirements exist for artifact generation events?</t>
        </is>
      </c>
      <c r="E9" s="38" t="inlineStr">
        <is>
          <t>Specify retention period for CloudTrail, API Gateway access logs, and Lambda logs in CloudWatch</t>
        </is>
      </c>
      <c r="F9" s="39" t="n"/>
      <c r="G9" s="38" t="inlineStr">
        <is>
          <t>SOC 2 requires immutable audit logs; retention period (typically ≥1 year) must be defined upfront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Network Security</t>
        </is>
      </c>
      <c r="D10" s="40" t="inlineStr">
        <is>
          <t>Is the platform entirely public-internet-facing via API Gateway, or are VPC-private endpoints required?</t>
        </is>
      </c>
      <c r="E10" s="40" t="inlineStr">
        <is>
          <t>Clarify if Lambda and DynamoDB should use VPC endpoints, and whether AWS WAF is required on API Gateway</t>
        </is>
      </c>
      <c r="F10" s="39" t="n"/>
      <c r="G10" s="40" t="inlineStr">
        <is>
          <t>WAF + VPC endpoints add cost and complexity but are often required for SOC 2 network controls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Vulnerability Management</t>
        </is>
      </c>
      <c r="D11" s="38" t="inlineStr">
        <is>
          <t>What is the process for patching Lambda runtimes and third-party dependencies (e.g. Python packages)?</t>
        </is>
      </c>
      <c r="E11" s="38" t="inlineStr">
        <is>
          <t>Describe cadence, responsibility (Amatra Engineering), and tooling (Amazon Inspector, Dependabot, etc.)</t>
        </is>
      </c>
      <c r="F11" s="39" t="n"/>
      <c r="G11" s="38" t="inlineStr">
        <is>
          <t>Vulnerability management programme is a SOC 2 CC7 control requirement</t>
        </is>
      </c>
    </row>
    <row r="12">
      <c r="A12" s="40" t="inlineStr">
        <is>
          <t>SEC-011</t>
        </is>
      </c>
      <c r="B12" s="40" t="inlineStr">
        <is>
          <t>Security &amp; Compliance</t>
        </is>
      </c>
      <c r="C12" s="40" t="inlineStr">
        <is>
          <t>Data Governance</t>
        </is>
      </c>
      <c r="D12" s="40" t="inlineStr">
        <is>
          <t>How must client brief data be handled after an engagement is closed or a client account is deleted?</t>
        </is>
      </c>
      <c r="E12" s="40" t="inlineStr">
        <is>
          <t>Specify data-deletion SLAs, right-to-erasure (GDPR Article 17) requirements, and S3 Object Lifecycle policies</t>
        </is>
      </c>
      <c r="F12" s="39" t="n"/>
      <c r="G12" s="40" t="inlineStr">
        <is>
          <t>GDPR data-subject deletion rights require automated lifecycle policies and documented procedures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Recovery Time Objective (RTO) for the platform in the event of a service outage?</t>
        </is>
      </c>
      <c r="E2" s="40" t="inlineStr">
        <is>
          <t>e.g. &lt;1 hour, &lt;4 hours, &lt;24 hours — is 99.9% availability SLA consistent with a &lt;1-hour RTO?</t>
        </is>
      </c>
      <c r="F2" s="39" t="n"/>
      <c r="G2" s="40" t="inlineStr">
        <is>
          <t>RTO drives multi-AZ Lambda deployment, DynamoDB global tables consideration, and failover automation design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Recovery Point Objective (RPO) — how much data loss is acceptable in a failure scenario?</t>
        </is>
      </c>
      <c r="E3" s="38" t="inlineStr">
        <is>
          <t>e.g. zero data loss, &lt;5 minutes, &lt;1 hour — DynamoDB point-in-time recovery and S3 versioning must align</t>
        </is>
      </c>
      <c r="F3" s="39" t="n"/>
      <c r="G3" s="38" t="inlineStr">
        <is>
          <t>RPO determines DynamoDB PITR configuration and S3 versioning/replication settings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</t>
        </is>
      </c>
      <c r="D4" s="40" t="inlineStr">
        <is>
          <t>What monitoring and alerting stack will be used — Amazon CloudWatch native, Datadog, Grafana, or other?</t>
        </is>
      </c>
      <c r="E4" s="40" t="inlineStr">
        <is>
          <t>Include dashboards, alert channels (PagerDuty, Slack, email), and on-call rotation ownership</t>
        </is>
      </c>
      <c r="F4" s="39" t="n"/>
      <c r="G4" s="40" t="inlineStr">
        <is>
          <t>Monitoring architecture must be defined in Phase 1; post-launch visibility is critical for a 99.9% SLA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Monitoring</t>
        </is>
      </c>
      <c r="D5" s="38" t="inlineStr">
        <is>
          <t>What business-level metrics must be tracked in addition to infrastructure metrics?</t>
        </is>
      </c>
      <c r="E5" s="38" t="inlineStr">
        <is>
          <t>e.g. artifacts generated per day, job success/failure rate, average generation time, token consumption</t>
        </is>
      </c>
      <c r="F5" s="39" t="n"/>
      <c r="G5" s="38" t="inlineStr">
        <is>
          <t>Business KPIs are success-criteria metrics; CloudWatch custom metrics or a BI dashboard may be needed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Support Coverage</t>
        </is>
      </c>
      <c r="D6" s="40" t="inlineStr">
        <is>
          <t>What support coverage is required for the platform — business hours (8×5), extended, or 24×7?</t>
        </is>
      </c>
      <c r="E6" s="40" t="inlineStr">
        <is>
          <t>Identify who provides L1/L2 support: internal Amatra Engineering or a managed-services partner</t>
        </is>
      </c>
      <c r="F6" s="39" t="n"/>
      <c r="G6" s="40" t="inlineStr">
        <is>
          <t>Support model affects staffing costs and must align with the 99.9% availability commitment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Maintenance Windows</t>
        </is>
      </c>
      <c r="D7" s="38" t="inlineStr">
        <is>
          <t>Are there defined maintenance windows when planned downtime is acceptable?</t>
        </is>
      </c>
      <c r="E7" s="38" t="inlineStr">
        <is>
          <t>e.g. Sunday 00:00–04:00 Pacific — serverless architecture minimises downtime but DynamoDB index changes may require it</t>
        </is>
      </c>
      <c r="F7" s="39" t="n"/>
      <c r="G7" s="38" t="inlineStr">
        <is>
          <t>Even serverless deployments need maintenance windows for schema migrations and major Bedrock model version updates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Capacity Planning</t>
        </is>
      </c>
      <c r="D8" s="40" t="inlineStr">
        <is>
          <t>How will token-consumption quotas be managed as usage scales from MVP to GA?</t>
        </is>
      </c>
      <c r="E8" s="40" t="inlineStr">
        <is>
          <t>Describe Bedrock service-quota increase process and any reserved throughput (Provisioned Throughput) plans</t>
        </is>
      </c>
      <c r="F8" s="39" t="n"/>
      <c r="G8" s="40" t="inlineStr">
        <is>
          <t>Bedrock on-demand throughput has soft limits; provisioned throughput may be needed for peak SLA compliance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Incident Management</t>
        </is>
      </c>
      <c r="D9" s="38" t="inlineStr">
        <is>
          <t>What is the incident management and escalation process once the platform is live?</t>
        </is>
      </c>
      <c r="E9" s="38" t="inlineStr">
        <is>
          <t>Define severity levels, response times, escalation path (e.g. on-call engineer → VP Engineering → CTO)</t>
        </is>
      </c>
      <c r="F9" s="39" t="n"/>
      <c r="G9" s="38" t="inlineStr">
        <is>
          <t>Formalising this in Phase 1 prevents ad-hoc incident handling and is required for SOC 2 CC7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What is the preferred approach for migrating from manual Google Workspace processes to the new platform?</t>
        </is>
      </c>
      <c r="E2" s="40" t="inlineStr">
        <is>
          <t>Options: phased rollout (pilot team first), department-wide cutover, or parallel run with manual as fallback</t>
        </is>
      </c>
      <c r="F2" s="39" t="n"/>
      <c r="G2" s="40" t="inlineStr">
        <is>
          <t>Migration approach determines change-management effort and the acceptable risk level for early adopters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Migration Approach</t>
        </is>
      </c>
      <c r="D3" s="38" t="inlineStr">
        <is>
          <t>How will existing Okta user accounts be migrated to Amazon Cognito — bulk import, SCIM sync, or manual?</t>
        </is>
      </c>
      <c r="E3" s="38" t="inlineStr">
        <is>
          <t>Provide number of users to migrate and whether their session history or preferences must be preserved</t>
        </is>
      </c>
      <c r="F3" s="39" t="n"/>
      <c r="G3" s="38" t="inlineStr">
        <is>
          <t>Identity migration is a Phase 1 prerequisite; timeline must account for Okta licence run-down and Cognito testing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Migration Approach</t>
        </is>
      </c>
      <c r="D4" s="40" t="inlineStr">
        <is>
          <t>Will the legacy EC2 monolith be decommissioned before or after Phase 1 go-live?</t>
        </is>
      </c>
      <c r="E4" s="40" t="inlineStr">
        <is>
          <t>Clarify any data or functionality that still depends on the monolith and must be replicated in the new platform</t>
        </is>
      </c>
      <c r="F4" s="39" t="n"/>
      <c r="G4" s="40" t="inlineStr">
        <is>
          <t>Parallel operation of legacy and new platform adds infrastructure cost and integration complexity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Phasing</t>
        </is>
      </c>
      <c r="D5" s="38" t="inlineStr">
        <is>
          <t>What is the detailed scope boundary between Phase 1 (Pre-Sales MVP) and Phase 2 (Delivery + Terraform)?</t>
        </is>
      </c>
      <c r="E5" s="38" t="inlineStr">
        <is>
          <t>List which artifact types are in scope for each phase and which features (e.g. Terraform generation) are Phase 2-only</t>
        </is>
      </c>
      <c r="F5" s="39" t="n"/>
      <c r="G5" s="38" t="inlineStr">
        <is>
          <t>Clear phase boundaries prevent scope creep and protect the 2026-09-30 Phase 1 deadline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Downtime Tolerance</t>
        </is>
      </c>
      <c r="D6" s="40" t="inlineStr">
        <is>
          <t>What is the maximum acceptable downtime during the production launch (go-live cutover) for Phase 1?</t>
        </is>
      </c>
      <c r="E6" s="40" t="inlineStr">
        <is>
          <t>e.g. zero downtime blue/green deployment, &lt;30-minute maintenance window outside business hours</t>
        </is>
      </c>
      <c r="F6" s="39" t="n"/>
      <c r="G6" s="40" t="inlineStr">
        <is>
          <t>Serverless architecture supports zero-downtime deploys, but first-time Cognito and DynamoDB provisioning may require brief windows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Resource Availability</t>
        </is>
      </c>
      <c r="D7" s="38" t="inlineStr">
        <is>
          <t>What internal engineering resources from Amatra's team are available to support the build?</t>
        </is>
      </c>
      <c r="E7" s="38" t="inlineStr">
        <is>
          <t>Identify team members, roles, estimated weekly hours, and any competing project commitments</t>
        </is>
      </c>
      <c r="F7" s="39" t="n"/>
      <c r="G7" s="38" t="inlineStr">
        <is>
          <t>Resource availability directly impacts sprint velocity, vendor dependency, and overall timeline feasibility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Resource Availability</t>
        </is>
      </c>
      <c r="D8" s="40" t="inlineStr">
        <is>
          <t>Will Amatra use an external delivery partner (SI/MSP) for build, or is this an internal-only build?</t>
        </is>
      </c>
      <c r="E8" s="40" t="inlineStr">
        <is>
          <t>If a partner is involved, identify procurement timeline and contracting approach</t>
        </is>
      </c>
      <c r="F8" s="39" t="n"/>
      <c r="G8" s="40" t="inlineStr">
        <is>
          <t>External partner onboarding can add 4–8 weeks to the start; must be factored into Phase 1 timeline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Training Needs</t>
        </is>
      </c>
      <c r="D9" s="38" t="inlineStr">
        <is>
          <t>What training is required for pre-sales consultants to use the new platform effectively?</t>
        </is>
      </c>
      <c r="E9" s="38" t="inlineStr">
        <is>
          <t>Cover platform navigation, brief authoring best practices, artifact review and QA process</t>
        </is>
      </c>
      <c r="F9" s="39" t="n"/>
      <c r="G9" s="38" t="inlineStr">
        <is>
          <t>Training plan must be delivered before GA; train-the-trainer model may scale better than individual sessions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Training Needs</t>
        </is>
      </c>
      <c r="D10" s="40" t="inlineStr">
        <is>
          <t>What admin training is required for the team managing Cognito user groups and usage quotas?</t>
        </is>
      </c>
      <c r="E10" s="40" t="inlineStr">
        <is>
          <t>Identify who will be the platform administrator and whether runbooks/playbooks must be delivered</t>
        </is>
      </c>
      <c r="F10" s="39" t="n"/>
      <c r="G10" s="40" t="inlineStr">
        <is>
          <t>Admin enablement is a go-live dependency; undocumented admin procedures create SOC 2 control gaps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UAT &amp; Go-Live</t>
        </is>
      </c>
      <c r="D11" s="38" t="inlineStr">
        <is>
          <t>What is the User Acceptance Testing approach — who conducts it, what scenarios must pass, and what is the exit criteria?</t>
        </is>
      </c>
      <c r="E11" s="38" t="inlineStr">
        <is>
          <t>Define UAT participants (pre-sales consultants, Head of Solutions), scenario count, and acceptable defect threshold</t>
        </is>
      </c>
      <c r="F11" s="39" t="n"/>
      <c r="G11" s="38" t="inlineStr">
        <is>
          <t>UAT exit criteria gate the Phase 1 go-live; unclear criteria lead to delayed sign-off</t>
        </is>
      </c>
    </row>
    <row r="12">
      <c r="A12" s="40" t="inlineStr">
        <is>
          <t>IMPL-011</t>
        </is>
      </c>
      <c r="B12" s="40" t="inlineStr">
        <is>
          <t>Implementation Planning</t>
        </is>
      </c>
      <c r="C12" s="40" t="inlineStr">
        <is>
          <t>UAT &amp; Go-Live</t>
        </is>
      </c>
      <c r="D12" s="40" t="inlineStr">
        <is>
          <t>How will artifact quality be evaluated during UAT — automated scoring, manual peer review, or a QA rubric?</t>
        </is>
      </c>
      <c r="E12" s="40" t="inlineStr">
        <is>
          <t>Reference the ≥90% first-pass QA target; define what constitutes a 'pass'</t>
        </is>
      </c>
      <c r="F12" s="39" t="n"/>
      <c r="G12" s="40" t="inlineStr">
        <is>
          <t>Quality gate methodology must be agreed before UAT begins to avoid subjective sign-off disputes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Project Risks</t>
        </is>
      </c>
      <c r="D2" s="40" t="inlineStr">
        <is>
          <t>What happens to the project if the 2026-09-30 Phase 1 deadline is missed?</t>
        </is>
      </c>
      <c r="E2" s="40" t="inlineStr">
        <is>
          <t>Identify contractual, commercial, or reputational consequences and acceptable contingency plans</t>
        </is>
      </c>
      <c r="F2" s="39" t="n"/>
      <c r="G2" s="40" t="inlineStr">
        <is>
          <t>Flagship client renewal is contingent on faster turnaround; delay risk has direct revenue implications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Technical Risks</t>
        </is>
      </c>
      <c r="D3" s="38" t="inlineStr">
        <is>
          <t>How will the team handle Amazon Bedrock service limits (tokens per minute) during peak concurrent job runs?</t>
        </is>
      </c>
      <c r="E3" s="38" t="inlineStr">
        <is>
          <t>Describe mitigation: job queuing (SQS), exponential back-off, or pre-purchased Provisioned Throughput</t>
        </is>
      </c>
      <c r="F3" s="39" t="n"/>
      <c r="G3" s="38" t="inlineStr">
        <is>
          <t>Bedrock throttling is the most likely cause of SLA breach; mitigation must be designed in Phase 1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Dependencies</t>
        </is>
      </c>
      <c r="D4" s="40" t="inlineStr">
        <is>
          <t>Are there third-party dependencies (e.g. document-generation libraries for DOCX/PPTX/XLSX) that must be evaluated and licensed?</t>
        </is>
      </c>
      <c r="E4" s="40" t="inlineStr">
        <is>
          <t>List any open-source or commercial libraries under consideration and confirm licence compatibility</t>
        </is>
      </c>
      <c r="F4" s="39" t="n"/>
      <c r="G4" s="40" t="inlineStr">
        <is>
          <t>Third-party library vetting can delay Lambda packaging; must be resolved before architecture is finalised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Constraints</t>
        </is>
      </c>
      <c r="D5" s="38" t="inlineStr">
        <is>
          <t>What organisational change-management constraints exist around retiring the manual process?</t>
        </is>
      </c>
      <c r="E5" s="38" t="inlineStr">
        <is>
          <t>Identify resistance from teams who rely on manual Google Workspace workflows and the plan to address it</t>
        </is>
      </c>
      <c r="F5" s="39" t="n"/>
      <c r="G5" s="38" t="inlineStr">
        <is>
          <t>Adoption risk is as significant as technical risk; change management must be a formal workstream</t>
        </is>
      </c>
    </row>
    <row r="6">
      <c r="A6" s="40" t="inlineStr">
        <is>
          <t>RISK-005</t>
        </is>
      </c>
      <c r="B6" s="40" t="inlineStr">
        <is>
          <t>Risk &amp; Constraints</t>
        </is>
      </c>
      <c r="C6" s="40" t="inlineStr">
        <is>
          <t>Assumptions</t>
        </is>
      </c>
      <c r="D6" s="40" t="inlineStr">
        <is>
          <t>What assumptions underpin the $300k–$450k budget estimate, and which are most likely to change?</t>
        </is>
      </c>
      <c r="E6" s="40" t="inlineStr">
        <is>
          <t>e.g. team composition, scope of AI model customisation, number of artifact types in Phase 1</t>
        </is>
      </c>
      <c r="F6" s="39" t="n"/>
      <c r="G6" s="40" t="inlineStr">
        <is>
          <t>Budget assumptions must be validated during discovery; unstated assumptions are the leading cause of overruns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2026-06-10T18:53:52Z</dcterms:modified>
  <cp:lastModifiedBy>Kishan Siram</cp:lastModifiedBy>
</cp:coreProperties>
</file>