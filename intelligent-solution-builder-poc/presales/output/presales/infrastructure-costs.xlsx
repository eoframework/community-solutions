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Costs'!$A$2:$K$25</definedName>
    <definedName name="_xlnm._FilterDatabase" localSheetId="3" hidden="1">'Credits'!$A$2:$D$9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Tmp546Ryoep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Bedrock Inference Volume</t>
        </is>
      </c>
      <c r="C3" s="38" t="inlineStr">
        <is>
          <t>&lt;10M tokens/month</t>
        </is>
      </c>
      <c r="D3" s="38" t="inlineStr">
        <is>
          <t>10-100M tokens/month</t>
        </is>
      </c>
      <c r="E3" s="38" t="inlineStr">
        <is>
          <t>&gt;100M tokens/month</t>
        </is>
      </c>
      <c r="F3" s="37" t="inlineStr">
        <is>
          <t>Claude model inference requests per month for artifact generation</t>
        </is>
      </c>
    </row>
    <row r="4" ht="26" customHeight="1">
      <c r="A4" s="39" t="inlineStr">
        <is>
          <t>Cloud Services</t>
        </is>
      </c>
      <c r="B4" s="40" t="inlineStr">
        <is>
          <t>Lambda Invocations</t>
        </is>
      </c>
      <c r="C4" s="41" t="inlineStr">
        <is>
          <t>&lt;5M req/month</t>
        </is>
      </c>
      <c r="D4" s="41" t="inlineStr">
        <is>
          <t>5-50M req/month</t>
        </is>
      </c>
      <c r="E4" s="41" t="inlineStr">
        <is>
          <t>&gt;50M req/month</t>
        </is>
      </c>
      <c r="F4" s="40" t="inlineStr">
        <is>
          <t>Serverless function executions across API and orchestration handlers</t>
        </is>
      </c>
    </row>
    <row r="5" ht="26" customHeight="1">
      <c r="A5" s="36" t="inlineStr">
        <is>
          <t>Cloud Services</t>
        </is>
      </c>
      <c r="B5" s="37" t="inlineStr">
        <is>
          <t>API Gateway Calls</t>
        </is>
      </c>
      <c r="C5" s="38" t="inlineStr">
        <is>
          <t>&lt;5M calls/month</t>
        </is>
      </c>
      <c r="D5" s="38" t="inlineStr">
        <is>
          <t>5-50M calls/month</t>
        </is>
      </c>
      <c r="E5" s="38" t="inlineStr">
        <is>
          <t>&gt;50M calls/month</t>
        </is>
      </c>
      <c r="F5" s="37" t="inlineStr">
        <is>
          <t>REST API request volume served through API Gateway</t>
        </is>
      </c>
    </row>
    <row r="6" ht="26" customHeight="1">
      <c r="A6" s="39" t="inlineStr">
        <is>
          <t>Cloud Services</t>
        </is>
      </c>
      <c r="B6" s="40" t="inlineStr">
        <is>
          <t>DynamoDB Storage</t>
        </is>
      </c>
      <c r="C6" s="41" t="inlineStr">
        <is>
          <t>&lt;50 GB</t>
        </is>
      </c>
      <c r="D6" s="41" t="inlineStr">
        <is>
          <t>50-200 GB</t>
        </is>
      </c>
      <c r="E6" s="41" t="inlineStr">
        <is>
          <t>&gt;200 GB</t>
        </is>
      </c>
      <c r="F6" s="40" t="inlineStr">
        <is>
          <t>Solution metadata and per-user usage state stored in DynamoDB tables</t>
        </is>
      </c>
    </row>
    <row r="7" ht="26" customHeight="1">
      <c r="A7" s="36" t="inlineStr">
        <is>
          <t>Cloud Services</t>
        </is>
      </c>
      <c r="B7" s="37" t="inlineStr">
        <is>
          <t>S3 Artifact Storage</t>
        </is>
      </c>
      <c r="C7" s="38" t="inlineStr">
        <is>
          <t>&lt;500 GB</t>
        </is>
      </c>
      <c r="D7" s="38" t="inlineStr">
        <is>
          <t>500 GB - 2 TB</t>
        </is>
      </c>
      <c r="E7" s="38" t="inlineStr">
        <is>
          <t>&gt;2 TB</t>
        </is>
      </c>
      <c r="F7" s="37" t="inlineStr">
        <is>
          <t>Generated artifacts and source templates stored in S3 buckets</t>
        </is>
      </c>
    </row>
    <row r="8" ht="26" customHeight="1">
      <c r="A8" s="39" t="inlineStr">
        <is>
          <t>Cloud Services</t>
        </is>
      </c>
      <c r="B8" s="40" t="inlineStr">
        <is>
          <t>Active Users (MAU)</t>
        </is>
      </c>
      <c r="C8" s="41" t="inlineStr">
        <is>
          <t>&lt;100 MAU</t>
        </is>
      </c>
      <c r="D8" s="41" t="inlineStr">
        <is>
          <t>100-500 MAU</t>
        </is>
      </c>
      <c r="E8" s="41" t="inlineStr">
        <is>
          <t>&gt;500 MAU</t>
        </is>
      </c>
      <c r="F8" s="40" t="inlineStr">
        <is>
          <t>Monthly active Cognito users including pre-sales and delivery consultants</t>
        </is>
      </c>
    </row>
    <row r="9" ht="26" customHeight="1">
      <c r="A9" s="36" t="inlineStr">
        <is>
          <t>Software Licenses</t>
        </is>
      </c>
      <c r="B9" s="37" t="inlineStr">
        <is>
          <t>Monitoring Hosts</t>
        </is>
      </c>
      <c r="C9" s="38" t="inlineStr">
        <is>
          <t>1-2 hosts</t>
        </is>
      </c>
      <c r="D9" s="38" t="inlineStr">
        <is>
          <t>3-5 hosts</t>
        </is>
      </c>
      <c r="E9" s="38" t="inlineStr">
        <is>
          <t>6+ hosts</t>
        </is>
      </c>
      <c r="F9" s="37" t="inlineStr">
        <is>
          <t>APM and infrastructure monitoring hosts (Datadog)</t>
        </is>
      </c>
    </row>
    <row r="10" ht="26" customHeight="1">
      <c r="A10" s="39" t="inlineStr">
        <is>
          <t>Support &amp; Maintenance</t>
        </is>
      </c>
      <c r="B10" s="40" t="inlineStr">
        <is>
          <t>AWS Support Level</t>
        </is>
      </c>
      <c r="C10" s="41" t="inlineStr">
        <is>
          <t>Developer</t>
        </is>
      </c>
      <c r="D10" s="41" t="inlineStr">
        <is>
          <t>Business</t>
        </is>
      </c>
      <c r="E10" s="41" t="inlineStr">
        <is>
          <t>Enterprise</t>
        </is>
      </c>
      <c r="F10" s="40" t="inlineStr">
        <is>
          <t>AWS Support plan tier for platform operations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Amazon Bedrock</t>
        </is>
      </c>
      <c r="C3" s="43" t="inlineStr">
        <is>
          <t>Claude 3 Sonnet model inference for artifact generation (90M tokens/month)</t>
        </is>
      </c>
      <c r="D3" s="44" t="n">
        <v>90</v>
      </c>
      <c r="E3" s="43" t="inlineStr">
        <is>
          <t>M Tokens/Month</t>
        </is>
      </c>
      <c r="F3" s="45" t="n">
        <v>50</v>
      </c>
      <c r="G3" s="45" t="n">
        <v>54000</v>
      </c>
      <c r="H3" s="44" t="n">
        <v>54000</v>
      </c>
      <c r="I3" s="44" t="n">
        <v>54000</v>
      </c>
      <c r="J3" s="44" t="n">
        <v>162000</v>
      </c>
      <c r="K3" s="43" t="inlineStr">
        <is>
          <t>Primary cost driver; blended input/output token pricing for Claude 3 Sonnet</t>
        </is>
      </c>
    </row>
    <row r="4" ht="26" customHeight="1">
      <c r="A4" s="46" t="inlineStr">
        <is>
          <t>Cloud Services</t>
        </is>
      </c>
      <c r="B4" s="47" t="inlineStr">
        <is>
          <t>AWS Lambda</t>
        </is>
      </c>
      <c r="C4" s="47" t="inlineStr">
        <is>
          <t>Serverless compute for API handlers and orchestration (50M req/month)</t>
        </is>
      </c>
      <c r="D4" s="48" t="n">
        <v>50</v>
      </c>
      <c r="E4" s="47" t="inlineStr">
        <is>
          <t>M Req/Month</t>
        </is>
      </c>
      <c r="F4" s="49" t="n">
        <v>0.2</v>
      </c>
      <c r="G4" s="49" t="n">
        <v>120</v>
      </c>
      <c r="H4" s="48" t="n">
        <v>120</v>
      </c>
      <c r="I4" s="48" t="n">
        <v>120</v>
      </c>
      <c r="J4" s="48" t="n">
        <v>360</v>
      </c>
      <c r="K4" s="47" t="inlineStr">
        <is>
          <t>Lambda functions for REST API and Step Functions activity workers</t>
        </is>
      </c>
    </row>
    <row r="5" ht="26" customHeight="1">
      <c r="A5" s="42" t="inlineStr">
        <is>
          <t>Cloud Services</t>
        </is>
      </c>
      <c r="B5" s="43" t="inlineStr">
        <is>
          <t>Amazon API Gateway</t>
        </is>
      </c>
      <c r="C5" s="43" t="inlineStr">
        <is>
          <t>REST API for intelligent solution builder platform (50M calls/month)</t>
        </is>
      </c>
      <c r="D5" s="44" t="n">
        <v>50</v>
      </c>
      <c r="E5" s="43" t="inlineStr">
        <is>
          <t>M Calls/Month</t>
        </is>
      </c>
      <c r="F5" s="45" t="n">
        <v>3.5</v>
      </c>
      <c r="G5" s="45" t="n">
        <v>2100</v>
      </c>
      <c r="H5" s="44" t="n">
        <v>2100</v>
      </c>
      <c r="I5" s="44" t="n">
        <v>2100</v>
      </c>
      <c r="J5" s="44" t="n">
        <v>6300</v>
      </c>
      <c r="K5" s="43" t="inlineStr">
        <is>
          <t>API Gateway REST API fronting Lambda handlers</t>
        </is>
      </c>
    </row>
    <row r="6" ht="26" customHeight="1">
      <c r="A6" s="46" t="inlineStr">
        <is>
          <t>Cloud Services</t>
        </is>
      </c>
      <c r="B6" s="47" t="inlineStr">
        <is>
          <t>Amazon DynamoDB</t>
        </is>
      </c>
      <c r="C6" s="47" t="inlineStr">
        <is>
          <t>NoSQL state store for solution metadata and usage tracking (200 GB)</t>
        </is>
      </c>
      <c r="D6" s="48" t="n">
        <v>200</v>
      </c>
      <c r="E6" s="47" t="inlineStr">
        <is>
          <t>GB/Month</t>
        </is>
      </c>
      <c r="F6" s="49" t="n">
        <v>0.25</v>
      </c>
      <c r="G6" s="49" t="n">
        <v>600</v>
      </c>
      <c r="H6" s="48" t="n">
        <v>600</v>
      </c>
      <c r="I6" s="48" t="n">
        <v>600</v>
      </c>
      <c r="J6" s="48" t="n">
        <v>1800</v>
      </c>
      <c r="K6" s="47" t="inlineStr">
        <is>
          <t>On-demand capacity mode for solution records and per-user usage limits</t>
        </is>
      </c>
    </row>
    <row r="7" ht="26" customHeight="1">
      <c r="A7" s="42" t="inlineStr">
        <is>
          <t>Cloud Services</t>
        </is>
      </c>
      <c r="B7" s="43" t="inlineStr">
        <is>
          <t>Amazon S3</t>
        </is>
      </c>
      <c r="C7" s="43" t="inlineStr">
        <is>
          <t>Artifact and template object storage (2 TB standard tier)</t>
        </is>
      </c>
      <c r="D7" s="44" t="n">
        <v>2000</v>
      </c>
      <c r="E7" s="43" t="inlineStr">
        <is>
          <t>GB/Month</t>
        </is>
      </c>
      <c r="F7" s="45" t="n">
        <v>0.023</v>
      </c>
      <c r="G7" s="45" t="n">
        <v>552</v>
      </c>
      <c r="H7" s="44" t="n">
        <v>552</v>
      </c>
      <c r="I7" s="44" t="n">
        <v>552</v>
      </c>
      <c r="J7" s="44" t="n">
        <v>1656</v>
      </c>
      <c r="K7" s="43" t="inlineStr">
        <is>
          <t>Stores generated artifacts briefings and Word/Excel/PowerPoint templates</t>
        </is>
      </c>
    </row>
    <row r="8" ht="26" customHeight="1">
      <c r="A8" s="46" t="inlineStr">
        <is>
          <t>Cloud Services</t>
        </is>
      </c>
      <c r="B8" s="47" t="inlineStr">
        <is>
          <t>AWS Step Functions</t>
        </is>
      </c>
      <c r="C8" s="47" t="inlineStr">
        <is>
          <t>Async long-running artifact generation job orchestration</t>
        </is>
      </c>
      <c r="D8" s="48" t="n">
        <v>1</v>
      </c>
      <c r="E8" s="47" t="inlineStr">
        <is>
          <t>Service/Month</t>
        </is>
      </c>
      <c r="F8" s="49" t="n">
        <v>50</v>
      </c>
      <c r="G8" s="49" t="n">
        <v>600</v>
      </c>
      <c r="H8" s="48" t="n">
        <v>600</v>
      </c>
      <c r="I8" s="48" t="n">
        <v>600</v>
      </c>
      <c r="J8" s="48" t="n">
        <v>1800</v>
      </c>
      <c r="K8" s="47" t="inlineStr">
        <is>
          <t>Standard workflows for 30-60 min generation jobs surviving without timeouts</t>
        </is>
      </c>
    </row>
    <row r="9" ht="26" customHeight="1">
      <c r="A9" s="42" t="inlineStr">
        <is>
          <t>Cloud Services</t>
        </is>
      </c>
      <c r="B9" s="43" t="inlineStr">
        <is>
          <t>Amazon SQS</t>
        </is>
      </c>
      <c r="C9" s="43" t="inlineStr">
        <is>
          <t>Job queue for async artifact generation pipeline</t>
        </is>
      </c>
      <c r="D9" s="44" t="n">
        <v>1</v>
      </c>
      <c r="E9" s="43" t="inlineStr">
        <is>
          <t>Service/Month</t>
        </is>
      </c>
      <c r="F9" s="45" t="n">
        <v>10</v>
      </c>
      <c r="G9" s="45" t="n">
        <v>120</v>
      </c>
      <c r="H9" s="44" t="n">
        <v>120</v>
      </c>
      <c r="I9" s="44" t="n">
        <v>120</v>
      </c>
      <c r="J9" s="44" t="n">
        <v>360</v>
      </c>
      <c r="K9" s="43" t="inlineStr">
        <is>
          <t>Decouples API submission from downstream Bedrock invocation pipeline</t>
        </is>
      </c>
    </row>
    <row r="10" ht="26" customHeight="1">
      <c r="A10" s="46" t="inlineStr">
        <is>
          <t>Cloud Services</t>
        </is>
      </c>
      <c r="B10" s="47" t="inlineStr">
        <is>
          <t>Amazon Cognito</t>
        </is>
      </c>
      <c r="C10" s="47" t="inlineStr">
        <is>
          <t>User authentication with admin governance groups (500 MAU)</t>
        </is>
      </c>
      <c r="D10" s="48" t="n">
        <v>500</v>
      </c>
      <c r="E10" s="47" t="inlineStr">
        <is>
          <t>MAU/Month</t>
        </is>
      </c>
      <c r="F10" s="49" t="n">
        <v>0.0055</v>
      </c>
      <c r="G10" s="49" t="n">
        <v>33</v>
      </c>
      <c r="H10" s="48" t="n">
        <v>33</v>
      </c>
      <c r="I10" s="48" t="n">
        <v>33</v>
      </c>
      <c r="J10" s="48" t="n">
        <v>99</v>
      </c>
      <c r="K10" s="47" t="inlineStr">
        <is>
          <t>Migrated from Okta; supports per-user and global monthly usage limits</t>
        </is>
      </c>
    </row>
    <row r="11" ht="26" customHeight="1">
      <c r="A11" s="42" t="inlineStr">
        <is>
          <t>Cloud Services</t>
        </is>
      </c>
      <c r="B11" s="43" t="inlineStr">
        <is>
          <t>Amazon CloudWatch</t>
        </is>
      </c>
      <c r="C11" s="43" t="inlineStr">
        <is>
          <t>Logs metrics alarms and dashboards for platform observability</t>
        </is>
      </c>
      <c r="D11" s="44" t="n">
        <v>1</v>
      </c>
      <c r="E11" s="43" t="inlineStr">
        <is>
          <t>Service/Month</t>
        </is>
      </c>
      <c r="F11" s="45" t="n">
        <v>150</v>
      </c>
      <c r="G11" s="45" t="n">
        <v>1800</v>
      </c>
      <c r="H11" s="44" t="n">
        <v>1800</v>
      </c>
      <c r="I11" s="44" t="n">
        <v>1800</v>
      </c>
      <c r="J11" s="44" t="n">
        <v>5400</v>
      </c>
      <c r="K11" s="43" t="inlineStr">
        <is>
          <t>Centralized logging for Lambda Step Functions and API Gateway</t>
        </is>
      </c>
    </row>
    <row r="12" ht="26" customHeight="1">
      <c r="A12" s="46" t="inlineStr">
        <is>
          <t>Cloud Services</t>
        </is>
      </c>
      <c r="B12" s="47" t="inlineStr">
        <is>
          <t>Amazon CloudFront</t>
        </is>
      </c>
      <c r="C12" s="47" t="inlineStr">
        <is>
          <t>CDN for static web assets and API acceleration (500 GB/month)</t>
        </is>
      </c>
      <c r="D12" s="48" t="n">
        <v>500</v>
      </c>
      <c r="E12" s="47" t="inlineStr">
        <is>
          <t>GB/Month</t>
        </is>
      </c>
      <c r="F12" s="49" t="n">
        <v>0.008999999999999999</v>
      </c>
      <c r="G12" s="49" t="n">
        <v>54</v>
      </c>
      <c r="H12" s="48" t="n">
        <v>54</v>
      </c>
      <c r="I12" s="48" t="n">
        <v>54</v>
      </c>
      <c r="J12" s="48" t="n">
        <v>162</v>
      </c>
      <c r="K12" s="47" t="inlineStr">
        <is>
          <t>Serves pre-sales platform front-end assets from S3 origin</t>
        </is>
      </c>
    </row>
    <row r="13" ht="26" customHeight="1">
      <c r="A13" s="42" t="inlineStr">
        <is>
          <t>Cloud Services</t>
        </is>
      </c>
      <c r="B13" s="43" t="inlineStr">
        <is>
          <t>AWS WAF</t>
        </is>
      </c>
      <c r="C13" s="43" t="inlineStr">
        <is>
          <t>Web Application Firewall protecting API Gateway endpoint</t>
        </is>
      </c>
      <c r="D13" s="44" t="n">
        <v>1</v>
      </c>
      <c r="E13" s="43" t="inlineStr">
        <is>
          <t>Service/Month</t>
        </is>
      </c>
      <c r="F13" s="45" t="n">
        <v>30</v>
      </c>
      <c r="G13" s="45" t="n">
        <v>360</v>
      </c>
      <c r="H13" s="44" t="n">
        <v>360</v>
      </c>
      <c r="I13" s="44" t="n">
        <v>360</v>
      </c>
      <c r="J13" s="44" t="n">
        <v>1080</v>
      </c>
      <c r="K13" s="43" t="inlineStr">
        <is>
          <t>Rate limiting and OWASP rule sets for SOC 2 compliance</t>
        </is>
      </c>
    </row>
    <row r="14" ht="26" customHeight="1">
      <c r="A14" s="46" t="inlineStr">
        <is>
          <t>Cloud Services</t>
        </is>
      </c>
      <c r="B14" s="47" t="inlineStr">
        <is>
          <t>AWS Secrets Manager</t>
        </is>
      </c>
      <c r="C14" s="47" t="inlineStr">
        <is>
          <t>Secrets rotation for Bedrock and third-party integration credentials (10 secrets)</t>
        </is>
      </c>
      <c r="D14" s="48" t="n">
        <v>10</v>
      </c>
      <c r="E14" s="47" t="inlineStr">
        <is>
          <t>Secret/Month</t>
        </is>
      </c>
      <c r="F14" s="49" t="n">
        <v>0.4</v>
      </c>
      <c r="G14" s="49" t="n">
        <v>48</v>
      </c>
      <c r="H14" s="48" t="n">
        <v>48</v>
      </c>
      <c r="I14" s="48" t="n">
        <v>48</v>
      </c>
      <c r="J14" s="48" t="n">
        <v>144</v>
      </c>
      <c r="K14" s="47" t="inlineStr">
        <is>
          <t>Manages API keys for Bedrock Datadog and other integrations</t>
        </is>
      </c>
    </row>
    <row r="15" ht="26" customHeight="1">
      <c r="A15" s="42" t="inlineStr">
        <is>
          <t>Cloud Services</t>
        </is>
      </c>
      <c r="B15" s="43" t="inlineStr">
        <is>
          <t>AWS CloudTrail</t>
        </is>
      </c>
      <c r="C15" s="43" t="inlineStr">
        <is>
          <t>API audit logging for SOC 2 Type II compliance</t>
        </is>
      </c>
      <c r="D15" s="44" t="n">
        <v>1</v>
      </c>
      <c r="E15" s="43" t="inlineStr">
        <is>
          <t>Service/Month</t>
        </is>
      </c>
      <c r="F15" s="45" t="n">
        <v>20</v>
      </c>
      <c r="G15" s="45" t="n">
        <v>240</v>
      </c>
      <c r="H15" s="44" t="n">
        <v>240</v>
      </c>
      <c r="I15" s="44" t="n">
        <v>240</v>
      </c>
      <c r="J15" s="44" t="n">
        <v>720</v>
      </c>
      <c r="K15" s="43" t="inlineStr">
        <is>
          <t>Full API activity logging for governance and compliance audit trail</t>
        </is>
      </c>
    </row>
    <row r="16" ht="26" customHeight="1">
      <c r="A16" s="46" t="inlineStr">
        <is>
          <t>Cloud Services</t>
        </is>
      </c>
      <c r="B16" s="47" t="inlineStr">
        <is>
          <t>S3 Data Transfer Out</t>
        </is>
      </c>
      <c r="C16" s="47" t="inlineStr">
        <is>
          <t>Outbound data transfer for artifact downloads (500 GB/month)</t>
        </is>
      </c>
      <c r="D16" s="48" t="n">
        <v>500</v>
      </c>
      <c r="E16" s="47" t="inlineStr">
        <is>
          <t>GB/Month</t>
        </is>
      </c>
      <c r="F16" s="49" t="n">
        <v>0.09</v>
      </c>
      <c r="G16" s="49" t="n">
        <v>540</v>
      </c>
      <c r="H16" s="48" t="n">
        <v>540</v>
      </c>
      <c r="I16" s="48" t="n">
        <v>540</v>
      </c>
      <c r="J16" s="48" t="n">
        <v>1620</v>
      </c>
      <c r="K16" s="47" t="inlineStr">
        <is>
          <t>Egress charges for artifact delivery to pre-sales consultants</t>
        </is>
      </c>
    </row>
    <row r="17" ht="26" customHeight="1">
      <c r="A17" s="42" t="inlineStr">
        <is>
          <t>Cloud Services</t>
        </is>
      </c>
      <c r="B17" s="43" t="inlineStr">
        <is>
          <t>Amazon SES</t>
        </is>
      </c>
      <c r="C17" s="43" t="inlineStr">
        <is>
          <t>Transactional email notifications for job completion alerts</t>
        </is>
      </c>
      <c r="D17" s="44" t="n">
        <v>1</v>
      </c>
      <c r="E17" s="43" t="inlineStr">
        <is>
          <t>Service/Month</t>
        </is>
      </c>
      <c r="F17" s="45" t="n">
        <v>10</v>
      </c>
      <c r="G17" s="45" t="n">
        <v>120</v>
      </c>
      <c r="H17" s="44" t="n">
        <v>120</v>
      </c>
      <c r="I17" s="44" t="n">
        <v>120</v>
      </c>
      <c r="J17" s="44" t="n">
        <v>360</v>
      </c>
      <c r="K17" s="43" t="inlineStr">
        <is>
          <t>Sends artifact-ready notifications to pre-sales and delivery teams</t>
        </is>
      </c>
    </row>
    <row r="18" ht="26" customHeight="1">
      <c r="A18" s="46" t="inlineStr">
        <is>
          <t>Cloud Services</t>
        </is>
      </c>
      <c r="B18" s="47" t="inlineStr">
        <is>
          <t>Amazon ECR</t>
        </is>
      </c>
      <c r="C18" s="47" t="inlineStr">
        <is>
          <t>Container registry for Lambda deployment packages</t>
        </is>
      </c>
      <c r="D18" s="48" t="n">
        <v>1</v>
      </c>
      <c r="E18" s="47" t="inlineStr">
        <is>
          <t>Service/Month</t>
        </is>
      </c>
      <c r="F18" s="49" t="n">
        <v>5</v>
      </c>
      <c r="G18" s="49" t="n">
        <v>60</v>
      </c>
      <c r="H18" s="48" t="n">
        <v>60</v>
      </c>
      <c r="I18" s="48" t="n">
        <v>60</v>
      </c>
      <c r="J18" s="48" t="n">
        <v>180</v>
      </c>
      <c r="K18" s="47" t="inlineStr">
        <is>
          <t>Stores Lambda container images for deployment pipeline</t>
        </is>
      </c>
    </row>
    <row r="19" ht="26" customHeight="1">
      <c r="A19" s="42" t="inlineStr">
        <is>
          <t>Software Licenses</t>
        </is>
      </c>
      <c r="B19" s="43" t="inlineStr">
        <is>
          <t>Datadog Pro</t>
        </is>
      </c>
      <c r="C19" s="43" t="inlineStr">
        <is>
          <t>APM and infrastructure monitoring for Lambda and API Gateway (5 hosts)</t>
        </is>
      </c>
      <c r="D19" s="44" t="n">
        <v>5</v>
      </c>
      <c r="E19" s="43" t="inlineStr">
        <is>
          <t>Host/Month</t>
        </is>
      </c>
      <c r="F19" s="45" t="n">
        <v>23</v>
      </c>
      <c r="G19" s="45" t="n">
        <v>1380</v>
      </c>
      <c r="H19" s="44" t="n">
        <v>1380</v>
      </c>
      <c r="I19" s="44" t="n">
        <v>1380</v>
      </c>
      <c r="J19" s="44" t="n">
        <v>4140</v>
      </c>
      <c r="K19" s="43" t="inlineStr">
        <is>
          <t>Application performance monitoring and distributed tracing</t>
        </is>
      </c>
    </row>
    <row r="20" ht="26" customHeight="1">
      <c r="A20" s="46" t="inlineStr">
        <is>
          <t>Software Licenses</t>
        </is>
      </c>
      <c r="B20" s="47" t="inlineStr">
        <is>
          <t>GitHub Actions</t>
        </is>
      </c>
      <c r="C20" s="47" t="inlineStr">
        <is>
          <t>CI/CD pipeline for platform codebase (Team plan)</t>
        </is>
      </c>
      <c r="D20" s="48" t="n">
        <v>1</v>
      </c>
      <c r="E20" s="47" t="inlineStr">
        <is>
          <t>Service/Month</t>
        </is>
      </c>
      <c r="F20" s="49" t="n">
        <v>21</v>
      </c>
      <c r="G20" s="49" t="n">
        <v>252</v>
      </c>
      <c r="H20" s="48" t="n">
        <v>252</v>
      </c>
      <c r="I20" s="48" t="n">
        <v>252</v>
      </c>
      <c r="J20" s="48" t="n">
        <v>756</v>
      </c>
      <c r="K20" s="47" t="inlineStr">
        <is>
          <t>Automated build test and deployment pipelines for platform updates</t>
        </is>
      </c>
    </row>
    <row r="21" ht="26" customHeight="1">
      <c r="A21" s="42" t="inlineStr">
        <is>
          <t>Connectivity</t>
        </is>
      </c>
      <c r="B21" s="43" t="inlineStr">
        <is>
          <t>AWS PrivateLink</t>
        </is>
      </c>
      <c r="C21" s="43" t="inlineStr">
        <is>
          <t>VPC interface endpoints for private connectivity to AWS services (2 endpoints)</t>
        </is>
      </c>
      <c r="D21" s="44" t="n">
        <v>2</v>
      </c>
      <c r="E21" s="43" t="inlineStr">
        <is>
          <t>Endpoint/Month</t>
        </is>
      </c>
      <c r="F21" s="45" t="n">
        <v>7.2</v>
      </c>
      <c r="G21" s="45" t="n">
        <v>172.8</v>
      </c>
      <c r="H21" s="44" t="n">
        <v>172.8</v>
      </c>
      <c r="I21" s="44" t="n">
        <v>172.8</v>
      </c>
      <c r="J21" s="44" t="n">
        <v>518.4</v>
      </c>
      <c r="K21" s="43" t="inlineStr">
        <is>
          <t>Private network access to S3 DynamoDB and Bedrock from VPC</t>
        </is>
      </c>
    </row>
    <row r="22" ht="26" customHeight="1">
      <c r="A22" s="46" t="inlineStr">
        <is>
          <t>Support &amp; Maintenance</t>
        </is>
      </c>
      <c r="B22" s="47" t="inlineStr">
        <is>
          <t>AWS Business Support</t>
        </is>
      </c>
      <c r="C22" s="47" t="inlineStr">
        <is>
          <t>AWS Business Support plan covering 24x7 access to cloud support engineers</t>
        </is>
      </c>
      <c r="D22" s="48" t="n">
        <v>1</v>
      </c>
      <c r="E22" s="47" t="inlineStr">
        <is>
          <t>Service/Month</t>
        </is>
      </c>
      <c r="F22" s="49" t="n">
        <v>510</v>
      </c>
      <c r="G22" s="49" t="n">
        <v>6120</v>
      </c>
      <c r="H22" s="48" t="n">
        <v>6120</v>
      </c>
      <c r="I22" s="48" t="n">
        <v>6120</v>
      </c>
      <c r="J22" s="48" t="n">
        <v>18360</v>
      </c>
      <c r="K22" s="47" t="inlineStr">
        <is>
          <t>~10% of monthly AWS charges; includes TAM access and infrastructure event management</t>
        </is>
      </c>
    </row>
    <row r="23" ht="26" customHeight="1">
      <c r="A23" s="42" t="inlineStr">
        <is>
          <t>Hardware</t>
        </is>
      </c>
      <c r="B23" s="43" t="inlineStr">
        <is>
          <t>No Hardware Required</t>
        </is>
      </c>
      <c r="C23" s="43" t="inlineStr">
        <is>
          <t>Fully serverless AWS-native platform - no physical hardware required</t>
        </is>
      </c>
      <c r="D23" s="44" t="n">
        <v>0</v>
      </c>
      <c r="E23" s="43" t="inlineStr">
        <is>
          <t>N/A</t>
        </is>
      </c>
      <c r="F23" s="45" t="n">
        <v>0</v>
      </c>
      <c r="G23" s="45" t="n">
        <v>0</v>
      </c>
      <c r="H23" s="44" t="n">
        <v>0</v>
      </c>
      <c r="I23" s="44" t="n">
        <v>0</v>
      </c>
      <c r="J23" s="44" t="n">
        <v>0</v>
      </c>
      <c r="K23" s="43" t="inlineStr">
        <is>
          <t>Cloud-only solution eliminates all hardware CapEx</t>
        </is>
      </c>
    </row>
    <row r="24" ht="26" customHeight="1">
      <c r="A24" s="46" t="inlineStr">
        <is>
          <t>Facilities</t>
        </is>
      </c>
      <c r="B24" s="47" t="inlineStr">
        <is>
          <t>No Facilities Required</t>
        </is>
      </c>
      <c r="C24" s="47" t="inlineStr">
        <is>
          <t>AWS-hosted cloud-only solution - no data center or co-location required</t>
        </is>
      </c>
      <c r="D24" s="48" t="n">
        <v>0</v>
      </c>
      <c r="E24" s="47" t="inlineStr">
        <is>
          <t>N/A</t>
        </is>
      </c>
      <c r="F24" s="49" t="n">
        <v>0</v>
      </c>
      <c r="G24" s="49" t="n">
        <v>0</v>
      </c>
      <c r="H24" s="48" t="n">
        <v>0</v>
      </c>
      <c r="I24" s="48" t="n">
        <v>0</v>
      </c>
      <c r="J24" s="48" t="n">
        <v>0</v>
      </c>
      <c r="K24" s="47" t="inlineStr">
        <is>
          <t>No rack space power or cooling costs for cloud-native deployment</t>
        </is>
      </c>
    </row>
    <row r="25" ht="26" customHeight="1">
      <c r="A25" s="50" t="inlineStr">
        <is>
          <t>TOTAL</t>
        </is>
      </c>
      <c r="B25" s="51" t="n"/>
      <c r="C25" s="51" t="n"/>
      <c r="D25" s="51" t="n"/>
      <c r="E25" s="51" t="n"/>
      <c r="F25" s="51" t="n"/>
      <c r="G25" s="52">
        <f>SUM(G3:G24)</f>
        <v/>
      </c>
      <c r="H25" s="52">
        <f>SUM(H3:H24)</f>
        <v/>
      </c>
      <c r="I25" s="52">
        <f>SUM(I3:I24)</f>
        <v/>
      </c>
      <c r="J25" s="52">
        <f>SUM(J3:J24)</f>
        <v/>
      </c>
      <c r="K25" s="51" t="n"/>
    </row>
  </sheetData>
  <autoFilter ref="A2:K25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Cloud Services</t>
        </is>
      </c>
      <c r="B3" s="43" t="inlineStr">
        <is>
          <t>AWS Activate Credit</t>
        </is>
      </c>
      <c r="C3" s="45" t="n">
        <v>-5000</v>
      </c>
      <c r="D3" s="43" t="inlineStr">
        <is>
          <t>AWS Startup program credit applied against Year 1 cloud consumption (Bedrock Lambda S3 DynamoDB)</t>
        </is>
      </c>
    </row>
    <row r="4" ht="26" customHeight="1">
      <c r="A4" s="46" t="inlineStr">
        <is>
          <t>Cloud Services</t>
        </is>
      </c>
      <c r="B4" s="47" t="inlineStr">
        <is>
          <t>AWS MAP Credit</t>
        </is>
      </c>
      <c r="C4" s="49" t="n">
        <v>0</v>
      </c>
      <c r="D4" s="47" t="inlineStr">
        <is>
          <t>No migration workloads in scope - greenfield platform build only</t>
        </is>
      </c>
    </row>
    <row r="5" ht="26" customHeight="1">
      <c r="A5" s="42" t="inlineStr">
        <is>
          <t>Software Licenses</t>
        </is>
      </c>
      <c r="B5" s="43" t="inlineStr">
        <is>
          <t>Partner Tool Credit</t>
        </is>
      </c>
      <c r="C5" s="45" t="n">
        <v>0</v>
      </c>
      <c r="D5" s="43" t="inlineStr">
        <is>
          <t>No partner program credits available for Datadog or GitHub in current engagement</t>
        </is>
      </c>
    </row>
    <row r="6" ht="26" customHeight="1">
      <c r="A6" s="46" t="inlineStr">
        <is>
          <t>Connectivity</t>
        </is>
      </c>
      <c r="B6" s="47" t="inlineStr">
        <is>
          <t>Network Credit</t>
        </is>
      </c>
      <c r="C6" s="49" t="n">
        <v>0</v>
      </c>
      <c r="D6" s="47" t="inlineStr">
        <is>
          <t>No connectivity credits available for PrivateLink endpoints</t>
        </is>
      </c>
    </row>
    <row r="7" ht="26" customHeight="1">
      <c r="A7" s="42" t="inlineStr">
        <is>
          <t>Support &amp; Maintenance</t>
        </is>
      </c>
      <c r="B7" s="43" t="inlineStr">
        <is>
          <t>Support Credit</t>
        </is>
      </c>
      <c r="C7" s="45" t="n">
        <v>0</v>
      </c>
      <c r="D7" s="43" t="inlineStr">
        <is>
          <t>No support plan credits available</t>
        </is>
      </c>
    </row>
    <row r="8" ht="26" customHeight="1">
      <c r="A8" s="46" t="inlineStr">
        <is>
          <t>Hardware</t>
        </is>
      </c>
      <c r="B8" s="47" t="inlineStr">
        <is>
          <t>Equipment Credit</t>
        </is>
      </c>
      <c r="C8" s="49" t="n">
        <v>0</v>
      </c>
      <c r="D8" s="47" t="inlineStr">
        <is>
          <t>No hardware credits - fully serverless cloud-native solution</t>
        </is>
      </c>
    </row>
    <row r="9" ht="26" customHeight="1">
      <c r="A9" s="42" t="inlineStr">
        <is>
          <t>Facilities</t>
        </is>
      </c>
      <c r="B9" s="43" t="inlineStr">
        <is>
          <t>Facilities Credit</t>
        </is>
      </c>
      <c r="C9" s="45" t="n">
        <v>0</v>
      </c>
      <c r="D9" s="43" t="inlineStr">
        <is>
          <t>No facilities credits - cloud-only solution with no physical infrastructure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2026-06-10T18:53:52Z</dcterms:modified>
  <cp:lastModifiedBy>Kishan Siram</cp:lastModifiedBy>
</cp:coreProperties>
</file>