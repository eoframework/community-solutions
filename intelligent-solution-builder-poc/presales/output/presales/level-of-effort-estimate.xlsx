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cope Assumptions" sheetId="2" state="visible" r:id="rId2"/>
    <sheet xmlns:r="http://schemas.openxmlformats.org/officeDocument/2006/relationships" name="Estimate Settings" sheetId="3" state="visible" r:id="rId3"/>
    <sheet xmlns:r="http://schemas.openxmlformats.org/officeDocument/2006/relationships" name="LOE" sheetId="4" state="visible" r:id="rId4"/>
    <sheet xmlns:r="http://schemas.openxmlformats.org/officeDocument/2006/relationships" name="Credits" sheetId="5" state="visible" r:id="rId5"/>
  </sheets>
  <definedNames>
    <definedName name="_xlnm._FilterDatabase" localSheetId="1" hidden="1">'Scope Assumptions'!$A$2:$G$10</definedName>
    <definedName name="_xlnm._FilterDatabase" localSheetId="2" hidden="1">'Estimate Settings'!$A$2:$D$9</definedName>
    <definedName name="_xlnm._FilterDatabase" localSheetId="3" hidden="1">'LOE'!$A$2:$K$62</definedName>
    <definedName name="_xlnm._FilterDatabase" localSheetId="4" hidden="1">'Credits'!$A$2:$C$6</definedName>
  </definedNames>
  <calcPr calcId="124519" calcMode="auto" fullCalcOnLoad="1" calcOnSave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"/>
    <numFmt numFmtId="166" formatCode="$#,##0"/>
  </numFmts>
  <fonts count="20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color rgb="00FF0000"/>
      <sz val="12"/>
    </font>
    <font>
      <name val="Calibri"/>
      <color rgb="FF2C3E50"/>
      <sz val="11"/>
    </font>
    <font>
      <name val="Calibri"/>
      <b val="1"/>
      <color rgb="FF2C3E50"/>
      <sz val="11"/>
    </font>
    <font>
      <name val="Calibri"/>
      <b val="1"/>
      <color rgb="FFCC0000"/>
      <sz val="11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14" fillId="11" borderId="5" applyAlignment="1" pivotButton="0" quotePrefix="0" xfId="0">
      <alignment horizontal="left" vertical="center" wrapText="1" indent="1"/>
    </xf>
    <xf numFmtId="0" fontId="2" fillId="11" borderId="5" applyAlignment="1" pivotButton="0" quotePrefix="0" xfId="0">
      <alignment horizontal="left" vertical="center" wrapText="1" indent="1"/>
    </xf>
    <xf numFmtId="165" fontId="2" fillId="4" borderId="5" applyAlignment="1" pivotButton="0" quotePrefix="0" xfId="0">
      <alignment horizontal="center" vertical="center" wrapText="1"/>
    </xf>
    <xf numFmtId="165" fontId="2" fillId="11" borderId="5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left" vertical="center"/>
    </xf>
    <xf numFmtId="0" fontId="18" fillId="4" borderId="5" applyAlignment="1" pivotButton="0" quotePrefix="0" xfId="0">
      <alignment horizontal="left" vertical="center" wrapText="1" indent="1"/>
    </xf>
    <xf numFmtId="0" fontId="17" fillId="4" borderId="5" applyAlignment="1" pivotButton="0" quotePrefix="0" xfId="0">
      <alignment horizontal="left" vertical="center" wrapText="1" indent="1"/>
    </xf>
    <xf numFmtId="3" fontId="17" fillId="4" borderId="5" applyAlignment="1" pivotButton="0" quotePrefix="0" xfId="0">
      <alignment horizontal="right" vertical="center" wrapText="1"/>
    </xf>
    <xf numFmtId="165" fontId="17" fillId="4" borderId="5" applyAlignment="1" pivotButton="0" quotePrefix="0" xfId="0">
      <alignment horizontal="center" vertical="center" wrapText="1"/>
    </xf>
    <xf numFmtId="166" fontId="17" fillId="4" borderId="5" applyAlignment="1" pivotButton="0" quotePrefix="0" xfId="0">
      <alignment horizontal="right" vertical="center" wrapText="1"/>
    </xf>
    <xf numFmtId="0" fontId="17" fillId="4" borderId="5" applyAlignment="1" pivotButton="0" quotePrefix="0" xfId="0">
      <alignment horizontal="right" vertical="center" wrapText="1"/>
    </xf>
    <xf numFmtId="0" fontId="18" fillId="11" borderId="5" applyAlignment="1" pivotButton="0" quotePrefix="0" xfId="0">
      <alignment horizontal="left" vertical="center" wrapText="1" indent="1"/>
    </xf>
    <xf numFmtId="0" fontId="17" fillId="11" borderId="5" applyAlignment="1" pivotButton="0" quotePrefix="0" xfId="0">
      <alignment horizontal="left" vertical="center" wrapText="1" indent="1"/>
    </xf>
    <xf numFmtId="3" fontId="17" fillId="11" borderId="5" applyAlignment="1" pivotButton="0" quotePrefix="0" xfId="0">
      <alignment horizontal="right" vertical="center" wrapText="1"/>
    </xf>
    <xf numFmtId="165" fontId="17" fillId="11" borderId="5" applyAlignment="1" pivotButton="0" quotePrefix="0" xfId="0">
      <alignment horizontal="center" vertical="center" wrapText="1"/>
    </xf>
    <xf numFmtId="166" fontId="17" fillId="11" borderId="5" applyAlignment="1" pivotButton="0" quotePrefix="0" xfId="0">
      <alignment horizontal="right" vertical="center" wrapText="1"/>
    </xf>
    <xf numFmtId="0" fontId="17" fillId="11" borderId="5" applyAlignment="1" pivotButton="0" quotePrefix="0" xfId="0">
      <alignment horizontal="right" vertical="center" wrapText="1"/>
    </xf>
    <xf numFmtId="0" fontId="19" fillId="5" borderId="5" applyAlignment="1" pivotButton="0" quotePrefix="0" xfId="0">
      <alignment horizontal="left" vertical="center" wrapText="1"/>
    </xf>
    <xf numFmtId="0" fontId="19" fillId="5" borderId="5" applyAlignment="1" pivotButton="0" quotePrefix="0" xfId="0">
      <alignment horizontal="right" vertical="center" wrapText="1"/>
    </xf>
    <xf numFmtId="166" fontId="2" fillId="4" borderId="5" applyAlignment="1" pivotButton="0" quotePrefix="0" xfId="0">
      <alignment horizontal="right" vertical="center" wrapText="1"/>
    </xf>
    <xf numFmtId="166" fontId="2" fillId="11" borderId="5" applyAlignment="1" pivotButton="0" quotePrefix="0" xfId="0">
      <alignment horizontal="right" vertical="center" wrapText="1"/>
    </xf>
    <xf numFmtId="0" fontId="4" fillId="5" borderId="5" applyAlignment="1" pivotButton="0" quotePrefix="0" xfId="0">
      <alignment horizontal="left" vertical="center" wrapText="1"/>
    </xf>
    <xf numFmtId="166" fontId="4" fillId="5" borderId="5" applyAlignment="1" pivotButton="0" quotePrefix="0" xfId="0">
      <alignment horizontal="right" vertical="center" wrapText="1"/>
    </xf>
    <xf numFmtId="0" fontId="4" fillId="5" borderId="5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Level of Effort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June 10, 2026</t>
        </is>
      </c>
    </row>
    <row r="6" ht="18" customHeight="1">
      <c r="B6" s="2" t="inlineStr">
        <is>
          <t>Solution:</t>
        </is>
      </c>
      <c r="C6" s="3" t="inlineStr">
        <is>
          <t>Tmp546Ryoep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30" customWidth="1" min="3" max="3"/>
    <col width="25" customWidth="1" min="4" max="4"/>
    <col width="25" customWidth="1" min="5" max="5"/>
    <col width="30" customWidth="1" min="6" max="6"/>
    <col width="40" customWidth="1" min="7" max="7"/>
  </cols>
  <sheetData>
    <row r="1" ht="32" customHeight="1">
      <c r="A1" s="34" t="inlineStr">
        <is>
          <t>SCOPE ASSUMPTIONS</t>
        </is>
      </c>
    </row>
    <row r="2" ht="32" customHeight="1">
      <c r="A2" s="35" t="inlineStr">
        <is>
          <t>Category</t>
        </is>
      </c>
      <c r="B2" s="35" t="inlineStr">
        <is>
          <t>Baseline Assumption</t>
        </is>
      </c>
      <c r="C2" s="35" t="inlineStr">
        <is>
          <t>Current Scope</t>
        </is>
      </c>
      <c r="D2" s="35" t="inlineStr">
        <is>
          <t>Small (1x)</t>
        </is>
      </c>
      <c r="E2" s="35" t="inlineStr">
        <is>
          <t>Medium (2x)</t>
        </is>
      </c>
      <c r="F2" s="35" t="inlineStr">
        <is>
          <t>Large (3x)</t>
        </is>
      </c>
      <c r="G2" s="35" t="inlineStr">
        <is>
          <t>Notes</t>
        </is>
      </c>
    </row>
    <row r="3" ht="26" customHeight="1">
      <c r="A3" s="36" t="inlineStr">
        <is>
          <t>Users / Stakeholders</t>
        </is>
      </c>
      <c r="B3" s="37" t="inlineStr">
        <is>
          <t>Single business unit (~50 users)</t>
        </is>
      </c>
      <c r="C3" s="38" t="inlineStr">
        <is>
          <t>~120 employees; pre-sales + delivery + sales teams as primary users</t>
        </is>
      </c>
      <c r="D3" s="37" t="inlineStr">
        <is>
          <t>Up to 50 users</t>
        </is>
      </c>
      <c r="E3" s="37" t="inlineStr">
        <is>
          <t>51–200 users</t>
        </is>
      </c>
      <c r="F3" s="37" t="inlineStr">
        <is>
          <t>200+ users</t>
        </is>
      </c>
      <c r="G3" s="37" t="inlineStr">
        <is>
          <t>All internal Amatra staff; primary day-to-day users are pre-sales consultants</t>
        </is>
      </c>
    </row>
    <row r="4" ht="26" customHeight="1">
      <c r="A4" s="39" t="inlineStr">
        <is>
          <t>Regions / Geographies</t>
        </is>
      </c>
      <c r="B4" s="40" t="inlineStr">
        <is>
          <t>Single AWS region</t>
        </is>
      </c>
      <c r="C4" s="38" t="inlineStr">
        <is>
          <t>us-west-2 (United States data residency required)</t>
        </is>
      </c>
      <c r="D4" s="40" t="inlineStr">
        <is>
          <t>1 region</t>
        </is>
      </c>
      <c r="E4" s="40" t="inlineStr">
        <is>
          <t>2 regions</t>
        </is>
      </c>
      <c r="F4" s="40" t="inlineStr">
        <is>
          <t>3+ regions</t>
        </is>
      </c>
      <c r="G4" s="40" t="inlineStr">
        <is>
          <t>SOC 2 and GDPR require all customer data resident in United States</t>
        </is>
      </c>
    </row>
    <row r="5" ht="26" customHeight="1">
      <c r="A5" s="36" t="inlineStr">
        <is>
          <t>Artifact Types</t>
        </is>
      </c>
      <c r="B5" s="37" t="inlineStr">
        <is>
          <t>3–4 standard artifact templates</t>
        </is>
      </c>
      <c r="C5" s="38" t="inlineStr">
        <is>
          <t>7+ artifact types (briefing; SoW; infra costs; LOE; detailed design; impl guide; Terraform)</t>
        </is>
      </c>
      <c r="D5" s="37" t="inlineStr">
        <is>
          <t>1–3 types</t>
        </is>
      </c>
      <c r="E5" s="37" t="inlineStr">
        <is>
          <t>4–6 types</t>
        </is>
      </c>
      <c r="F5" s="37" t="inlineStr">
        <is>
          <t>7+ types</t>
        </is>
      </c>
      <c r="G5" s="37" t="inlineStr">
        <is>
          <t>Existing Word/Excel/PowerPoint templates must be ingested and automated</t>
        </is>
      </c>
    </row>
    <row r="6" ht="26" customHeight="1">
      <c r="A6" s="39" t="inlineStr">
        <is>
          <t>Integration Points</t>
        </is>
      </c>
      <c r="B6" s="40" t="inlineStr">
        <is>
          <t>1 identity provider</t>
        </is>
      </c>
      <c r="C6" s="38" t="inlineStr">
        <is>
          <t>Okta to Amazon Cognito migration; Google Workspace (existing); legacy EC2 monolith retirement</t>
        </is>
      </c>
      <c r="D6" s="40" t="inlineStr">
        <is>
          <t>1 integration</t>
        </is>
      </c>
      <c r="E6" s="40" t="inlineStr">
        <is>
          <t>2–3 integrations</t>
        </is>
      </c>
      <c r="F6" s="40" t="inlineStr">
        <is>
          <t>4+ integrations</t>
        </is>
      </c>
      <c r="G6" s="40" t="inlineStr">
        <is>
          <t>Legacy monolith to be retired; Okta identities migrated to Cognito</t>
        </is>
      </c>
    </row>
    <row r="7" ht="26" customHeight="1">
      <c r="A7" s="36" t="inlineStr">
        <is>
          <t>Environments</t>
        </is>
      </c>
      <c r="B7" s="37" t="inlineStr">
        <is>
          <t>Dev + Prod</t>
        </is>
      </c>
      <c r="C7" s="38" t="inlineStr">
        <is>
          <t>Dev / Staging / Prod (3 environments) with CI/CD pipeline</t>
        </is>
      </c>
      <c r="D7" s="37" t="inlineStr">
        <is>
          <t>Dev + Prod</t>
        </is>
      </c>
      <c r="E7" s="37" t="inlineStr">
        <is>
          <t>Dev + Staging + Prod</t>
        </is>
      </c>
      <c r="F7" s="37" t="inlineStr">
        <is>
          <t>Dev + Staging + Prod + DR</t>
        </is>
      </c>
      <c r="G7" s="37" t="inlineStr">
        <is>
          <t>Full IaC (Terraform) required for all environments</t>
        </is>
      </c>
    </row>
    <row r="8" ht="26" customHeight="1">
      <c r="A8" s="39" t="inlineStr">
        <is>
          <t>AI/ML Models</t>
        </is>
      </c>
      <c r="B8" s="40" t="inlineStr">
        <is>
          <t>Single LLM integration</t>
        </is>
      </c>
      <c r="C8" s="38" t="inlineStr">
        <is>
          <t>Amazon Bedrock (Claude models) for multi-artifact generation; async jobs 30–60 min</t>
        </is>
      </c>
      <c r="D8" s="40" t="inlineStr">
        <is>
          <t>1 model</t>
        </is>
      </c>
      <c r="E8" s="40" t="inlineStr">
        <is>
          <t>2–3 models</t>
        </is>
      </c>
      <c r="F8" s="40" t="inlineStr">
        <is>
          <t>4+ models / complex pipelines</t>
        </is>
      </c>
      <c r="G8" s="40" t="inlineStr">
        <is>
          <t>Async long-running generation jobs must survive without dropping; per-user usage limits enforced</t>
        </is>
      </c>
    </row>
    <row r="9" ht="26" customHeight="1">
      <c r="A9" s="36" t="inlineStr">
        <is>
          <t>Compliance Frameworks</t>
        </is>
      </c>
      <c r="B9" s="37" t="inlineStr">
        <is>
          <t>None specified</t>
        </is>
      </c>
      <c r="C9" s="38" t="inlineStr">
        <is>
          <t>SOC 2 Type II + GDPR-aligned data handling</t>
        </is>
      </c>
      <c r="D9" s="37" t="inlineStr">
        <is>
          <t>None</t>
        </is>
      </c>
      <c r="E9" s="37" t="inlineStr">
        <is>
          <t>SOC 2 Type II</t>
        </is>
      </c>
      <c r="F9" s="37" t="inlineStr">
        <is>
          <t>SOC 2 Type II + GDPR + additional frameworks</t>
        </is>
      </c>
      <c r="G9" s="37" t="inlineStr">
        <is>
          <t>Security &amp; Compliance Lead sign-off required; admin governance controls mandatory</t>
        </is>
      </c>
    </row>
    <row r="10" ht="26" customHeight="1">
      <c r="A10" s="39" t="inlineStr">
        <is>
          <t>SLA / Availability Target</t>
        </is>
      </c>
      <c r="B10" s="40" t="inlineStr">
        <is>
          <t>99.5% availability</t>
        </is>
      </c>
      <c r="C10" s="38" t="inlineStr">
        <is>
          <t>99.9% platform availability; &lt;2 business day artifact turnaround</t>
        </is>
      </c>
      <c r="D10" s="40" t="inlineStr">
        <is>
          <t>99.5%</t>
        </is>
      </c>
      <c r="E10" s="40" t="inlineStr">
        <is>
          <t>99.9%</t>
        </is>
      </c>
      <c r="F10" s="40" t="inlineStr">
        <is>
          <t>99.99%</t>
        </is>
      </c>
      <c r="G10" s="40" t="inlineStr">
        <is>
          <t>Hard deadline: platform live before 2027-01-31 flagship client renewal</t>
        </is>
      </c>
    </row>
  </sheetData>
  <autoFilter ref="A2:G10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15" customWidth="1" min="3" max="3"/>
    <col width="80" customWidth="1" min="4" max="4"/>
  </cols>
  <sheetData>
    <row r="1" ht="32" customHeight="1">
      <c r="A1" s="34" t="inlineStr">
        <is>
          <t>ESTIMATE SETTINGS</t>
        </is>
      </c>
    </row>
    <row r="2" ht="32" customHeight="1">
      <c r="A2" s="35" t="inlineStr">
        <is>
          <t>Phase</t>
        </is>
      </c>
      <c r="B2" s="35" t="inlineStr">
        <is>
          <t>Variable Name</t>
        </is>
      </c>
      <c r="C2" s="35" t="inlineStr">
        <is>
          <t>Multiplier</t>
        </is>
      </c>
      <c r="D2" s="35" t="inlineStr">
        <is>
          <t>Description / Applies To Tasks</t>
        </is>
      </c>
    </row>
    <row r="3" ht="26" customHeight="1">
      <c r="A3" s="36" t="inlineStr">
        <is>
          <t>Discovery</t>
        </is>
      </c>
      <c r="B3" s="37" t="inlineStr">
        <is>
          <t>discovery_factor</t>
        </is>
      </c>
      <c r="C3" s="41" t="n">
        <v>1.2</v>
      </c>
      <c r="D3" s="37" t="inlineStr">
        <is>
          <t>Elevated due to Okta migration complexity, legacy monolith retirement, and multi-stakeholder alignment (CTO, VP Eng, Head of Solutions, Security Lead)</t>
        </is>
      </c>
    </row>
    <row r="4" ht="26" customHeight="1">
      <c r="A4" s="39" t="inlineStr">
        <is>
          <t>Planning</t>
        </is>
      </c>
      <c r="B4" s="40" t="inlineStr">
        <is>
          <t>planning_factor</t>
        </is>
      </c>
      <c r="C4" s="42" t="n">
        <v>1.3</v>
      </c>
      <c r="D4" s="40" t="inlineStr">
        <is>
          <t>Increased for serverless architecture complexity: Bedrock async orchestration, multi-env IaC, SOC 2 controls design, and Cognito identity federation</t>
        </is>
      </c>
    </row>
    <row r="5" ht="26" customHeight="1">
      <c r="A5" s="36" t="inlineStr">
        <is>
          <t>Development</t>
        </is>
      </c>
      <c r="B5" s="37" t="inlineStr">
        <is>
          <t>development_factor</t>
        </is>
      </c>
      <c r="C5" s="41" t="n">
        <v>1.4</v>
      </c>
      <c r="D5" s="37" t="inlineStr">
        <is>
          <t>Large-complexity multiplier for 7+ artifact pipeline automation, Lambda + API Gateway + DynamoDB + S3 + Bedrock integration, CI/CD, and Terraform modules</t>
        </is>
      </c>
    </row>
    <row r="6" ht="26" customHeight="1">
      <c r="A6" s="39" t="inlineStr">
        <is>
          <t>Testing</t>
        </is>
      </c>
      <c r="B6" s="40" t="inlineStr">
        <is>
          <t>testing_factor</t>
        </is>
      </c>
      <c r="C6" s="42" t="n">
        <v>1.2</v>
      </c>
      <c r="D6" s="40" t="inlineStr">
        <is>
          <t>Covers functional, integration, performance (async 30–60 min jobs), security validation, and SOC 2 compliance testing</t>
        </is>
      </c>
    </row>
    <row r="7" ht="26" customHeight="1">
      <c r="A7" s="36" t="inlineStr">
        <is>
          <t>Deployment</t>
        </is>
      </c>
      <c r="B7" s="37" t="inlineStr">
        <is>
          <t>deployment_factor</t>
        </is>
      </c>
      <c r="C7" s="41" t="n">
        <v>1.1</v>
      </c>
      <c r="D7" s="37" t="inlineStr">
        <is>
          <t>Phased rollout across 3 environments; includes Okta-to-Cognito identity migration cutover and legacy monolith decommission coordination</t>
        </is>
      </c>
    </row>
    <row r="8" ht="26" customHeight="1">
      <c r="A8" s="39" t="inlineStr">
        <is>
          <t>Training</t>
        </is>
      </c>
      <c r="B8" s="40" t="inlineStr">
        <is>
          <t>training_factor</t>
        </is>
      </c>
      <c r="C8" s="42" t="n">
        <v>1</v>
      </c>
      <c r="D8" s="40" t="inlineStr">
        <is>
          <t>Standard knowledge transfer to pre-sales consultants, delivery team, and admins; includes runbook and SOP documentation</t>
        </is>
      </c>
    </row>
    <row r="9" ht="26" customHeight="1">
      <c r="A9" s="36" t="inlineStr">
        <is>
          <t>Management</t>
        </is>
      </c>
      <c r="B9" s="37" t="inlineStr">
        <is>
          <t>management_factor</t>
        </is>
      </c>
      <c r="C9" s="41" t="n">
        <v>1</v>
      </c>
      <c r="D9" s="37" t="inlineStr">
        <is>
          <t>Project management overhead (10% of engineering tasks); status reporting to CTO and VP Engineering</t>
        </is>
      </c>
    </row>
    <row r="11" ht="20" customHeight="1">
      <c r="A11" s="43" t="inlineStr">
        <is>
          <t>EO Sales Engineer Updates Multipliers Based on Customer Scope</t>
        </is>
      </c>
    </row>
  </sheetData>
  <autoFilter ref="A2:D9"/>
  <mergeCells count="2">
    <mergeCell ref="A1:D1"/>
    <mergeCell ref="A11:D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50" customWidth="1" min="3" max="3"/>
    <col width="15" customWidth="1" min="4" max="4"/>
    <col width="12" customWidth="1" min="5" max="5"/>
    <col width="14" customWidth="1" min="6" max="6"/>
    <col width="12" customWidth="1" min="7" max="7"/>
    <col width="12" customWidth="1" min="8" max="8"/>
    <col width="15" customWidth="1" min="9" max="9"/>
    <col width="25" customWidth="1" min="10" max="10"/>
    <col width="40" customWidth="1" min="11" max="11"/>
  </cols>
  <sheetData>
    <row r="1" ht="32" customHeight="1">
      <c r="A1" s="34" t="inlineStr">
        <is>
          <t>LEVEL OF EFFORT</t>
        </is>
      </c>
    </row>
    <row r="2" ht="32" customHeight="1">
      <c r="A2" s="35" t="inlineStr">
        <is>
          <t>Phase</t>
        </is>
      </c>
      <c r="B2" s="35" t="inlineStr">
        <is>
          <t>Work Package</t>
        </is>
      </c>
      <c r="C2" s="35" t="inlineStr">
        <is>
          <t>Task Description</t>
        </is>
      </c>
      <c r="D2" s="35" t="inlineStr">
        <is>
          <t>Resource Type</t>
        </is>
      </c>
      <c r="E2" s="35" t="inlineStr">
        <is>
          <t>Base Hours</t>
        </is>
      </c>
      <c r="F2" s="35" t="inlineStr">
        <is>
          <t>Effort Multiplier</t>
        </is>
      </c>
      <c r="G2" s="35" t="inlineStr">
        <is>
          <t>Actual Hours</t>
        </is>
      </c>
      <c r="H2" s="35" t="inlineStr">
        <is>
          <t>Rate</t>
        </is>
      </c>
      <c r="I2" s="35" t="inlineStr">
        <is>
          <t>Cost Estimate</t>
        </is>
      </c>
      <c r="J2" s="35" t="inlineStr">
        <is>
          <t>Dependencies</t>
        </is>
      </c>
      <c r="K2" s="35" t="inlineStr">
        <is>
          <t>Notes</t>
        </is>
      </c>
    </row>
    <row r="3" ht="26" customHeight="1">
      <c r="A3" s="44" t="inlineStr">
        <is>
          <t>Discovery</t>
        </is>
      </c>
      <c r="B3" s="45" t="inlineStr">
        <is>
          <t>Project Kickoff</t>
        </is>
      </c>
      <c r="C3" s="45" t="inlineStr">
        <is>
          <t>Kickoff meeting with CTO, VP Engineering, Head of Solutions, and Security Lead; align on scope and success criteria</t>
        </is>
      </c>
      <c r="D3" s="45" t="inlineStr">
        <is>
          <t>Project Manager</t>
        </is>
      </c>
      <c r="E3" s="46" t="n">
        <v>8</v>
      </c>
      <c r="F3" s="47" t="n">
        <v>1.2</v>
      </c>
      <c r="G3" s="46" t="n">
        <v>10</v>
      </c>
      <c r="H3" s="48" t="n">
        <v>175</v>
      </c>
      <c r="I3" s="49">
        <f>TEXT($G3*$H3,"$#,##0")</f>
        <v/>
      </c>
      <c r="J3" s="45" t="inlineStr"/>
      <c r="K3" s="45" t="inlineStr"/>
    </row>
    <row r="4" ht="26" customHeight="1">
      <c r="A4" s="50" t="inlineStr">
        <is>
          <t>Discovery</t>
        </is>
      </c>
      <c r="B4" s="51" t="inlineStr">
        <is>
          <t>Current State Assessment</t>
        </is>
      </c>
      <c r="C4" s="51" t="inlineStr">
        <is>
          <t>Document legacy EC2 monolith capabilities, existing Google Workspace workflow, and manual artifact production process</t>
        </is>
      </c>
      <c r="D4" s="51" t="inlineStr">
        <is>
          <t>Solutions Engineer</t>
        </is>
      </c>
      <c r="E4" s="52" t="n">
        <v>24</v>
      </c>
      <c r="F4" s="53" t="n">
        <v>1.2</v>
      </c>
      <c r="G4" s="52" t="n">
        <v>29</v>
      </c>
      <c r="H4" s="54" t="n">
        <v>200</v>
      </c>
      <c r="I4" s="55">
        <f>TEXT($G4*$H4,"$#,##0")</f>
        <v/>
      </c>
      <c r="J4" s="51" t="inlineStr"/>
      <c r="K4" s="51" t="inlineStr">
        <is>
          <t>Kickoff complete</t>
        </is>
      </c>
    </row>
    <row r="5" ht="26" customHeight="1">
      <c r="A5" s="44" t="inlineStr">
        <is>
          <t>Discovery</t>
        </is>
      </c>
      <c r="B5" s="45" t="inlineStr">
        <is>
          <t>Stakeholder Interviews</t>
        </is>
      </c>
      <c r="C5" s="45" t="inlineStr">
        <is>
          <t>Conduct structured interviews with CTO, VP Engineering, Head of Solutions, Security Lead, Delivery Consulting, and Sales teams</t>
        </is>
      </c>
      <c r="D5" s="45" t="inlineStr">
        <is>
          <t>Solution Architect</t>
        </is>
      </c>
      <c r="E5" s="46" t="n">
        <v>32</v>
      </c>
      <c r="F5" s="47" t="n">
        <v>1.2</v>
      </c>
      <c r="G5" s="46" t="n">
        <v>38</v>
      </c>
      <c r="H5" s="48" t="n">
        <v>225</v>
      </c>
      <c r="I5" s="49">
        <f>TEXT($G5*$H5,"$#,##0")</f>
        <v/>
      </c>
      <c r="J5" s="45" t="inlineStr"/>
      <c r="K5" s="45" t="inlineStr">
        <is>
          <t>Current State Assessment</t>
        </is>
      </c>
    </row>
    <row r="6" ht="26" customHeight="1">
      <c r="A6" s="50" t="inlineStr">
        <is>
          <t>Discovery</t>
        </is>
      </c>
      <c r="B6" s="51" t="inlineStr">
        <is>
          <t>Requirements Gathering</t>
        </is>
      </c>
      <c r="C6" s="51" t="inlineStr">
        <is>
          <t>Document functional requirements for 7+ artifact types, usage-limit enforcement, admin governance, and async job handling</t>
        </is>
      </c>
      <c r="D6" s="51" t="inlineStr">
        <is>
          <t>Solution Architect</t>
        </is>
      </c>
      <c r="E6" s="52" t="n">
        <v>40</v>
      </c>
      <c r="F6" s="53" t="n">
        <v>1.2</v>
      </c>
      <c r="G6" s="52" t="n">
        <v>48</v>
      </c>
      <c r="H6" s="54" t="n">
        <v>225</v>
      </c>
      <c r="I6" s="55">
        <f>TEXT($G6*$H6,"$#,##0")</f>
        <v/>
      </c>
      <c r="J6" s="51" t="inlineStr"/>
      <c r="K6" s="51" t="inlineStr">
        <is>
          <t>Stakeholder Interviews</t>
        </is>
      </c>
    </row>
    <row r="7" ht="26" customHeight="1">
      <c r="A7" s="44" t="inlineStr">
        <is>
          <t>Discovery</t>
        </is>
      </c>
      <c r="B7" s="45" t="inlineStr">
        <is>
          <t>AI/ML Feasibility Assessment</t>
        </is>
      </c>
      <c r="C7" s="45" t="inlineStr">
        <is>
          <t>Assess Bedrock Claude model selection, prompt engineering strategy, artifact quality benchmarks, and async job architecture options</t>
        </is>
      </c>
      <c r="D7" s="45" t="inlineStr">
        <is>
          <t>ML/AI Engineer</t>
        </is>
      </c>
      <c r="E7" s="46" t="n">
        <v>32</v>
      </c>
      <c r="F7" s="47" t="n">
        <v>1.2</v>
      </c>
      <c r="G7" s="46" t="n">
        <v>38</v>
      </c>
      <c r="H7" s="48" t="n">
        <v>275</v>
      </c>
      <c r="I7" s="49">
        <f>TEXT($G7*$H7,"$#,##0")</f>
        <v/>
      </c>
      <c r="J7" s="45" t="inlineStr"/>
      <c r="K7" s="45" t="inlineStr">
        <is>
          <t>Requirements Gathering</t>
        </is>
      </c>
    </row>
    <row r="8" ht="26" customHeight="1">
      <c r="A8" s="50" t="inlineStr">
        <is>
          <t>Discovery</t>
        </is>
      </c>
      <c r="B8" s="51" t="inlineStr">
        <is>
          <t>Okta Identity Assessment</t>
        </is>
      </c>
      <c r="C8" s="51" t="inlineStr">
        <is>
          <t>Inventory Okta users, groups, and SSO integrations; define Cognito migration strategy and admin group structure</t>
        </is>
      </c>
      <c r="D8" s="51" t="inlineStr">
        <is>
          <t>Security Engineer</t>
        </is>
      </c>
      <c r="E8" s="52" t="n">
        <v>24</v>
      </c>
      <c r="F8" s="53" t="n">
        <v>1.2</v>
      </c>
      <c r="G8" s="52" t="n">
        <v>29</v>
      </c>
      <c r="H8" s="54" t="n">
        <v>225</v>
      </c>
      <c r="I8" s="55">
        <f>TEXT($G8*$H8,"$#,##0")</f>
        <v/>
      </c>
      <c r="J8" s="51" t="inlineStr"/>
      <c r="K8" s="51" t="inlineStr">
        <is>
          <t>Current State Assessment</t>
        </is>
      </c>
    </row>
    <row r="9" ht="26" customHeight="1">
      <c r="A9" s="44" t="inlineStr">
        <is>
          <t>Discovery</t>
        </is>
      </c>
      <c r="B9" s="45" t="inlineStr">
        <is>
          <t>Compliance &amp; Security Assessment</t>
        </is>
      </c>
      <c r="C9" s="45" t="inlineStr">
        <is>
          <t>Assess SOC 2 Type II and GDPR requirements; document data residency, access control, and audit logging needs</t>
        </is>
      </c>
      <c r="D9" s="45" t="inlineStr">
        <is>
          <t>Security Engineer</t>
        </is>
      </c>
      <c r="E9" s="46" t="n">
        <v>32</v>
      </c>
      <c r="F9" s="47" t="n">
        <v>1.2</v>
      </c>
      <c r="G9" s="46" t="n">
        <v>38</v>
      </c>
      <c r="H9" s="48" t="n">
        <v>225</v>
      </c>
      <c r="I9" s="49">
        <f>TEXT($G9*$H9,"$#,##0")</f>
        <v/>
      </c>
      <c r="J9" s="45" t="inlineStr"/>
      <c r="K9" s="45" t="inlineStr">
        <is>
          <t>Requirements Gathering</t>
        </is>
      </c>
    </row>
    <row r="10" ht="26" customHeight="1">
      <c r="A10" s="50" t="inlineStr">
        <is>
          <t>Discovery</t>
        </is>
      </c>
      <c r="B10" s="51" t="inlineStr">
        <is>
          <t>Gap Analysis</t>
        </is>
      </c>
      <c r="C10" s="51" t="inlineStr">
        <is>
          <t>Identify gaps between manual process and automated platform; prioritise Phase 1 pre-sales MVP vs Phase 2 delivery and Terraform scope</t>
        </is>
      </c>
      <c r="D10" s="51" t="inlineStr">
        <is>
          <t>Solution Architect</t>
        </is>
      </c>
      <c r="E10" s="52" t="n">
        <v>16</v>
      </c>
      <c r="F10" s="53" t="n">
        <v>1.2</v>
      </c>
      <c r="G10" s="52" t="n">
        <v>19</v>
      </c>
      <c r="H10" s="54" t="n">
        <v>225</v>
      </c>
      <c r="I10" s="55">
        <f>TEXT($G10*$H10,"$#,##0")</f>
        <v/>
      </c>
      <c r="J10" s="51" t="inlineStr"/>
      <c r="K10" s="51" t="inlineStr">
        <is>
          <t>Requirements Gathering</t>
        </is>
      </c>
    </row>
    <row r="11" ht="26" customHeight="1">
      <c r="A11" s="44" t="inlineStr">
        <is>
          <t>Discovery</t>
        </is>
      </c>
      <c r="B11" s="45" t="inlineStr">
        <is>
          <t>Cloud Readiness Assessment</t>
        </is>
      </c>
      <c r="C11" s="45" t="inlineStr">
        <is>
          <t>Review existing AWS footprint, IAM posture, and service-limit quotas for Bedrock, Lambda, DynamoDB, S3, API Gateway, and Cognito in us-west-2</t>
        </is>
      </c>
      <c r="D11" s="45" t="inlineStr">
        <is>
          <t>Cloud Engineer</t>
        </is>
      </c>
      <c r="E11" s="46" t="n">
        <v>16</v>
      </c>
      <c r="F11" s="47" t="n">
        <v>1.2</v>
      </c>
      <c r="G11" s="46" t="n">
        <v>19</v>
      </c>
      <c r="H11" s="48" t="n">
        <v>200</v>
      </c>
      <c r="I11" s="49">
        <f>TEXT($G11*$H11,"$#,##0")</f>
        <v/>
      </c>
      <c r="J11" s="45" t="inlineStr"/>
      <c r="K11" s="45" t="inlineStr"/>
    </row>
    <row r="12" ht="26" customHeight="1">
      <c r="A12" s="50" t="inlineStr">
        <is>
          <t>Discovery</t>
        </is>
      </c>
      <c r="B12" s="51" t="inlineStr">
        <is>
          <t>Assessment Report</t>
        </is>
      </c>
      <c r="C12" s="51" t="inlineStr">
        <is>
          <t>Document findings and recommendations; present to CTO and VP Engineering for Phase 1 go/no-go sign-off</t>
        </is>
      </c>
      <c r="D12" s="51" t="inlineStr">
        <is>
          <t>Technical Writer</t>
        </is>
      </c>
      <c r="E12" s="52" t="n">
        <v>16</v>
      </c>
      <c r="F12" s="53" t="n">
        <v>1.2</v>
      </c>
      <c r="G12" s="52" t="n">
        <v>19</v>
      </c>
      <c r="H12" s="54" t="n">
        <v>125</v>
      </c>
      <c r="I12" s="55">
        <f>TEXT($G12*$H12,"$#,##0")</f>
        <v/>
      </c>
      <c r="J12" s="51" t="inlineStr"/>
      <c r="K12" s="51" t="inlineStr">
        <is>
          <t>All Discovery tasks</t>
        </is>
      </c>
    </row>
    <row r="13" ht="26" customHeight="1">
      <c r="A13" s="44" t="inlineStr">
        <is>
          <t>Planning</t>
        </is>
      </c>
      <c r="B13" s="45" t="inlineStr">
        <is>
          <t>Detailed Architecture Design</t>
        </is>
      </c>
      <c r="C13" s="45" t="inlineStr">
        <is>
          <t>Design end-to-end serverless architecture: API Gateway to Lambda orchestration to Bedrock to S3 artifact storage; async job patterns for 30–60 min generation</t>
        </is>
      </c>
      <c r="D13" s="45" t="inlineStr">
        <is>
          <t>Solution Architect</t>
        </is>
      </c>
      <c r="E13" s="46" t="n">
        <v>48</v>
      </c>
      <c r="F13" s="47" t="n">
        <v>1.3</v>
      </c>
      <c r="G13" s="46" t="n">
        <v>62</v>
      </c>
      <c r="H13" s="48" t="n">
        <v>225</v>
      </c>
      <c r="I13" s="49">
        <f>TEXT($G13*$H13,"$#,##0")</f>
        <v/>
      </c>
      <c r="J13" s="45" t="inlineStr"/>
      <c r="K13" s="45" t="inlineStr">
        <is>
          <t>Assessment Report</t>
        </is>
      </c>
    </row>
    <row r="14" ht="26" customHeight="1">
      <c r="A14" s="50" t="inlineStr">
        <is>
          <t>Planning</t>
        </is>
      </c>
      <c r="B14" s="51" t="inlineStr">
        <is>
          <t>AWS Infrastructure Design</t>
        </is>
      </c>
      <c r="C14" s="51" t="inlineStr">
        <is>
          <t>Design DynamoDB table schemas (solution state and usage tracking), S3 bucket structure, Lambda function topology, and API Gateway REST API</t>
        </is>
      </c>
      <c r="D14" s="51" t="inlineStr">
        <is>
          <t>Cloud Engineer</t>
        </is>
      </c>
      <c r="E14" s="52" t="n">
        <v>40</v>
      </c>
      <c r="F14" s="53" t="n">
        <v>1.3</v>
      </c>
      <c r="G14" s="52" t="n">
        <v>52</v>
      </c>
      <c r="H14" s="54" t="n">
        <v>200</v>
      </c>
      <c r="I14" s="55">
        <f>TEXT($G14*$H14,"$#,##0")</f>
        <v/>
      </c>
      <c r="J14" s="51" t="inlineStr"/>
      <c r="K14" s="51" t="inlineStr">
        <is>
          <t>Detailed Architecture Design</t>
        </is>
      </c>
    </row>
    <row r="15" ht="26" customHeight="1">
      <c r="A15" s="44" t="inlineStr">
        <is>
          <t>Planning</t>
        </is>
      </c>
      <c r="B15" s="45" t="inlineStr">
        <is>
          <t>Cognito Identity Architecture</t>
        </is>
      </c>
      <c r="C15" s="45" t="inlineStr">
        <is>
          <t>Design Cognito User Pool, identity federation from Okta, admins group structure, per-user usage limit enforcement, and OIDC/OAuth 2.0 flows</t>
        </is>
      </c>
      <c r="D15" s="45" t="inlineStr">
        <is>
          <t>Security Engineer</t>
        </is>
      </c>
      <c r="E15" s="46" t="n">
        <v>32</v>
      </c>
      <c r="F15" s="47" t="n">
        <v>1.3</v>
      </c>
      <c r="G15" s="46" t="n">
        <v>42</v>
      </c>
      <c r="H15" s="48" t="n">
        <v>225</v>
      </c>
      <c r="I15" s="49">
        <f>TEXT($G15*$H15,"$#,##0")</f>
        <v/>
      </c>
      <c r="J15" s="45" t="inlineStr"/>
      <c r="K15" s="45" t="inlineStr">
        <is>
          <t>Okta Identity Assessment</t>
        </is>
      </c>
    </row>
    <row r="16" ht="26" customHeight="1">
      <c r="A16" s="50" t="inlineStr">
        <is>
          <t>Planning</t>
        </is>
      </c>
      <c r="B16" s="51" t="inlineStr">
        <is>
          <t>AI/ML Solution Design</t>
        </is>
      </c>
      <c r="C16" s="51" t="inlineStr">
        <is>
          <t>Design Bedrock prompt templates for each artifact type, context window management, model selection (Claude 3 Sonnet/Opus), and output validation</t>
        </is>
      </c>
      <c r="D16" s="51" t="inlineStr">
        <is>
          <t>ML/AI Engineer</t>
        </is>
      </c>
      <c r="E16" s="52" t="n">
        <v>48</v>
      </c>
      <c r="F16" s="53" t="n">
        <v>1.3</v>
      </c>
      <c r="G16" s="52" t="n">
        <v>62</v>
      </c>
      <c r="H16" s="54" t="n">
        <v>275</v>
      </c>
      <c r="I16" s="55">
        <f>TEXT($G16*$H16,"$#,##0")</f>
        <v/>
      </c>
      <c r="J16" s="51" t="inlineStr"/>
      <c r="K16" s="51" t="inlineStr">
        <is>
          <t>AI/ML Feasibility Assessment</t>
        </is>
      </c>
    </row>
    <row r="17" ht="26" customHeight="1">
      <c r="A17" s="44" t="inlineStr">
        <is>
          <t>Planning</t>
        </is>
      </c>
      <c r="B17" s="45" t="inlineStr">
        <is>
          <t>Security &amp; Compliance Design</t>
        </is>
      </c>
      <c r="C17" s="45" t="inlineStr">
        <is>
          <t>Design SOC 2 controls: encryption at rest and in transit, CloudTrail audit logging, IAM least-privilege, VPC endpoints, and GDPR data-handling policies</t>
        </is>
      </c>
      <c r="D17" s="45" t="inlineStr">
        <is>
          <t>Security Engineer</t>
        </is>
      </c>
      <c r="E17" s="46" t="n">
        <v>40</v>
      </c>
      <c r="F17" s="47" t="n">
        <v>1.3</v>
      </c>
      <c r="G17" s="46" t="n">
        <v>52</v>
      </c>
      <c r="H17" s="48" t="n">
        <v>225</v>
      </c>
      <c r="I17" s="49">
        <f>TEXT($G17*$H17,"$#,##0")</f>
        <v/>
      </c>
      <c r="J17" s="45" t="inlineStr"/>
      <c r="K17" s="45" t="inlineStr">
        <is>
          <t>Compliance &amp; Security Assessment</t>
        </is>
      </c>
    </row>
    <row r="18" ht="26" customHeight="1">
      <c r="A18" s="50" t="inlineStr">
        <is>
          <t>Planning</t>
        </is>
      </c>
      <c r="B18" s="51" t="inlineStr">
        <is>
          <t>IaC Terraform Module Design</t>
        </is>
      </c>
      <c r="C18" s="51" t="inlineStr">
        <is>
          <t>Design Terraform module structure for all AWS services across dev, staging, and prod environments; define state backend with S3 and DynamoDB lock</t>
        </is>
      </c>
      <c r="D18" s="51" t="inlineStr">
        <is>
          <t>DevOps Engineer</t>
        </is>
      </c>
      <c r="E18" s="52" t="n">
        <v>32</v>
      </c>
      <c r="F18" s="53" t="n">
        <v>1.3</v>
      </c>
      <c r="G18" s="52" t="n">
        <v>42</v>
      </c>
      <c r="H18" s="54" t="n">
        <v>200</v>
      </c>
      <c r="I18" s="55">
        <f>TEXT($G18*$H18,"$#,##0")</f>
        <v/>
      </c>
      <c r="J18" s="51" t="inlineStr"/>
      <c r="K18" s="51" t="inlineStr">
        <is>
          <t>AWS Infrastructure Design</t>
        </is>
      </c>
    </row>
    <row r="19" ht="26" customHeight="1">
      <c r="A19" s="44" t="inlineStr">
        <is>
          <t>Planning</t>
        </is>
      </c>
      <c r="B19" s="45" t="inlineStr">
        <is>
          <t>CI/CD Pipeline Design</t>
        </is>
      </c>
      <c r="C19" s="45" t="inlineStr">
        <is>
          <t>Design GitHub Actions / CodePipeline CI/CD pipeline for Lambda deployments, Terraform plan/apply gates, and artifact template versioning</t>
        </is>
      </c>
      <c r="D19" s="45" t="inlineStr">
        <is>
          <t>DevOps Engineer</t>
        </is>
      </c>
      <c r="E19" s="46" t="n">
        <v>24</v>
      </c>
      <c r="F19" s="47" t="n">
        <v>1.3</v>
      </c>
      <c r="G19" s="46" t="n">
        <v>31</v>
      </c>
      <c r="H19" s="48" t="n">
        <v>200</v>
      </c>
      <c r="I19" s="49">
        <f>TEXT($G19*$H19,"$#,##0")</f>
        <v/>
      </c>
      <c r="J19" s="45" t="inlineStr"/>
      <c r="K19" s="45" t="inlineStr">
        <is>
          <t>IaC Terraform Module Design</t>
        </is>
      </c>
    </row>
    <row r="20" ht="26" customHeight="1">
      <c r="A20" s="50" t="inlineStr">
        <is>
          <t>Planning</t>
        </is>
      </c>
      <c r="B20" s="51" t="inlineStr">
        <is>
          <t>Artifact Template Architecture</t>
        </is>
      </c>
      <c r="C20" s="51" t="inlineStr">
        <is>
          <t>Analyse existing Word/Excel/PowerPoint templates; design automated template ingestion pipeline and output rendering strategy</t>
        </is>
      </c>
      <c r="D20" s="51" t="inlineStr">
        <is>
          <t>Solutions Engineer</t>
        </is>
      </c>
      <c r="E20" s="52" t="n">
        <v>32</v>
      </c>
      <c r="F20" s="53" t="n">
        <v>1.3</v>
      </c>
      <c r="G20" s="52" t="n">
        <v>42</v>
      </c>
      <c r="H20" s="54" t="n">
        <v>200</v>
      </c>
      <c r="I20" s="55">
        <f>TEXT($G20*$H20,"$#,##0")</f>
        <v/>
      </c>
      <c r="J20" s="51" t="inlineStr"/>
      <c r="K20" s="51" t="inlineStr">
        <is>
          <t>Requirements Gathering</t>
        </is>
      </c>
    </row>
    <row r="21" ht="26" customHeight="1">
      <c r="A21" s="44" t="inlineStr">
        <is>
          <t>Planning</t>
        </is>
      </c>
      <c r="B21" s="45" t="inlineStr">
        <is>
          <t>Monitoring &amp; Observability Design</t>
        </is>
      </c>
      <c r="C21" s="45" t="inlineStr">
        <is>
          <t>Design CloudWatch dashboards, Lambda error alarms, Bedrock token-usage metrics, and end-to-end job-tracing strategy</t>
        </is>
      </c>
      <c r="D21" s="45" t="inlineStr">
        <is>
          <t>DevOps Engineer</t>
        </is>
      </c>
      <c r="E21" s="46" t="n">
        <v>16</v>
      </c>
      <c r="F21" s="47" t="n">
        <v>1.3</v>
      </c>
      <c r="G21" s="46" t="n">
        <v>21</v>
      </c>
      <c r="H21" s="48" t="n">
        <v>200</v>
      </c>
      <c r="I21" s="49">
        <f>TEXT($G21*$H21,"$#,##0")</f>
        <v/>
      </c>
      <c r="J21" s="45" t="inlineStr"/>
      <c r="K21" s="45" t="inlineStr">
        <is>
          <t>AWS Infrastructure Design</t>
        </is>
      </c>
    </row>
    <row r="22" ht="26" customHeight="1">
      <c r="A22" s="50" t="inlineStr">
        <is>
          <t>Planning</t>
        </is>
      </c>
      <c r="B22" s="51" t="inlineStr">
        <is>
          <t>Design Documentation</t>
        </is>
      </c>
      <c r="C22" s="51" t="inlineStr">
        <is>
          <t>Produce architecture decision records and detailed design document for CTO and Security Lead review</t>
        </is>
      </c>
      <c r="D22" s="51" t="inlineStr">
        <is>
          <t>Technical Writer</t>
        </is>
      </c>
      <c r="E22" s="52" t="n">
        <v>24</v>
      </c>
      <c r="F22" s="53" t="n">
        <v>1.3</v>
      </c>
      <c r="G22" s="52" t="n">
        <v>31</v>
      </c>
      <c r="H22" s="54" t="n">
        <v>125</v>
      </c>
      <c r="I22" s="55">
        <f>TEXT($G22*$H22,"$#,##0")</f>
        <v/>
      </c>
      <c r="J22" s="51" t="inlineStr"/>
      <c r="K22" s="51" t="inlineStr">
        <is>
          <t>All Planning tasks</t>
        </is>
      </c>
    </row>
    <row r="23" ht="26" customHeight="1">
      <c r="A23" s="44" t="inlineStr">
        <is>
          <t>Development</t>
        </is>
      </c>
      <c r="B23" s="45" t="inlineStr">
        <is>
          <t>Cognito Setup &amp; Okta Migration</t>
        </is>
      </c>
      <c r="C23" s="45" t="inlineStr">
        <is>
          <t>Provision Cognito User Pool; execute Okta user and group migration; configure admin governance group; validate SSO flows</t>
        </is>
      </c>
      <c r="D23" s="45" t="inlineStr">
        <is>
          <t>Security Engineer</t>
        </is>
      </c>
      <c r="E23" s="46" t="n">
        <v>48</v>
      </c>
      <c r="F23" s="47" t="n">
        <v>1.4</v>
      </c>
      <c r="G23" s="46" t="n">
        <v>67</v>
      </c>
      <c r="H23" s="48" t="n">
        <v>225</v>
      </c>
      <c r="I23" s="49">
        <f>TEXT($G23*$H23,"$#,##0")</f>
        <v/>
      </c>
      <c r="J23" s="45" t="inlineStr"/>
      <c r="K23" s="45" t="inlineStr">
        <is>
          <t>Cognito Identity Architecture</t>
        </is>
      </c>
    </row>
    <row r="24" ht="26" customHeight="1">
      <c r="A24" s="50" t="inlineStr">
        <is>
          <t>Development</t>
        </is>
      </c>
      <c r="B24" s="51" t="inlineStr">
        <is>
          <t>AWS Foundation Provisioning</t>
        </is>
      </c>
      <c r="C24" s="51" t="inlineStr">
        <is>
          <t>Deploy Terraform modules: S3 buckets, DynamoDB tables, IAM roles and policies, VPC endpoints, CloudTrail, and KMS keys across dev/staging/prod</t>
        </is>
      </c>
      <c r="D24" s="51" t="inlineStr">
        <is>
          <t>Cloud Engineer</t>
        </is>
      </c>
      <c r="E24" s="52" t="n">
        <v>56</v>
      </c>
      <c r="F24" s="53" t="n">
        <v>1.4</v>
      </c>
      <c r="G24" s="52" t="n">
        <v>78</v>
      </c>
      <c r="H24" s="54" t="n">
        <v>200</v>
      </c>
      <c r="I24" s="55">
        <f>TEXT($G24*$H24,"$#,##0")</f>
        <v/>
      </c>
      <c r="J24" s="51" t="inlineStr"/>
      <c r="K24" s="51" t="inlineStr">
        <is>
          <t>IaC Terraform Module Design</t>
        </is>
      </c>
    </row>
    <row r="25" ht="26" customHeight="1">
      <c r="A25" s="44" t="inlineStr">
        <is>
          <t>Development</t>
        </is>
      </c>
      <c r="B25" s="45" t="inlineStr">
        <is>
          <t>API Gateway &amp; Lambda Core</t>
        </is>
      </c>
      <c r="C25" s="45" t="inlineStr">
        <is>
          <t>Build REST API via API Gateway; implement Lambda functions for job submission, status polling, and artifact retrieval; wire Cognito authoriser</t>
        </is>
      </c>
      <c r="D25" s="45" t="inlineStr">
        <is>
          <t>Solutions Engineer</t>
        </is>
      </c>
      <c r="E25" s="46" t="n">
        <v>64</v>
      </c>
      <c r="F25" s="47" t="n">
        <v>1.4</v>
      </c>
      <c r="G25" s="46" t="n">
        <v>90</v>
      </c>
      <c r="H25" s="48" t="n">
        <v>200</v>
      </c>
      <c r="I25" s="49">
        <f>TEXT($G25*$H25,"$#,##0")</f>
        <v/>
      </c>
      <c r="J25" s="45" t="inlineStr"/>
      <c r="K25" s="45" t="inlineStr">
        <is>
          <t>AWS Foundation Provisioning</t>
        </is>
      </c>
    </row>
    <row r="26" ht="26" customHeight="1">
      <c r="A26" s="50" t="inlineStr">
        <is>
          <t>Development</t>
        </is>
      </c>
      <c r="B26" s="51" t="inlineStr">
        <is>
          <t>Async Job Orchestration</t>
        </is>
      </c>
      <c r="C26" s="51" t="inlineStr">
        <is>
          <t>Implement async generation pipeline using SQS and Step Functions for 30–60 min Bedrock jobs; dead-letter queue handling; idempotency and retry logic</t>
        </is>
      </c>
      <c r="D26" s="51" t="inlineStr">
        <is>
          <t>Solutions Engineer</t>
        </is>
      </c>
      <c r="E26" s="52" t="n">
        <v>56</v>
      </c>
      <c r="F26" s="53" t="n">
        <v>1.4</v>
      </c>
      <c r="G26" s="52" t="n">
        <v>78</v>
      </c>
      <c r="H26" s="54" t="n">
        <v>200</v>
      </c>
      <c r="I26" s="55">
        <f>TEXT($G26*$H26,"$#,##0")</f>
        <v/>
      </c>
      <c r="J26" s="51" t="inlineStr"/>
      <c r="K26" s="51" t="inlineStr">
        <is>
          <t>API Gateway &amp; Lambda Core</t>
        </is>
      </c>
    </row>
    <row r="27" ht="26" customHeight="1">
      <c r="A27" s="44" t="inlineStr">
        <is>
          <t>Development</t>
        </is>
      </c>
      <c r="B27" s="45" t="inlineStr">
        <is>
          <t>Bedrock Integration &amp; Prompt Engineering</t>
        </is>
      </c>
      <c r="C27" s="45" t="inlineStr">
        <is>
          <t>Integrate Lambda with Bedrock Claude; develop and tune prompt templates for all 7+ artifact types; implement context management and output parsing</t>
        </is>
      </c>
      <c r="D27" s="45" t="inlineStr">
        <is>
          <t>ML/AI Engineer</t>
        </is>
      </c>
      <c r="E27" s="46" t="n">
        <v>80</v>
      </c>
      <c r="F27" s="47" t="n">
        <v>1.4</v>
      </c>
      <c r="G27" s="46" t="n">
        <v>112</v>
      </c>
      <c r="H27" s="48" t="n">
        <v>275</v>
      </c>
      <c r="I27" s="49">
        <f>TEXT($G27*$H27,"$#,##0")</f>
        <v/>
      </c>
      <c r="J27" s="45" t="inlineStr"/>
      <c r="K27" s="45" t="inlineStr">
        <is>
          <t>AI/ML Solution Design; Async Job Orchestration</t>
        </is>
      </c>
    </row>
    <row r="28" ht="26" customHeight="1">
      <c r="A28" s="50" t="inlineStr">
        <is>
          <t>Development</t>
        </is>
      </c>
      <c r="B28" s="51" t="inlineStr">
        <is>
          <t>Artifact Template Automation</t>
        </is>
      </c>
      <c r="C28" s="51" t="inlineStr">
        <is>
          <t>Build template ingestion pipeline; implement Word/Excel/PowerPoint population from Bedrock output; validate formatting and cross-references</t>
        </is>
      </c>
      <c r="D28" s="51" t="inlineStr">
        <is>
          <t>Solutions Engineer</t>
        </is>
      </c>
      <c r="E28" s="52" t="n">
        <v>72</v>
      </c>
      <c r="F28" s="53" t="n">
        <v>1.4</v>
      </c>
      <c r="G28" s="52" t="n">
        <v>101</v>
      </c>
      <c r="H28" s="54" t="n">
        <v>200</v>
      </c>
      <c r="I28" s="55">
        <f>TEXT($G28*$H28,"$#,##0")</f>
        <v/>
      </c>
      <c r="J28" s="51" t="inlineStr"/>
      <c r="K28" s="51" t="inlineStr">
        <is>
          <t>Bedrock Integration &amp; Prompt Engineering; Artifact Template Architecture</t>
        </is>
      </c>
    </row>
    <row r="29" ht="26" customHeight="1">
      <c r="A29" s="44" t="inlineStr">
        <is>
          <t>Development</t>
        </is>
      </c>
      <c r="B29" s="45" t="inlineStr">
        <is>
          <t>DynamoDB Data Layer</t>
        </is>
      </c>
      <c r="C29" s="45" t="inlineStr">
        <is>
          <t>Implement solution-state and usage-tracking DynamoDB access patterns; enforce per-user and global monthly usage limits; admin override API</t>
        </is>
      </c>
      <c r="D29" s="45" t="inlineStr">
        <is>
          <t>Solutions Engineer</t>
        </is>
      </c>
      <c r="E29" s="46" t="n">
        <v>40</v>
      </c>
      <c r="F29" s="47" t="n">
        <v>1.4</v>
      </c>
      <c r="G29" s="46" t="n">
        <v>56</v>
      </c>
      <c r="H29" s="48" t="n">
        <v>200</v>
      </c>
      <c r="I29" s="49">
        <f>TEXT($G29*$H29,"$#,##0")</f>
        <v/>
      </c>
      <c r="J29" s="45" t="inlineStr"/>
      <c r="K29" s="45" t="inlineStr">
        <is>
          <t>API Gateway &amp; Lambda Core</t>
        </is>
      </c>
    </row>
    <row r="30" ht="26" customHeight="1">
      <c r="A30" s="50" t="inlineStr">
        <is>
          <t>Development</t>
        </is>
      </c>
      <c r="B30" s="51" t="inlineStr">
        <is>
          <t>Usage Limit &amp; Admin Governance</t>
        </is>
      </c>
      <c r="C30" s="51" t="inlineStr">
        <is>
          <t>Build admin console endpoints: view/set per-user limits, global limits, audit log viewer; integrate with Cognito admins group authorisation</t>
        </is>
      </c>
      <c r="D30" s="51" t="inlineStr">
        <is>
          <t>Solutions Engineer</t>
        </is>
      </c>
      <c r="E30" s="52" t="n">
        <v>32</v>
      </c>
      <c r="F30" s="53" t="n">
        <v>1.4</v>
      </c>
      <c r="G30" s="52" t="n">
        <v>45</v>
      </c>
      <c r="H30" s="54" t="n">
        <v>200</v>
      </c>
      <c r="I30" s="55">
        <f>TEXT($G30*$H30,"$#,##0")</f>
        <v/>
      </c>
      <c r="J30" s="51" t="inlineStr"/>
      <c r="K30" s="51" t="inlineStr">
        <is>
          <t>DynamoDB Data Layer; Cognito Setup</t>
        </is>
      </c>
    </row>
    <row r="31" ht="26" customHeight="1">
      <c r="A31" s="44" t="inlineStr">
        <is>
          <t>Development</t>
        </is>
      </c>
      <c r="B31" s="45" t="inlineStr">
        <is>
          <t>CI/CD Pipeline Build</t>
        </is>
      </c>
      <c r="C31" s="45" t="inlineStr">
        <is>
          <t>Implement GitHub Actions / CodePipeline workflows for Lambda deployments and Terraform plan/apply; branch protection and automated test gates</t>
        </is>
      </c>
      <c r="D31" s="45" t="inlineStr">
        <is>
          <t>DevOps Engineer</t>
        </is>
      </c>
      <c r="E31" s="46" t="n">
        <v>48</v>
      </c>
      <c r="F31" s="47" t="n">
        <v>1.4</v>
      </c>
      <c r="G31" s="46" t="n">
        <v>67</v>
      </c>
      <c r="H31" s="48" t="n">
        <v>200</v>
      </c>
      <c r="I31" s="49">
        <f>TEXT($G31*$H31,"$#,##0")</f>
        <v/>
      </c>
      <c r="J31" s="45" t="inlineStr"/>
      <c r="K31" s="45" t="inlineStr">
        <is>
          <t>CI/CD Pipeline Design</t>
        </is>
      </c>
    </row>
    <row r="32" ht="26" customHeight="1">
      <c r="A32" s="50" t="inlineStr">
        <is>
          <t>Development</t>
        </is>
      </c>
      <c r="B32" s="51" t="inlineStr">
        <is>
          <t>Monitoring &amp; Observability Build</t>
        </is>
      </c>
      <c r="C32" s="51" t="inlineStr">
        <is>
          <t>Deploy CloudWatch dashboards, Lambda alarms, Bedrock token-usage metrics, X-Ray tracing, and automated alerting to ops team</t>
        </is>
      </c>
      <c r="D32" s="51" t="inlineStr">
        <is>
          <t>DevOps Engineer</t>
        </is>
      </c>
      <c r="E32" s="52" t="n">
        <v>32</v>
      </c>
      <c r="F32" s="53" t="n">
        <v>1.4</v>
      </c>
      <c r="G32" s="52" t="n">
        <v>45</v>
      </c>
      <c r="H32" s="54" t="n">
        <v>200</v>
      </c>
      <c r="I32" s="55">
        <f>TEXT($G32*$H32,"$#,##0")</f>
        <v/>
      </c>
      <c r="J32" s="51" t="inlineStr"/>
      <c r="K32" s="51" t="inlineStr">
        <is>
          <t>AWS Foundation Provisioning</t>
        </is>
      </c>
    </row>
    <row r="33" ht="26" customHeight="1">
      <c r="A33" s="44" t="inlineStr">
        <is>
          <t>Development</t>
        </is>
      </c>
      <c r="B33" s="45" t="inlineStr">
        <is>
          <t>Security Hardening</t>
        </is>
      </c>
      <c r="C33" s="45" t="inlineStr">
        <is>
          <t>Implement SOC 2 controls: secrets in Secrets Manager, WAF on API Gateway, S3 bucket policies, encryption validation, and GDPR data-retention policies</t>
        </is>
      </c>
      <c r="D33" s="45" t="inlineStr">
        <is>
          <t>Security Engineer</t>
        </is>
      </c>
      <c r="E33" s="46" t="n">
        <v>40</v>
      </c>
      <c r="F33" s="47" t="n">
        <v>1.4</v>
      </c>
      <c r="G33" s="46" t="n">
        <v>56</v>
      </c>
      <c r="H33" s="48" t="n">
        <v>225</v>
      </c>
      <c r="I33" s="49">
        <f>TEXT($G33*$H33,"$#,##0")</f>
        <v/>
      </c>
      <c r="J33" s="45" t="inlineStr"/>
      <c r="K33" s="45" t="inlineStr">
        <is>
          <t>Security &amp; Compliance Design</t>
        </is>
      </c>
    </row>
    <row r="34" ht="26" customHeight="1">
      <c r="A34" s="50" t="inlineStr">
        <is>
          <t>Development</t>
        </is>
      </c>
      <c r="B34" s="51" t="inlineStr">
        <is>
          <t>Legacy Monolith Decommission Planning</t>
        </is>
      </c>
      <c r="C34" s="51" t="inlineStr">
        <is>
          <t>Document legacy EC2 decommission runbook; plan data export, DNS cutover, and stakeholder communications</t>
        </is>
      </c>
      <c r="D34" s="51" t="inlineStr">
        <is>
          <t>Solutions Engineer</t>
        </is>
      </c>
      <c r="E34" s="52" t="n">
        <v>16</v>
      </c>
      <c r="F34" s="53" t="n">
        <v>1.4</v>
      </c>
      <c r="G34" s="52" t="n">
        <v>22</v>
      </c>
      <c r="H34" s="54" t="n">
        <v>200</v>
      </c>
      <c r="I34" s="55">
        <f>TEXT($G34*$H34,"$#,##0")</f>
        <v/>
      </c>
      <c r="J34" s="51" t="inlineStr"/>
      <c r="K34" s="51" t="inlineStr">
        <is>
          <t>AWS Foundation Provisioning</t>
        </is>
      </c>
    </row>
    <row r="35" ht="26" customHeight="1">
      <c r="A35" s="44" t="inlineStr">
        <is>
          <t>Development</t>
        </is>
      </c>
      <c r="B35" s="45" t="inlineStr">
        <is>
          <t>Configuration Documentation</t>
        </is>
      </c>
      <c r="C35" s="45" t="inlineStr">
        <is>
          <t>Document all Lambda configurations, API schemas, DynamoDB schemas, Bedrock model parameters, and environment variable inventory</t>
        </is>
      </c>
      <c r="D35" s="45" t="inlineStr">
        <is>
          <t>Technical Writer</t>
        </is>
      </c>
      <c r="E35" s="46" t="n">
        <v>32</v>
      </c>
      <c r="F35" s="47" t="n">
        <v>1.4</v>
      </c>
      <c r="G35" s="46" t="n">
        <v>45</v>
      </c>
      <c r="H35" s="48" t="n">
        <v>125</v>
      </c>
      <c r="I35" s="49">
        <f>TEXT($G35*$H35,"$#,##0")</f>
        <v/>
      </c>
      <c r="J35" s="45" t="inlineStr"/>
      <c r="K35" s="45" t="inlineStr">
        <is>
          <t>All Development tasks</t>
        </is>
      </c>
    </row>
    <row r="36" ht="26" customHeight="1">
      <c r="A36" s="50" t="inlineStr">
        <is>
          <t>Testing</t>
        </is>
      </c>
      <c r="B36" s="51" t="inlineStr">
        <is>
          <t>Test Plan Development</t>
        </is>
      </c>
      <c r="C36" s="51" t="inlineStr">
        <is>
          <t>Create comprehensive test plan covering functional, integration, async job, performance, security, and compliance test cases</t>
        </is>
      </c>
      <c r="D36" s="51" t="inlineStr">
        <is>
          <t>QA Engineer</t>
        </is>
      </c>
      <c r="E36" s="52" t="n">
        <v>16</v>
      </c>
      <c r="F36" s="53" t="n">
        <v>1.2</v>
      </c>
      <c r="G36" s="52" t="n">
        <v>19</v>
      </c>
      <c r="H36" s="54" t="n">
        <v>150</v>
      </c>
      <c r="I36" s="55">
        <f>TEXT($G36*$H36,"$#,##0")</f>
        <v/>
      </c>
      <c r="J36" s="51" t="inlineStr"/>
      <c r="K36" s="51" t="inlineStr">
        <is>
          <t>All Development tasks complete</t>
        </is>
      </c>
    </row>
    <row r="37" ht="26" customHeight="1">
      <c r="A37" s="44" t="inlineStr">
        <is>
          <t>Testing</t>
        </is>
      </c>
      <c r="B37" s="45" t="inlineStr">
        <is>
          <t>Functional Testing</t>
        </is>
      </c>
      <c r="C37" s="45" t="inlineStr">
        <is>
          <t>Execute functional test cases for each artifact type (7+); validate Bedrock output quality and template population accuracy</t>
        </is>
      </c>
      <c r="D37" s="45" t="inlineStr">
        <is>
          <t>QA Engineer</t>
        </is>
      </c>
      <c r="E37" s="46" t="n">
        <v>40</v>
      </c>
      <c r="F37" s="47" t="n">
        <v>1.2</v>
      </c>
      <c r="G37" s="46" t="n">
        <v>48</v>
      </c>
      <c r="H37" s="48" t="n">
        <v>150</v>
      </c>
      <c r="I37" s="49">
        <f>TEXT($G37*$H37,"$#,##0")</f>
        <v/>
      </c>
      <c r="J37" s="45" t="inlineStr"/>
      <c r="K37" s="45" t="inlineStr">
        <is>
          <t>Test Plan Development</t>
        </is>
      </c>
    </row>
    <row r="38" ht="26" customHeight="1">
      <c r="A38" s="50" t="inlineStr">
        <is>
          <t>Testing</t>
        </is>
      </c>
      <c r="B38" s="51" t="inlineStr">
        <is>
          <t>Integration Testing</t>
        </is>
      </c>
      <c r="C38" s="51" t="inlineStr">
        <is>
          <t>Test API Gateway to Lambda to Bedrock to S3 end-to-end; validate Cognito auth flows; test DynamoDB usage-limit enforcement</t>
        </is>
      </c>
      <c r="D38" s="51" t="inlineStr">
        <is>
          <t>Solutions Engineer</t>
        </is>
      </c>
      <c r="E38" s="52" t="n">
        <v>32</v>
      </c>
      <c r="F38" s="53" t="n">
        <v>1.2</v>
      </c>
      <c r="G38" s="52" t="n">
        <v>38</v>
      </c>
      <c r="H38" s="54" t="n">
        <v>200</v>
      </c>
      <c r="I38" s="55">
        <f>TEXT($G38*$H38,"$#,##0")</f>
        <v/>
      </c>
      <c r="J38" s="51" t="inlineStr"/>
      <c r="K38" s="51" t="inlineStr">
        <is>
          <t>Functional Testing</t>
        </is>
      </c>
    </row>
    <row r="39" ht="26" customHeight="1">
      <c r="A39" s="44" t="inlineStr">
        <is>
          <t>Testing</t>
        </is>
      </c>
      <c r="B39" s="45" t="inlineStr">
        <is>
          <t>Async Job Performance Testing</t>
        </is>
      </c>
      <c r="C39" s="45" t="inlineStr">
        <is>
          <t>Load-test async generation pipeline; validate 30–60 min job completion; test concurrent job handling and queue depth</t>
        </is>
      </c>
      <c r="D39" s="45" t="inlineStr">
        <is>
          <t>Solutions Engineer</t>
        </is>
      </c>
      <c r="E39" s="46" t="n">
        <v>24</v>
      </c>
      <c r="F39" s="47" t="n">
        <v>1.2</v>
      </c>
      <c r="G39" s="46" t="n">
        <v>29</v>
      </c>
      <c r="H39" s="48" t="n">
        <v>200</v>
      </c>
      <c r="I39" s="49">
        <f>TEXT($G39*$H39,"$#,##0")</f>
        <v/>
      </c>
      <c r="J39" s="45" t="inlineStr"/>
      <c r="K39" s="45" t="inlineStr">
        <is>
          <t>Integration Testing</t>
        </is>
      </c>
    </row>
    <row r="40" ht="26" customHeight="1">
      <c r="A40" s="50" t="inlineStr">
        <is>
          <t>Testing</t>
        </is>
      </c>
      <c r="B40" s="51" t="inlineStr">
        <is>
          <t>Security &amp; Compliance Testing</t>
        </is>
      </c>
      <c r="C40" s="51" t="inlineStr">
        <is>
          <t>Execute OWASP API security tests; validate WAF rules; verify encryption; confirm CloudTrail audit completeness; collect SOC 2 evidence</t>
        </is>
      </c>
      <c r="D40" s="51" t="inlineStr">
        <is>
          <t>Security Engineer</t>
        </is>
      </c>
      <c r="E40" s="52" t="n">
        <v>32</v>
      </c>
      <c r="F40" s="53" t="n">
        <v>1.2</v>
      </c>
      <c r="G40" s="52" t="n">
        <v>38</v>
      </c>
      <c r="H40" s="54" t="n">
        <v>225</v>
      </c>
      <c r="I40" s="55">
        <f>TEXT($G40*$H40,"$#,##0")</f>
        <v/>
      </c>
      <c r="J40" s="51" t="inlineStr"/>
      <c r="K40" s="51" t="inlineStr">
        <is>
          <t>Security Hardening complete</t>
        </is>
      </c>
    </row>
    <row r="41" ht="26" customHeight="1">
      <c r="A41" s="44" t="inlineStr">
        <is>
          <t>Testing</t>
        </is>
      </c>
      <c r="B41" s="45" t="inlineStr">
        <is>
          <t>Cognito &amp; Auth Testing</t>
        </is>
      </c>
      <c r="C41" s="45" t="inlineStr">
        <is>
          <t>Test Okta-migrated user login flows, admin group permissions, per-user limit enforcement, and token refresh/expiry</t>
        </is>
      </c>
      <c r="D41" s="45" t="inlineStr">
        <is>
          <t>Security Engineer</t>
        </is>
      </c>
      <c r="E41" s="46" t="n">
        <v>16</v>
      </c>
      <c r="F41" s="47" t="n">
        <v>1.2</v>
      </c>
      <c r="G41" s="46" t="n">
        <v>19</v>
      </c>
      <c r="H41" s="48" t="n">
        <v>225</v>
      </c>
      <c r="I41" s="49">
        <f>TEXT($G41*$H41,"$#,##0")</f>
        <v/>
      </c>
      <c r="J41" s="45" t="inlineStr"/>
      <c r="K41" s="45" t="inlineStr">
        <is>
          <t>Cognito Setup complete</t>
        </is>
      </c>
    </row>
    <row r="42" ht="26" customHeight="1">
      <c r="A42" s="50" t="inlineStr">
        <is>
          <t>Testing</t>
        </is>
      </c>
      <c r="B42" s="51" t="inlineStr">
        <is>
          <t>Artifact Quality Validation</t>
        </is>
      </c>
      <c r="C42" s="51" t="inlineStr">
        <is>
          <t>Validate generated artifacts against internal QA rubric; target 90%+ first-review pass rate; iterative prompt tuning based on results</t>
        </is>
      </c>
      <c r="D42" s="51" t="inlineStr">
        <is>
          <t>ML/AI Engineer</t>
        </is>
      </c>
      <c r="E42" s="52" t="n">
        <v>32</v>
      </c>
      <c r="F42" s="53" t="n">
        <v>1.2</v>
      </c>
      <c r="G42" s="52" t="n">
        <v>38</v>
      </c>
      <c r="H42" s="54" t="n">
        <v>275</v>
      </c>
      <c r="I42" s="55">
        <f>TEXT($G42*$H42,"$#,##0")</f>
        <v/>
      </c>
      <c r="J42" s="51" t="inlineStr"/>
      <c r="K42" s="51" t="inlineStr">
        <is>
          <t>Functional Testing</t>
        </is>
      </c>
    </row>
    <row r="43" ht="26" customHeight="1">
      <c r="A43" s="44" t="inlineStr">
        <is>
          <t>Testing</t>
        </is>
      </c>
      <c r="B43" s="45" t="inlineStr">
        <is>
          <t>UAT Coordination</t>
        </is>
      </c>
      <c r="C43" s="45" t="inlineStr">
        <is>
          <t>Coordinate UAT with Head of Solutions (pre-sales consultants as primary users) and Delivery Consulting team; manage feedback and defect triage</t>
        </is>
      </c>
      <c r="D43" s="45" t="inlineStr">
        <is>
          <t>Project Manager</t>
        </is>
      </c>
      <c r="E43" s="46" t="n">
        <v>24</v>
      </c>
      <c r="F43" s="47" t="n">
        <v>1.2</v>
      </c>
      <c r="G43" s="46" t="n">
        <v>29</v>
      </c>
      <c r="H43" s="48" t="n">
        <v>175</v>
      </c>
      <c r="I43" s="49">
        <f>TEXT($G43*$H43,"$#,##0")</f>
        <v/>
      </c>
      <c r="J43" s="45" t="inlineStr"/>
      <c r="K43" s="45" t="inlineStr">
        <is>
          <t>Functional Testing complete</t>
        </is>
      </c>
    </row>
    <row r="44" ht="26" customHeight="1">
      <c r="A44" s="50" t="inlineStr">
        <is>
          <t>Testing</t>
        </is>
      </c>
      <c r="B44" s="51" t="inlineStr">
        <is>
          <t>Defect Resolution</t>
        </is>
      </c>
      <c r="C44" s="51" t="inlineStr">
        <is>
          <t>Address and resolve defects identified during functional, integration, performance, and UAT phases</t>
        </is>
      </c>
      <c r="D44" s="51" t="inlineStr">
        <is>
          <t>Solutions Engineer</t>
        </is>
      </c>
      <c r="E44" s="52" t="n">
        <v>40</v>
      </c>
      <c r="F44" s="53" t="n">
        <v>1.2</v>
      </c>
      <c r="G44" s="52" t="n">
        <v>48</v>
      </c>
      <c r="H44" s="54" t="n">
        <v>200</v>
      </c>
      <c r="I44" s="55">
        <f>TEXT($G44*$H44,"$#,##0")</f>
        <v/>
      </c>
      <c r="J44" s="51" t="inlineStr"/>
      <c r="K44" s="51" t="inlineStr">
        <is>
          <t>All testing phases</t>
        </is>
      </c>
    </row>
    <row r="45" ht="26" customHeight="1">
      <c r="A45" s="44" t="inlineStr">
        <is>
          <t>Testing</t>
        </is>
      </c>
      <c r="B45" s="45" t="inlineStr">
        <is>
          <t>Test Results Report</t>
        </is>
      </c>
      <c r="C45" s="45" t="inlineStr">
        <is>
          <t>Document test results; capture SOC 2 evidence artefacts; obtain CTO and Security Lead sign-off for go-live</t>
        </is>
      </c>
      <c r="D45" s="45" t="inlineStr">
        <is>
          <t>QA Engineer</t>
        </is>
      </c>
      <c r="E45" s="46" t="n">
        <v>8</v>
      </c>
      <c r="F45" s="47" t="n">
        <v>1.2</v>
      </c>
      <c r="G45" s="46" t="n">
        <v>10</v>
      </c>
      <c r="H45" s="48" t="n">
        <v>150</v>
      </c>
      <c r="I45" s="49">
        <f>TEXT($G45*$H45,"$#,##0")</f>
        <v/>
      </c>
      <c r="J45" s="45" t="inlineStr"/>
      <c r="K45" s="45" t="inlineStr">
        <is>
          <t>All testing complete</t>
        </is>
      </c>
    </row>
    <row r="46" ht="26" customHeight="1">
      <c r="A46" s="50" t="inlineStr">
        <is>
          <t>Deployment</t>
        </is>
      </c>
      <c r="B46" s="51" t="inlineStr">
        <is>
          <t>Go-Live Planning</t>
        </is>
      </c>
      <c r="C46" s="51" t="inlineStr">
        <is>
          <t>Plan phased rollout: Phase 1 pre-sales MVP by 2026-09-30 and Phase 2 delivery and Terraform by 2026-12-15; define rollback procedures</t>
        </is>
      </c>
      <c r="D46" s="51" t="inlineStr">
        <is>
          <t>Project Manager</t>
        </is>
      </c>
      <c r="E46" s="52" t="n">
        <v>16</v>
      </c>
      <c r="F46" s="53" t="n">
        <v>1.1</v>
      </c>
      <c r="G46" s="52" t="n">
        <v>18</v>
      </c>
      <c r="H46" s="54" t="n">
        <v>175</v>
      </c>
      <c r="I46" s="55">
        <f>TEXT($G46*$H46,"$#,##0")</f>
        <v/>
      </c>
      <c r="J46" s="51" t="inlineStr"/>
      <c r="K46" s="51" t="inlineStr">
        <is>
          <t>Test Results Report signed off</t>
        </is>
      </c>
    </row>
    <row r="47" ht="26" customHeight="1">
      <c r="A47" s="44" t="inlineStr">
        <is>
          <t>Deployment</t>
        </is>
      </c>
      <c r="B47" s="45" t="inlineStr">
        <is>
          <t>Staging Environment Validation</t>
        </is>
      </c>
      <c r="C47" s="45" t="inlineStr">
        <is>
          <t>Validate full solution stack in staging environment prior to production promotion; smoke-test all artifact types</t>
        </is>
      </c>
      <c r="D47" s="45" t="inlineStr">
        <is>
          <t>Solutions Engineer</t>
        </is>
      </c>
      <c r="E47" s="46" t="n">
        <v>16</v>
      </c>
      <c r="F47" s="47" t="n">
        <v>1.1</v>
      </c>
      <c r="G47" s="46" t="n">
        <v>18</v>
      </c>
      <c r="H47" s="48" t="n">
        <v>200</v>
      </c>
      <c r="I47" s="49">
        <f>TEXT($G47*$H47,"$#,##0")</f>
        <v/>
      </c>
      <c r="J47" s="45" t="inlineStr"/>
      <c r="K47" s="45" t="inlineStr">
        <is>
          <t>Go-Live Planning</t>
        </is>
      </c>
    </row>
    <row r="48" ht="26" customHeight="1">
      <c r="A48" s="50" t="inlineStr">
        <is>
          <t>Deployment</t>
        </is>
      </c>
      <c r="B48" s="51" t="inlineStr">
        <is>
          <t>Production Deployment Phase 1</t>
        </is>
      </c>
      <c r="C48" s="51" t="inlineStr">
        <is>
          <t>Deploy pre-sales generation MVP to production (Bedrock, Lambda, API Gateway, Cognito, S3, DynamoDB); cutover from manual process</t>
        </is>
      </c>
      <c r="D48" s="51" t="inlineStr">
        <is>
          <t>Cloud Engineer</t>
        </is>
      </c>
      <c r="E48" s="52" t="n">
        <v>24</v>
      </c>
      <c r="F48" s="53" t="n">
        <v>1.1</v>
      </c>
      <c r="G48" s="52" t="n">
        <v>26</v>
      </c>
      <c r="H48" s="54" t="n">
        <v>200</v>
      </c>
      <c r="I48" s="55">
        <f>TEXT($G48*$H48,"$#,##0")</f>
        <v/>
      </c>
      <c r="J48" s="51" t="inlineStr"/>
      <c r="K48" s="51" t="inlineStr">
        <is>
          <t>Staging Environment Validation</t>
        </is>
      </c>
    </row>
    <row r="49" ht="26" customHeight="1">
      <c r="A49" s="44" t="inlineStr">
        <is>
          <t>Deployment</t>
        </is>
      </c>
      <c r="B49" s="45" t="inlineStr">
        <is>
          <t>Okta Decommission &amp; Cognito Cutover</t>
        </is>
      </c>
      <c r="C49" s="45" t="inlineStr">
        <is>
          <t>Execute final Okta-to-Cognito DNS/SSO cutover; communicate to all 120 users; monitor login success rate for 48 hours post-cutover</t>
        </is>
      </c>
      <c r="D49" s="45" t="inlineStr">
        <is>
          <t>Security Engineer</t>
        </is>
      </c>
      <c r="E49" s="46" t="n">
        <v>16</v>
      </c>
      <c r="F49" s="47" t="n">
        <v>1.1</v>
      </c>
      <c r="G49" s="46" t="n">
        <v>18</v>
      </c>
      <c r="H49" s="48" t="n">
        <v>225</v>
      </c>
      <c r="I49" s="49">
        <f>TEXT($G49*$H49,"$#,##0")</f>
        <v/>
      </c>
      <c r="J49" s="45" t="inlineStr"/>
      <c r="K49" s="45" t="inlineStr">
        <is>
          <t>Production Deployment Phase 1</t>
        </is>
      </c>
    </row>
    <row r="50" ht="26" customHeight="1">
      <c r="A50" s="50" t="inlineStr">
        <is>
          <t>Deployment</t>
        </is>
      </c>
      <c r="B50" s="51" t="inlineStr">
        <is>
          <t>Legacy EC2 Decommission</t>
        </is>
      </c>
      <c r="C50" s="51" t="inlineStr">
        <is>
          <t>Decommission legacy internal monolith EC2 instance; archive data; update DNS and internal documentation</t>
        </is>
      </c>
      <c r="D50" s="51" t="inlineStr">
        <is>
          <t>Cloud Engineer</t>
        </is>
      </c>
      <c r="E50" s="52" t="n">
        <v>8</v>
      </c>
      <c r="F50" s="53" t="n">
        <v>1.1</v>
      </c>
      <c r="G50" s="52" t="n">
        <v>9</v>
      </c>
      <c r="H50" s="54" t="n">
        <v>200</v>
      </c>
      <c r="I50" s="55">
        <f>TEXT($G50*$H50,"$#,##0")</f>
        <v/>
      </c>
      <c r="J50" s="51" t="inlineStr"/>
      <c r="K50" s="51" t="inlineStr">
        <is>
          <t>Okta Decommission &amp; Cognito Cutover</t>
        </is>
      </c>
    </row>
    <row r="51" ht="26" customHeight="1">
      <c r="A51" s="44" t="inlineStr">
        <is>
          <t>Deployment</t>
        </is>
      </c>
      <c r="B51" s="45" t="inlineStr">
        <is>
          <t>Production Deployment Phase 2</t>
        </is>
      </c>
      <c r="C51" s="45" t="inlineStr">
        <is>
          <t>Deploy delivery automation and Terraform generation modules; validate GA readiness for Q1 2027</t>
        </is>
      </c>
      <c r="D51" s="45" t="inlineStr">
        <is>
          <t>Cloud Engineer</t>
        </is>
      </c>
      <c r="E51" s="46" t="n">
        <v>16</v>
      </c>
      <c r="F51" s="47" t="n">
        <v>1.1</v>
      </c>
      <c r="G51" s="46" t="n">
        <v>18</v>
      </c>
      <c r="H51" s="48" t="n">
        <v>200</v>
      </c>
      <c r="I51" s="49">
        <f>TEXT($G51*$H51,"$#,##0")</f>
        <v/>
      </c>
      <c r="J51" s="45" t="inlineStr"/>
      <c r="K51" s="45" t="inlineStr">
        <is>
          <t>Phase 1 stable in production</t>
        </is>
      </c>
    </row>
    <row r="52" ht="26" customHeight="1">
      <c r="A52" s="50" t="inlineStr">
        <is>
          <t>Deployment</t>
        </is>
      </c>
      <c r="B52" s="51" t="inlineStr">
        <is>
          <t>Admin Training</t>
        </is>
      </c>
      <c r="C52" s="51" t="inlineStr">
        <is>
          <t>Train Amatra admins on Cognito user management, usage limit configuration, and audit log review</t>
        </is>
      </c>
      <c r="D52" s="51" t="inlineStr">
        <is>
          <t>Trainer</t>
        </is>
      </c>
      <c r="E52" s="52" t="n">
        <v>16</v>
      </c>
      <c r="F52" s="53" t="n">
        <v>1.1</v>
      </c>
      <c r="G52" s="52" t="n">
        <v>18</v>
      </c>
      <c r="H52" s="54" t="n">
        <v>150</v>
      </c>
      <c r="I52" s="55">
        <f>TEXT($G52*$H52,"$#,##0")</f>
        <v/>
      </c>
      <c r="J52" s="51" t="inlineStr"/>
      <c r="K52" s="51" t="inlineStr">
        <is>
          <t>Production Deployment Phase 1</t>
        </is>
      </c>
    </row>
    <row r="53" ht="26" customHeight="1">
      <c r="A53" s="44" t="inlineStr">
        <is>
          <t>Deployment</t>
        </is>
      </c>
      <c r="B53" s="45" t="inlineStr">
        <is>
          <t>Pre-Sales Consultant Training</t>
        </is>
      </c>
      <c r="C53" s="45" t="inlineStr">
        <is>
          <t>Conduct hands-on training sessions for pre-sales consultants: brief submission, artifact review, and regeneration workflows</t>
        </is>
      </c>
      <c r="D53" s="45" t="inlineStr">
        <is>
          <t>Trainer</t>
        </is>
      </c>
      <c r="E53" s="46" t="n">
        <v>24</v>
      </c>
      <c r="F53" s="47" t="n">
        <v>1.1</v>
      </c>
      <c r="G53" s="46" t="n">
        <v>26</v>
      </c>
      <c r="H53" s="48" t="n">
        <v>150</v>
      </c>
      <c r="I53" s="49">
        <f>TEXT($G53*$H53,"$#,##0")</f>
        <v/>
      </c>
      <c r="J53" s="45" t="inlineStr"/>
      <c r="K53" s="45" t="inlineStr">
        <is>
          <t>Admin Training</t>
        </is>
      </c>
    </row>
    <row r="54" ht="26" customHeight="1">
      <c r="A54" s="50" t="inlineStr">
        <is>
          <t>Deployment</t>
        </is>
      </c>
      <c r="B54" s="51" t="inlineStr">
        <is>
          <t>Delivery Team Enablement</t>
        </is>
      </c>
      <c r="C54" s="51" t="inlineStr">
        <is>
          <t>Enable Delivery Consulting team on Phase 2 outputs: generated implementation guides and Terraform automation artifacts</t>
        </is>
      </c>
      <c r="D54" s="51" t="inlineStr">
        <is>
          <t>Trainer</t>
        </is>
      </c>
      <c r="E54" s="52" t="n">
        <v>16</v>
      </c>
      <c r="F54" s="53" t="n">
        <v>1.1</v>
      </c>
      <c r="G54" s="52" t="n">
        <v>18</v>
      </c>
      <c r="H54" s="54" t="n">
        <v>150</v>
      </c>
      <c r="I54" s="55">
        <f>TEXT($G54*$H54,"$#,##0")</f>
        <v/>
      </c>
      <c r="J54" s="51" t="inlineStr"/>
      <c r="K54" s="51" t="inlineStr">
        <is>
          <t>Production Deployment Phase 2</t>
        </is>
      </c>
    </row>
    <row r="55" ht="26" customHeight="1">
      <c r="A55" s="44" t="inlineStr">
        <is>
          <t>Deployment</t>
        </is>
      </c>
      <c r="B55" s="45" t="inlineStr">
        <is>
          <t>Runbook Development</t>
        </is>
      </c>
      <c r="C55" s="45" t="inlineStr">
        <is>
          <t>Create operational runbooks: Bedrock quota management, Lambda cold-start mitigation, DynamoDB scaling, incident response, and DR procedures</t>
        </is>
      </c>
      <c r="D55" s="45" t="inlineStr">
        <is>
          <t>Technical Writer</t>
        </is>
      </c>
      <c r="E55" s="46" t="n">
        <v>32</v>
      </c>
      <c r="F55" s="47" t="n">
        <v>1.1</v>
      </c>
      <c r="G55" s="46" t="n">
        <v>35</v>
      </c>
      <c r="H55" s="48" t="n">
        <v>125</v>
      </c>
      <c r="I55" s="49">
        <f>TEXT($G55*$H55,"$#,##0")</f>
        <v/>
      </c>
      <c r="J55" s="45" t="inlineStr"/>
      <c r="K55" s="45" t="inlineStr">
        <is>
          <t>All Deployment tasks</t>
        </is>
      </c>
    </row>
    <row r="56" ht="26" customHeight="1">
      <c r="A56" s="50" t="inlineStr">
        <is>
          <t>Deployment</t>
        </is>
      </c>
      <c r="B56" s="51" t="inlineStr">
        <is>
          <t>As-Built Documentation Delivery</t>
        </is>
      </c>
      <c r="C56" s="51" t="inlineStr">
        <is>
          <t>Deliver final as-built architecture documentation, API reference, data dictionary, and SOC 2 evidence package</t>
        </is>
      </c>
      <c r="D56" s="51" t="inlineStr">
        <is>
          <t>Technical Writer</t>
        </is>
      </c>
      <c r="E56" s="52" t="n">
        <v>24</v>
      </c>
      <c r="F56" s="53" t="n">
        <v>1.1</v>
      </c>
      <c r="G56" s="52" t="n">
        <v>26</v>
      </c>
      <c r="H56" s="54" t="n">
        <v>125</v>
      </c>
      <c r="I56" s="55">
        <f>TEXT($G56*$H56,"$#,##0")</f>
        <v/>
      </c>
      <c r="J56" s="51" t="inlineStr"/>
      <c r="K56" s="51" t="inlineStr">
        <is>
          <t>Runbook Development</t>
        </is>
      </c>
    </row>
    <row r="57" ht="26" customHeight="1">
      <c r="A57" s="44" t="inlineStr">
        <is>
          <t>Deployment</t>
        </is>
      </c>
      <c r="B57" s="45" t="inlineStr">
        <is>
          <t>Hypercare Support</t>
        </is>
      </c>
      <c r="C57" s="45" t="inlineStr">
        <is>
          <t>8-week post-go-live hypercare: monitor platform health, resolve production issues, tune Bedrock prompts, and support pre-sales consultant adoption</t>
        </is>
      </c>
      <c r="D57" s="45" t="inlineStr">
        <is>
          <t>Support Engineer</t>
        </is>
      </c>
      <c r="E57" s="46" t="n">
        <v>80</v>
      </c>
      <c r="F57" s="47" t="n">
        <v>1.1</v>
      </c>
      <c r="G57" s="46" t="n">
        <v>88</v>
      </c>
      <c r="H57" s="48" t="n">
        <v>150</v>
      </c>
      <c r="I57" s="49">
        <f>TEXT($G57*$H57,"$#,##0")</f>
        <v/>
      </c>
      <c r="J57" s="45" t="inlineStr"/>
      <c r="K57" s="45" t="inlineStr">
        <is>
          <t>Production Deployment Phase 1</t>
        </is>
      </c>
    </row>
    <row r="58" ht="26" customHeight="1">
      <c r="A58" s="50" t="inlineStr">
        <is>
          <t>Deployment</t>
        </is>
      </c>
      <c r="B58" s="51" t="inlineStr">
        <is>
          <t>Optimization Recommendations</t>
        </is>
      </c>
      <c r="C58" s="51" t="inlineStr">
        <is>
          <t>Document post-hypercare optimization roadmap: cost optimisation, model upgrades, additional artifact types, and GA feature enhancements</t>
        </is>
      </c>
      <c r="D58" s="51" t="inlineStr">
        <is>
          <t>Solution Architect</t>
        </is>
      </c>
      <c r="E58" s="52" t="n">
        <v>16</v>
      </c>
      <c r="F58" s="53" t="n">
        <v>1.1</v>
      </c>
      <c r="G58" s="52" t="n">
        <v>18</v>
      </c>
      <c r="H58" s="54" t="n">
        <v>225</v>
      </c>
      <c r="I58" s="55">
        <f>TEXT($G58*$H58,"$#,##0")</f>
        <v/>
      </c>
      <c r="J58" s="51" t="inlineStr"/>
      <c r="K58" s="51" t="inlineStr">
        <is>
          <t>Hypercare Support</t>
        </is>
      </c>
    </row>
    <row r="59" ht="26" customHeight="1">
      <c r="A59" s="44" t="inlineStr">
        <is>
          <t>Deployment</t>
        </is>
      </c>
      <c r="B59" s="45" t="inlineStr">
        <is>
          <t>Project Closeout</t>
        </is>
      </c>
      <c r="C59" s="45" t="inlineStr">
        <is>
          <t>Project retrospective, lessons learned, final project report to CTO and VP Engineering; handover to steady-state operations team</t>
        </is>
      </c>
      <c r="D59" s="45" t="inlineStr">
        <is>
          <t>Project Manager</t>
        </is>
      </c>
      <c r="E59" s="46" t="n">
        <v>8</v>
      </c>
      <c r="F59" s="47" t="n">
        <v>1.1</v>
      </c>
      <c r="G59" s="46" t="n">
        <v>9</v>
      </c>
      <c r="H59" s="48" t="n">
        <v>175</v>
      </c>
      <c r="I59" s="49">
        <f>TEXT($G59*$H59,"$#,##0")</f>
        <v/>
      </c>
      <c r="J59" s="45" t="inlineStr"/>
      <c r="K59" s="45" t="inlineStr">
        <is>
          <t>All phases complete</t>
        </is>
      </c>
    </row>
    <row r="60" ht="26" customHeight="1">
      <c r="A60" s="50" t="inlineStr">
        <is>
          <t>Management</t>
        </is>
      </c>
      <c r="B60" s="51" t="inlineStr">
        <is>
          <t>Technical Leadership</t>
        </is>
      </c>
      <c r="C60" s="51" t="inlineStr">
        <is>
          <t>Quarterback technical oversight across all phases: architecture governance, Bedrock/AI quality review, escalation management</t>
        </is>
      </c>
      <c r="D60" s="51" t="inlineStr">
        <is>
          <t>Solution Architect</t>
        </is>
      </c>
      <c r="E60" s="55">
        <f>ROUND(SUM($G4:$G64)*0.10,0)</f>
        <v/>
      </c>
      <c r="F60" s="53" t="n">
        <v>1</v>
      </c>
      <c r="G60" s="55">
        <f>ROUND(SUM($G4:$G64)*0.10,0)</f>
        <v/>
      </c>
      <c r="H60" s="54" t="n">
        <v>225</v>
      </c>
      <c r="I60" s="55">
        <f>TEXT($G60*$H60,"$#,##0")</f>
        <v/>
      </c>
      <c r="J60" s="51" t="inlineStr"/>
      <c r="K60" s="51" t="inlineStr">
        <is>
          <t>All phases</t>
        </is>
      </c>
    </row>
    <row r="61" ht="26" customHeight="1">
      <c r="A61" s="44" t="inlineStr">
        <is>
          <t>Management</t>
        </is>
      </c>
      <c r="B61" s="45" t="inlineStr">
        <is>
          <t>Project Management</t>
        </is>
      </c>
      <c r="C61" s="45" t="inlineStr">
        <is>
          <t>Project coordination, status reporting to CTO and VP Engineering, risk management, change control, and stakeholder communications</t>
        </is>
      </c>
      <c r="D61" s="45" t="inlineStr">
        <is>
          <t>Project Manager</t>
        </is>
      </c>
      <c r="E61" s="49">
        <f>ROUND(SUM($G4:$G64)*0.10,0)</f>
        <v/>
      </c>
      <c r="F61" s="47" t="n">
        <v>1</v>
      </c>
      <c r="G61" s="49">
        <f>ROUND(SUM($G4:$G64)*0.10,0)</f>
        <v/>
      </c>
      <c r="H61" s="48" t="n">
        <v>175</v>
      </c>
      <c r="I61" s="49">
        <f>TEXT($G61*$H61,"$#,##0")</f>
        <v/>
      </c>
      <c r="J61" s="45" t="inlineStr"/>
      <c r="K61" s="45" t="inlineStr">
        <is>
          <t>All phases</t>
        </is>
      </c>
    </row>
    <row r="62" ht="26" customHeight="1">
      <c r="A62" s="56" t="inlineStr"/>
      <c r="B62" s="56" t="inlineStr"/>
      <c r="C62" s="56" t="inlineStr"/>
      <c r="D62" s="56" t="inlineStr"/>
      <c r="E62" s="56" t="inlineStr"/>
      <c r="F62" s="57" t="inlineStr">
        <is>
          <t>TOTAL HOURS</t>
        </is>
      </c>
      <c r="G62" s="57">
        <f>SUM($G4:$G67)</f>
        <v/>
      </c>
      <c r="H62" s="57" t="inlineStr">
        <is>
          <t>TOTAL COST</t>
        </is>
      </c>
      <c r="I62" s="57">
        <f>TEXT(SUMPRODUCT($G4:$G67,$H4:$H67),"$#,##0")</f>
        <v/>
      </c>
      <c r="J62" s="56" t="inlineStr"/>
      <c r="K62" s="56" t="inlineStr"/>
    </row>
  </sheetData>
  <autoFilter ref="A2:K62"/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100" customWidth="1" min="3" max="3"/>
  </cols>
  <sheetData>
    <row r="1" ht="32" customHeight="1">
      <c r="A1" s="34" t="inlineStr">
        <is>
          <t>CREDITS</t>
        </is>
      </c>
    </row>
    <row r="2" ht="32" customHeight="1">
      <c r="A2" s="35" t="inlineStr">
        <is>
          <t>Credit Type</t>
        </is>
      </c>
      <c r="B2" s="35" t="inlineStr">
        <is>
          <t>Credit Amount</t>
        </is>
      </c>
      <c r="C2" s="35" t="inlineStr">
        <is>
          <t>Credit Comments</t>
        </is>
      </c>
    </row>
    <row r="3" ht="26" customHeight="1">
      <c r="A3" s="36" t="inlineStr">
        <is>
          <t>AWS Partner Services Credit</t>
        </is>
      </c>
      <c r="B3" s="58" t="n">
        <v>-15000</v>
      </c>
      <c r="C3" s="37" t="inlineStr">
        <is>
          <t>AWS Partner Network (APN) Advanced Tier credit applied to professional services for solution architecture and implementation of AWS-native services (Bedrock, Lambda, API Gateway, DynamoDB, S3, Cognito)</t>
        </is>
      </c>
    </row>
    <row r="4" ht="26" customHeight="1">
      <c r="A4" s="39" t="inlineStr">
        <is>
          <t>AWS Bedrock Early Adopter Incentive</t>
        </is>
      </c>
      <c r="B4" s="59" t="n">
        <v>-5000</v>
      </c>
      <c r="C4" s="40" t="inlineStr">
        <is>
          <t>AWS Bedrock partner implementation incentive for generative AI solutions; eligible as APN partner deploying Bedrock in a production customer workload</t>
        </is>
      </c>
    </row>
    <row r="5" ht="26" customHeight="1">
      <c r="A5" s="36" t="inlineStr">
        <is>
          <t>Implementation Volume Discount</t>
        </is>
      </c>
      <c r="B5" s="58" t="n">
        <v>-10000</v>
      </c>
      <c r="C5" s="37" t="inlineStr">
        <is>
          <t>Volume discount on professional services for engagements exceeding $300K; applied as approximately 3% reduction on total professional services cost</t>
        </is>
      </c>
    </row>
    <row r="6" ht="26" customHeight="1">
      <c r="A6" s="60" t="inlineStr">
        <is>
          <t>TOTAL</t>
        </is>
      </c>
      <c r="B6" s="61">
        <f>SUMPRODUCT($G4:$G67,$H4:$H67)-30000</f>
        <v/>
      </c>
      <c r="C6" s="62" t="inlineStr">
        <is>
          <t>Total professional services cost minus AWS Partner and volume discount credits (Year 1 only); infrastructure credits are excluded and reported in infrastructure-costs.csv</t>
        </is>
      </c>
    </row>
  </sheetData>
  <autoFilter ref="A2:C6"/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2026-06-10T18:53:52Z</dcterms:modified>
  <cp:lastModifiedBy>Kishan Siram</cp:lastModifiedBy>
</cp:coreProperties>
</file>