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Compute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Database" sheetId="7" state="visible" r:id="rId7"/>
    <sheet xmlns:r="http://schemas.openxmlformats.org/officeDocument/2006/relationships" name="Application" sheetId="8" state="visible" r:id="rId8"/>
    <sheet xmlns:r="http://schemas.openxmlformats.org/officeDocument/2006/relationships" name="Monitoring" sheetId="9" state="visible" r:id="rId9"/>
    <sheet xmlns:r="http://schemas.openxmlformats.org/officeDocument/2006/relationships" name="Integration" sheetId="10" state="visible" r:id="rId10"/>
    <sheet xmlns:r="http://schemas.openxmlformats.org/officeDocument/2006/relationships" name="Operations" sheetId="11" state="visible" r:id="rId11"/>
  </sheets>
  <definedNames>
    <definedName name="_xlnm._FilterDatabase" localSheetId="1" hidden="1">'All Parameters (Read Only)'!$A$4:$N$104</definedName>
    <definedName name="_xlnm._FilterDatabase" localSheetId="2" hidden="1">'Project'!$A$2:$M$9</definedName>
    <definedName name="_xlnm._FilterDatabase" localSheetId="3" hidden="1">'Security'!$A$2:$M$21</definedName>
    <definedName name="_xlnm._FilterDatabase" localSheetId="4" hidden="1">'Compute'!$A$2:$M$13</definedName>
    <definedName name="_xlnm._FilterDatabase" localSheetId="5" hidden="1">'Storage'!$A$2:$M$8</definedName>
    <definedName name="_xlnm._FilterDatabase" localSheetId="6" hidden="1">'Database'!$A$2:$M$9</definedName>
    <definedName name="_xlnm._FilterDatabase" localSheetId="7" hidden="1">'Application'!$A$2:$M$8</definedName>
    <definedName name="_xlnm._FilterDatabase" localSheetId="8" hidden="1">'Monitoring'!$A$2:$M$13</definedName>
    <definedName name="_xlnm._FilterDatabase" localSheetId="9" hidden="1">'Integration'!$A$2:$M$23</definedName>
    <definedName name="_xlnm._FilterDatabase" localSheetId="10" hidden="1">'Operations'!$A$2:$M$14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Tmpqz8Q6Wcz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100</v>
      </c>
      <c r="B2" s="35" t="n">
        <v>9</v>
      </c>
      <c r="C2" s="35" t="n">
        <v>100</v>
      </c>
      <c r="D2" s="35" t="n">
        <v>25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IF('Security'!A3="","",'Security'!A3)</f>
        <v/>
      </c>
      <c r="B12" s="39" t="inlineStr">
        <is>
          <t>Security</t>
        </is>
      </c>
      <c r="C12" s="39">
        <f>IF('Security'!B3="","",'Security'!B3)</f>
        <v/>
      </c>
      <c r="D12" s="39">
        <f>IF('Security'!C3="","",'Security'!C3)</f>
        <v/>
      </c>
      <c r="E12" s="39">
        <f>IF('Security'!D3="","",'Security'!D3)</f>
        <v/>
      </c>
      <c r="F12" s="39">
        <f>IF('Security'!E3="","",'Security'!E3)</f>
        <v/>
      </c>
      <c r="G12" s="40">
        <f>IF('Security'!F3="","",'Security'!F3)</f>
        <v/>
      </c>
      <c r="H12" s="40">
        <f>IF('Security'!G3="","",'Security'!G3)</f>
        <v/>
      </c>
      <c r="I12" s="39">
        <f>IF('Security'!H3="","",'Security'!H3)</f>
        <v/>
      </c>
      <c r="J12" s="40">
        <f>IF('Security'!I3="","",'Security'!I3)</f>
        <v/>
      </c>
      <c r="K12" s="39">
        <f>IF('Security'!J3="","",'Security'!J3)</f>
        <v/>
      </c>
      <c r="L12" s="39">
        <f>IF('Security'!K3="","",'Security'!K3)</f>
        <v/>
      </c>
      <c r="M12" s="39">
        <f>IF('Security'!L3="","",'Security'!L3)</f>
        <v/>
      </c>
      <c r="N12" s="40">
        <f>IF('Security'!M3="","",'Security'!M3)</f>
        <v/>
      </c>
    </row>
    <row r="13">
      <c r="A13" s="37">
        <f>IF('Security'!A4="","",'Security'!A4)</f>
        <v/>
      </c>
      <c r="B13" s="37" t="inlineStr">
        <is>
          <t>Security</t>
        </is>
      </c>
      <c r="C13" s="37">
        <f>IF('Security'!B4="","",'Security'!B4)</f>
        <v/>
      </c>
      <c r="D13" s="37">
        <f>IF('Security'!C4="","",'Security'!C4)</f>
        <v/>
      </c>
      <c r="E13" s="37">
        <f>IF('Security'!D4="","",'Security'!D4)</f>
        <v/>
      </c>
      <c r="F13" s="37">
        <f>IF('Security'!E4="","",'Security'!E4)</f>
        <v/>
      </c>
      <c r="G13" s="38">
        <f>IF('Security'!F4="","",'Security'!F4)</f>
        <v/>
      </c>
      <c r="H13" s="38">
        <f>IF('Security'!G4="","",'Security'!G4)</f>
        <v/>
      </c>
      <c r="I13" s="37">
        <f>IF('Security'!H4="","",'Security'!H4)</f>
        <v/>
      </c>
      <c r="J13" s="38">
        <f>IF('Security'!I4="","",'Security'!I4)</f>
        <v/>
      </c>
      <c r="K13" s="37">
        <f>IF('Security'!J4="","",'Security'!J4)</f>
        <v/>
      </c>
      <c r="L13" s="37">
        <f>IF('Security'!K4="","",'Security'!K4)</f>
        <v/>
      </c>
      <c r="M13" s="37">
        <f>IF('Security'!L4="","",'Security'!L4)</f>
        <v/>
      </c>
      <c r="N13" s="38">
        <f>IF('Security'!M4="","",'Security'!M4)</f>
        <v/>
      </c>
    </row>
    <row r="14">
      <c r="A14" s="39">
        <f>IF('Security'!A5="","",'Security'!A5)</f>
        <v/>
      </c>
      <c r="B14" s="39" t="inlineStr">
        <is>
          <t>Security</t>
        </is>
      </c>
      <c r="C14" s="39">
        <f>IF('Security'!B5="","",'Security'!B5)</f>
        <v/>
      </c>
      <c r="D14" s="39">
        <f>IF('Security'!C5="","",'Security'!C5)</f>
        <v/>
      </c>
      <c r="E14" s="39">
        <f>IF('Security'!D5="","",'Security'!D5)</f>
        <v/>
      </c>
      <c r="F14" s="39">
        <f>IF('Security'!E5="","",'Security'!E5)</f>
        <v/>
      </c>
      <c r="G14" s="40">
        <f>IF('Security'!F5="","",'Security'!F5)</f>
        <v/>
      </c>
      <c r="H14" s="40">
        <f>IF('Security'!G5="","",'Security'!G5)</f>
        <v/>
      </c>
      <c r="I14" s="39">
        <f>IF('Security'!H5="","",'Security'!H5)</f>
        <v/>
      </c>
      <c r="J14" s="40">
        <f>IF('Security'!I5="","",'Security'!I5)</f>
        <v/>
      </c>
      <c r="K14" s="39">
        <f>IF('Security'!J5="","",'Security'!J5)</f>
        <v/>
      </c>
      <c r="L14" s="39">
        <f>IF('Security'!K5="","",'Security'!K5)</f>
        <v/>
      </c>
      <c r="M14" s="39">
        <f>IF('Security'!L5="","",'Security'!L5)</f>
        <v/>
      </c>
      <c r="N14" s="40">
        <f>IF('Security'!M5="","",'Security'!M5)</f>
        <v/>
      </c>
    </row>
    <row r="15">
      <c r="A15" s="37">
        <f>IF('Security'!A6="","",'Security'!A6)</f>
        <v/>
      </c>
      <c r="B15" s="37" t="inlineStr">
        <is>
          <t>Security</t>
        </is>
      </c>
      <c r="C15" s="37">
        <f>IF('Security'!B6="","",'Security'!B6)</f>
        <v/>
      </c>
      <c r="D15" s="37">
        <f>IF('Security'!C6="","",'Security'!C6)</f>
        <v/>
      </c>
      <c r="E15" s="37">
        <f>IF('Security'!D6="","",'Security'!D6)</f>
        <v/>
      </c>
      <c r="F15" s="37">
        <f>IF('Security'!E6="","",'Security'!E6)</f>
        <v/>
      </c>
      <c r="G15" s="38">
        <f>IF('Security'!F6="","",'Security'!F6)</f>
        <v/>
      </c>
      <c r="H15" s="38">
        <f>IF('Security'!G6="","",'Security'!G6)</f>
        <v/>
      </c>
      <c r="I15" s="37">
        <f>IF('Security'!H6="","",'Security'!H6)</f>
        <v/>
      </c>
      <c r="J15" s="38">
        <f>IF('Security'!I6="","",'Security'!I6)</f>
        <v/>
      </c>
      <c r="K15" s="37">
        <f>IF('Security'!J6="","",'Security'!J6)</f>
        <v/>
      </c>
      <c r="L15" s="37">
        <f>IF('Security'!K6="","",'Security'!K6)</f>
        <v/>
      </c>
      <c r="M15" s="37">
        <f>IF('Security'!L6="","",'Security'!L6)</f>
        <v/>
      </c>
      <c r="N15" s="38">
        <f>IF('Security'!M6="","",'Security'!M6)</f>
        <v/>
      </c>
    </row>
    <row r="16">
      <c r="A16" s="39">
        <f>IF('Security'!A7="","",'Security'!A7)</f>
        <v/>
      </c>
      <c r="B16" s="39" t="inlineStr">
        <is>
          <t>Security</t>
        </is>
      </c>
      <c r="C16" s="39">
        <f>IF('Security'!B7="","",'Security'!B7)</f>
        <v/>
      </c>
      <c r="D16" s="39">
        <f>IF('Security'!C7="","",'Security'!C7)</f>
        <v/>
      </c>
      <c r="E16" s="39">
        <f>IF('Security'!D7="","",'Security'!D7)</f>
        <v/>
      </c>
      <c r="F16" s="39">
        <f>IF('Security'!E7="","",'Security'!E7)</f>
        <v/>
      </c>
      <c r="G16" s="40">
        <f>IF('Security'!F7="","",'Security'!F7)</f>
        <v/>
      </c>
      <c r="H16" s="40">
        <f>IF('Security'!G7="","",'Security'!G7)</f>
        <v/>
      </c>
      <c r="I16" s="39">
        <f>IF('Security'!H7="","",'Security'!H7)</f>
        <v/>
      </c>
      <c r="J16" s="40">
        <f>IF('Security'!I7="","",'Security'!I7)</f>
        <v/>
      </c>
      <c r="K16" s="39">
        <f>IF('Security'!J7="","",'Security'!J7)</f>
        <v/>
      </c>
      <c r="L16" s="39">
        <f>IF('Security'!K7="","",'Security'!K7)</f>
        <v/>
      </c>
      <c r="M16" s="39">
        <f>IF('Security'!L7="","",'Security'!L7)</f>
        <v/>
      </c>
      <c r="N16" s="40">
        <f>IF('Security'!M7="","",'Security'!M7)</f>
        <v/>
      </c>
    </row>
    <row r="17">
      <c r="A17" s="37">
        <f>IF('Security'!A8="","",'Security'!A8)</f>
        <v/>
      </c>
      <c r="B17" s="37" t="inlineStr">
        <is>
          <t>Security</t>
        </is>
      </c>
      <c r="C17" s="37">
        <f>IF('Security'!B8="","",'Security'!B8)</f>
        <v/>
      </c>
      <c r="D17" s="37">
        <f>IF('Security'!C8="","",'Security'!C8)</f>
        <v/>
      </c>
      <c r="E17" s="37">
        <f>IF('Security'!D8="","",'Security'!D8)</f>
        <v/>
      </c>
      <c r="F17" s="37">
        <f>IF('Security'!E8="","",'Security'!E8)</f>
        <v/>
      </c>
      <c r="G17" s="38">
        <f>IF('Security'!F8="","",'Security'!F8)</f>
        <v/>
      </c>
      <c r="H17" s="38">
        <f>IF('Security'!G8="","",'Security'!G8)</f>
        <v/>
      </c>
      <c r="I17" s="37">
        <f>IF('Security'!H8="","",'Security'!H8)</f>
        <v/>
      </c>
      <c r="J17" s="38">
        <f>IF('Security'!I8="","",'Security'!I8)</f>
        <v/>
      </c>
      <c r="K17" s="37">
        <f>IF('Security'!J8="","",'Security'!J8)</f>
        <v/>
      </c>
      <c r="L17" s="37">
        <f>IF('Security'!K8="","",'Security'!K8)</f>
        <v/>
      </c>
      <c r="M17" s="37">
        <f>IF('Security'!L8="","",'Security'!L8)</f>
        <v/>
      </c>
      <c r="N17" s="38">
        <f>IF('Security'!M8="","",'Security'!M8)</f>
        <v/>
      </c>
    </row>
    <row r="18">
      <c r="A18" s="39">
        <f>IF('Security'!A9="","",'Security'!A9)</f>
        <v/>
      </c>
      <c r="B18" s="39" t="inlineStr">
        <is>
          <t>Security</t>
        </is>
      </c>
      <c r="C18" s="39">
        <f>IF('Security'!B9="","",'Security'!B9)</f>
        <v/>
      </c>
      <c r="D18" s="39">
        <f>IF('Security'!C9="","",'Security'!C9)</f>
        <v/>
      </c>
      <c r="E18" s="39">
        <f>IF('Security'!D9="","",'Security'!D9)</f>
        <v/>
      </c>
      <c r="F18" s="39">
        <f>IF('Security'!E9="","",'Security'!E9)</f>
        <v/>
      </c>
      <c r="G18" s="40">
        <f>IF('Security'!F9="","",'Security'!F9)</f>
        <v/>
      </c>
      <c r="H18" s="40">
        <f>IF('Security'!G9="","",'Security'!G9)</f>
        <v/>
      </c>
      <c r="I18" s="39">
        <f>IF('Security'!H9="","",'Security'!H9)</f>
        <v/>
      </c>
      <c r="J18" s="40">
        <f>IF('Security'!I9="","",'Security'!I9)</f>
        <v/>
      </c>
      <c r="K18" s="39">
        <f>IF('Security'!J9="","",'Security'!J9)</f>
        <v/>
      </c>
      <c r="L18" s="39">
        <f>IF('Security'!K9="","",'Security'!K9)</f>
        <v/>
      </c>
      <c r="M18" s="39">
        <f>IF('Security'!L9="","",'Security'!L9)</f>
        <v/>
      </c>
      <c r="N18" s="40">
        <f>IF('Security'!M9="","",'Security'!M9)</f>
        <v/>
      </c>
    </row>
    <row r="19">
      <c r="A19" s="37">
        <f>IF('Security'!A10="","",'Security'!A10)</f>
        <v/>
      </c>
      <c r="B19" s="37" t="inlineStr">
        <is>
          <t>Security</t>
        </is>
      </c>
      <c r="C19" s="37">
        <f>IF('Security'!B10="","",'Security'!B10)</f>
        <v/>
      </c>
      <c r="D19" s="37">
        <f>IF('Security'!C10="","",'Security'!C10)</f>
        <v/>
      </c>
      <c r="E19" s="37">
        <f>IF('Security'!D10="","",'Security'!D10)</f>
        <v/>
      </c>
      <c r="F19" s="37">
        <f>IF('Security'!E10="","",'Security'!E10)</f>
        <v/>
      </c>
      <c r="G19" s="38">
        <f>IF('Security'!F10="","",'Security'!F10)</f>
        <v/>
      </c>
      <c r="H19" s="38">
        <f>IF('Security'!G10="","",'Security'!G10)</f>
        <v/>
      </c>
      <c r="I19" s="37">
        <f>IF('Security'!H10="","",'Security'!H10)</f>
        <v/>
      </c>
      <c r="J19" s="38">
        <f>IF('Security'!I10="","",'Security'!I10)</f>
        <v/>
      </c>
      <c r="K19" s="37">
        <f>IF('Security'!J10="","",'Security'!J10)</f>
        <v/>
      </c>
      <c r="L19" s="37">
        <f>IF('Security'!K10="","",'Security'!K10)</f>
        <v/>
      </c>
      <c r="M19" s="37">
        <f>IF('Security'!L10="","",'Security'!L10)</f>
        <v/>
      </c>
      <c r="N19" s="38">
        <f>IF('Security'!M10="","",'Security'!M10)</f>
        <v/>
      </c>
    </row>
    <row r="20">
      <c r="A20" s="39">
        <f>IF('Security'!A11="","",'Security'!A11)</f>
        <v/>
      </c>
      <c r="B20" s="39" t="inlineStr">
        <is>
          <t>Security</t>
        </is>
      </c>
      <c r="C20" s="39">
        <f>IF('Security'!B11="","",'Security'!B11)</f>
        <v/>
      </c>
      <c r="D20" s="39">
        <f>IF('Security'!C11="","",'Security'!C11)</f>
        <v/>
      </c>
      <c r="E20" s="39">
        <f>IF('Security'!D11="","",'Security'!D11)</f>
        <v/>
      </c>
      <c r="F20" s="39">
        <f>IF('Security'!E11="","",'Security'!E11)</f>
        <v/>
      </c>
      <c r="G20" s="40">
        <f>IF('Security'!F11="","",'Security'!F11)</f>
        <v/>
      </c>
      <c r="H20" s="40">
        <f>IF('Security'!G11="","",'Security'!G11)</f>
        <v/>
      </c>
      <c r="I20" s="39">
        <f>IF('Security'!H11="","",'Security'!H11)</f>
        <v/>
      </c>
      <c r="J20" s="40">
        <f>IF('Security'!I11="","",'Security'!I11)</f>
        <v/>
      </c>
      <c r="K20" s="39">
        <f>IF('Security'!J11="","",'Security'!J11)</f>
        <v/>
      </c>
      <c r="L20" s="39">
        <f>IF('Security'!K11="","",'Security'!K11)</f>
        <v/>
      </c>
      <c r="M20" s="39">
        <f>IF('Security'!L11="","",'Security'!L11)</f>
        <v/>
      </c>
      <c r="N20" s="40">
        <f>IF('Security'!M11="","",'Security'!M11)</f>
        <v/>
      </c>
    </row>
    <row r="21">
      <c r="A21" s="37">
        <f>IF('Security'!A12="","",'Security'!A12)</f>
        <v/>
      </c>
      <c r="B21" s="37" t="inlineStr">
        <is>
          <t>Security</t>
        </is>
      </c>
      <c r="C21" s="37">
        <f>IF('Security'!B12="","",'Security'!B12)</f>
        <v/>
      </c>
      <c r="D21" s="37">
        <f>IF('Security'!C12="","",'Security'!C12)</f>
        <v/>
      </c>
      <c r="E21" s="37">
        <f>IF('Security'!D12="","",'Security'!D12)</f>
        <v/>
      </c>
      <c r="F21" s="37">
        <f>IF('Security'!E12="","",'Security'!E12)</f>
        <v/>
      </c>
      <c r="G21" s="38">
        <f>IF('Security'!F12="","",'Security'!F12)</f>
        <v/>
      </c>
      <c r="H21" s="38">
        <f>IF('Security'!G12="","",'Security'!G12)</f>
        <v/>
      </c>
      <c r="I21" s="37">
        <f>IF('Security'!H12="","",'Security'!H12)</f>
        <v/>
      </c>
      <c r="J21" s="38">
        <f>IF('Security'!I12="","",'Security'!I12)</f>
        <v/>
      </c>
      <c r="K21" s="37">
        <f>IF('Security'!J12="","",'Security'!J12)</f>
        <v/>
      </c>
      <c r="L21" s="37">
        <f>IF('Security'!K12="","",'Security'!K12)</f>
        <v/>
      </c>
      <c r="M21" s="37">
        <f>IF('Security'!L12="","",'Security'!L12)</f>
        <v/>
      </c>
      <c r="N21" s="38">
        <f>IF('Security'!M12="","",'Security'!M12)</f>
        <v/>
      </c>
    </row>
    <row r="22">
      <c r="A22" s="39">
        <f>IF('Security'!A13="","",'Security'!A13)</f>
        <v/>
      </c>
      <c r="B22" s="39" t="inlineStr">
        <is>
          <t>Security</t>
        </is>
      </c>
      <c r="C22" s="39">
        <f>IF('Security'!B13="","",'Security'!B13)</f>
        <v/>
      </c>
      <c r="D22" s="39">
        <f>IF('Security'!C13="","",'Security'!C13)</f>
        <v/>
      </c>
      <c r="E22" s="39">
        <f>IF('Security'!D13="","",'Security'!D13)</f>
        <v/>
      </c>
      <c r="F22" s="39">
        <f>IF('Security'!E13="","",'Security'!E13)</f>
        <v/>
      </c>
      <c r="G22" s="40">
        <f>IF('Security'!F13="","",'Security'!F13)</f>
        <v/>
      </c>
      <c r="H22" s="40">
        <f>IF('Security'!G13="","",'Security'!G13)</f>
        <v/>
      </c>
      <c r="I22" s="39">
        <f>IF('Security'!H13="","",'Security'!H13)</f>
        <v/>
      </c>
      <c r="J22" s="40">
        <f>IF('Security'!I13="","",'Security'!I13)</f>
        <v/>
      </c>
      <c r="K22" s="39">
        <f>IF('Security'!J13="","",'Security'!J13)</f>
        <v/>
      </c>
      <c r="L22" s="39">
        <f>IF('Security'!K13="","",'Security'!K13)</f>
        <v/>
      </c>
      <c r="M22" s="39">
        <f>IF('Security'!L13="","",'Security'!L13)</f>
        <v/>
      </c>
      <c r="N22" s="40">
        <f>IF('Security'!M13="","",'Security'!M13)</f>
        <v/>
      </c>
    </row>
    <row r="23">
      <c r="A23" s="37">
        <f>IF('Security'!A14="","",'Security'!A14)</f>
        <v/>
      </c>
      <c r="B23" s="37" t="inlineStr">
        <is>
          <t>Security</t>
        </is>
      </c>
      <c r="C23" s="37">
        <f>IF('Security'!B14="","",'Security'!B14)</f>
        <v/>
      </c>
      <c r="D23" s="37">
        <f>IF('Security'!C14="","",'Security'!C14)</f>
        <v/>
      </c>
      <c r="E23" s="37">
        <f>IF('Security'!D14="","",'Security'!D14)</f>
        <v/>
      </c>
      <c r="F23" s="37">
        <f>IF('Security'!E14="","",'Security'!E14)</f>
        <v/>
      </c>
      <c r="G23" s="38">
        <f>IF('Security'!F14="","",'Security'!F14)</f>
        <v/>
      </c>
      <c r="H23" s="38">
        <f>IF('Security'!G14="","",'Security'!G14)</f>
        <v/>
      </c>
      <c r="I23" s="37">
        <f>IF('Security'!H14="","",'Security'!H14)</f>
        <v/>
      </c>
      <c r="J23" s="38">
        <f>IF('Security'!I14="","",'Security'!I14)</f>
        <v/>
      </c>
      <c r="K23" s="37">
        <f>IF('Security'!J14="","",'Security'!J14)</f>
        <v/>
      </c>
      <c r="L23" s="37">
        <f>IF('Security'!K14="","",'Security'!K14)</f>
        <v/>
      </c>
      <c r="M23" s="37">
        <f>IF('Security'!L14="","",'Security'!L14)</f>
        <v/>
      </c>
      <c r="N23" s="38">
        <f>IF('Security'!M14="","",'Security'!M14)</f>
        <v/>
      </c>
    </row>
    <row r="24">
      <c r="A24" s="39">
        <f>IF('Security'!A15="","",'Security'!A15)</f>
        <v/>
      </c>
      <c r="B24" s="39" t="inlineStr">
        <is>
          <t>Security</t>
        </is>
      </c>
      <c r="C24" s="39">
        <f>IF('Security'!B15="","",'Security'!B15)</f>
        <v/>
      </c>
      <c r="D24" s="39">
        <f>IF('Security'!C15="","",'Security'!C15)</f>
        <v/>
      </c>
      <c r="E24" s="39">
        <f>IF('Security'!D15="","",'Security'!D15)</f>
        <v/>
      </c>
      <c r="F24" s="39">
        <f>IF('Security'!E15="","",'Security'!E15)</f>
        <v/>
      </c>
      <c r="G24" s="40">
        <f>IF('Security'!F15="","",'Security'!F15)</f>
        <v/>
      </c>
      <c r="H24" s="40">
        <f>IF('Security'!G15="","",'Security'!G15)</f>
        <v/>
      </c>
      <c r="I24" s="39">
        <f>IF('Security'!H15="","",'Security'!H15)</f>
        <v/>
      </c>
      <c r="J24" s="40">
        <f>IF('Security'!I15="","",'Security'!I15)</f>
        <v/>
      </c>
      <c r="K24" s="39">
        <f>IF('Security'!J15="","",'Security'!J15)</f>
        <v/>
      </c>
      <c r="L24" s="39">
        <f>IF('Security'!K15="","",'Security'!K15)</f>
        <v/>
      </c>
      <c r="M24" s="39">
        <f>IF('Security'!L15="","",'Security'!L15)</f>
        <v/>
      </c>
      <c r="N24" s="40">
        <f>IF('Security'!M15="","",'Security'!M15)</f>
        <v/>
      </c>
    </row>
    <row r="25">
      <c r="A25" s="37">
        <f>IF('Security'!A16="","",'Security'!A16)</f>
        <v/>
      </c>
      <c r="B25" s="37" t="inlineStr">
        <is>
          <t>Security</t>
        </is>
      </c>
      <c r="C25" s="37">
        <f>IF('Security'!B16="","",'Security'!B16)</f>
        <v/>
      </c>
      <c r="D25" s="37">
        <f>IF('Security'!C16="","",'Security'!C16)</f>
        <v/>
      </c>
      <c r="E25" s="37">
        <f>IF('Security'!D16="","",'Security'!D16)</f>
        <v/>
      </c>
      <c r="F25" s="37">
        <f>IF('Security'!E16="","",'Security'!E16)</f>
        <v/>
      </c>
      <c r="G25" s="38">
        <f>IF('Security'!F16="","",'Security'!F16)</f>
        <v/>
      </c>
      <c r="H25" s="38">
        <f>IF('Security'!G16="","",'Security'!G16)</f>
        <v/>
      </c>
      <c r="I25" s="37">
        <f>IF('Security'!H16="","",'Security'!H16)</f>
        <v/>
      </c>
      <c r="J25" s="38">
        <f>IF('Security'!I16="","",'Security'!I16)</f>
        <v/>
      </c>
      <c r="K25" s="37">
        <f>IF('Security'!J16="","",'Security'!J16)</f>
        <v/>
      </c>
      <c r="L25" s="37">
        <f>IF('Security'!K16="","",'Security'!K16)</f>
        <v/>
      </c>
      <c r="M25" s="37">
        <f>IF('Security'!L16="","",'Security'!L16)</f>
        <v/>
      </c>
      <c r="N25" s="38">
        <f>IF('Security'!M16="","",'Security'!M16)</f>
        <v/>
      </c>
    </row>
    <row r="26">
      <c r="A26" s="39">
        <f>IF('Security'!A17="","",'Security'!A17)</f>
        <v/>
      </c>
      <c r="B26" s="39" t="inlineStr">
        <is>
          <t>Security</t>
        </is>
      </c>
      <c r="C26" s="39">
        <f>IF('Security'!B17="","",'Security'!B17)</f>
        <v/>
      </c>
      <c r="D26" s="39">
        <f>IF('Security'!C17="","",'Security'!C17)</f>
        <v/>
      </c>
      <c r="E26" s="39">
        <f>IF('Security'!D17="","",'Security'!D17)</f>
        <v/>
      </c>
      <c r="F26" s="39">
        <f>IF('Security'!E17="","",'Security'!E17)</f>
        <v/>
      </c>
      <c r="G26" s="40">
        <f>IF('Security'!F17="","",'Security'!F17)</f>
        <v/>
      </c>
      <c r="H26" s="40">
        <f>IF('Security'!G17="","",'Security'!G17)</f>
        <v/>
      </c>
      <c r="I26" s="39">
        <f>IF('Security'!H17="","",'Security'!H17)</f>
        <v/>
      </c>
      <c r="J26" s="40">
        <f>IF('Security'!I17="","",'Security'!I17)</f>
        <v/>
      </c>
      <c r="K26" s="39">
        <f>IF('Security'!J17="","",'Security'!J17)</f>
        <v/>
      </c>
      <c r="L26" s="39">
        <f>IF('Security'!K17="","",'Security'!K17)</f>
        <v/>
      </c>
      <c r="M26" s="39">
        <f>IF('Security'!L17="","",'Security'!L17)</f>
        <v/>
      </c>
      <c r="N26" s="40">
        <f>IF('Security'!M17="","",'Security'!M17)</f>
        <v/>
      </c>
    </row>
    <row r="27">
      <c r="A27" s="37">
        <f>IF('Security'!A18="","",'Security'!A18)</f>
        <v/>
      </c>
      <c r="B27" s="37" t="inlineStr">
        <is>
          <t>Security</t>
        </is>
      </c>
      <c r="C27" s="37">
        <f>IF('Security'!B18="","",'Security'!B18)</f>
        <v/>
      </c>
      <c r="D27" s="37">
        <f>IF('Security'!C18="","",'Security'!C18)</f>
        <v/>
      </c>
      <c r="E27" s="37">
        <f>IF('Security'!D18="","",'Security'!D18)</f>
        <v/>
      </c>
      <c r="F27" s="37">
        <f>IF('Security'!E18="","",'Security'!E18)</f>
        <v/>
      </c>
      <c r="G27" s="38">
        <f>IF('Security'!F18="","",'Security'!F18)</f>
        <v/>
      </c>
      <c r="H27" s="38">
        <f>IF('Security'!G18="","",'Security'!G18)</f>
        <v/>
      </c>
      <c r="I27" s="37">
        <f>IF('Security'!H18="","",'Security'!H18)</f>
        <v/>
      </c>
      <c r="J27" s="38">
        <f>IF('Security'!I18="","",'Security'!I18)</f>
        <v/>
      </c>
      <c r="K27" s="37">
        <f>IF('Security'!J18="","",'Security'!J18)</f>
        <v/>
      </c>
      <c r="L27" s="37">
        <f>IF('Security'!K18="","",'Security'!K18)</f>
        <v/>
      </c>
      <c r="M27" s="37">
        <f>IF('Security'!L18="","",'Security'!L18)</f>
        <v/>
      </c>
      <c r="N27" s="38">
        <f>IF('Security'!M18="","",'Security'!M18)</f>
        <v/>
      </c>
    </row>
    <row r="28">
      <c r="A28" s="39">
        <f>IF('Security'!A19="","",'Security'!A19)</f>
        <v/>
      </c>
      <c r="B28" s="39" t="inlineStr">
        <is>
          <t>Security</t>
        </is>
      </c>
      <c r="C28" s="39">
        <f>IF('Security'!B19="","",'Security'!B19)</f>
        <v/>
      </c>
      <c r="D28" s="39">
        <f>IF('Security'!C19="","",'Security'!C19)</f>
        <v/>
      </c>
      <c r="E28" s="39">
        <f>IF('Security'!D19="","",'Security'!D19)</f>
        <v/>
      </c>
      <c r="F28" s="39">
        <f>IF('Security'!E19="","",'Security'!E19)</f>
        <v/>
      </c>
      <c r="G28" s="40">
        <f>IF('Security'!F19="","",'Security'!F19)</f>
        <v/>
      </c>
      <c r="H28" s="40">
        <f>IF('Security'!G19="","",'Security'!G19)</f>
        <v/>
      </c>
      <c r="I28" s="39">
        <f>IF('Security'!H19="","",'Security'!H19)</f>
        <v/>
      </c>
      <c r="J28" s="40">
        <f>IF('Security'!I19="","",'Security'!I19)</f>
        <v/>
      </c>
      <c r="K28" s="39">
        <f>IF('Security'!J19="","",'Security'!J19)</f>
        <v/>
      </c>
      <c r="L28" s="39">
        <f>IF('Security'!K19="","",'Security'!K19)</f>
        <v/>
      </c>
      <c r="M28" s="39">
        <f>IF('Security'!L19="","",'Security'!L19)</f>
        <v/>
      </c>
      <c r="N28" s="40">
        <f>IF('Security'!M19="","",'Security'!M19)</f>
        <v/>
      </c>
    </row>
    <row r="29">
      <c r="A29" s="37">
        <f>IF('Security'!A20="","",'Security'!A20)</f>
        <v/>
      </c>
      <c r="B29" s="37" t="inlineStr">
        <is>
          <t>Security</t>
        </is>
      </c>
      <c r="C29" s="37">
        <f>IF('Security'!B20="","",'Security'!B20)</f>
        <v/>
      </c>
      <c r="D29" s="37">
        <f>IF('Security'!C20="","",'Security'!C20)</f>
        <v/>
      </c>
      <c r="E29" s="37">
        <f>IF('Security'!D20="","",'Security'!D20)</f>
        <v/>
      </c>
      <c r="F29" s="37">
        <f>IF('Security'!E20="","",'Security'!E20)</f>
        <v/>
      </c>
      <c r="G29" s="38">
        <f>IF('Security'!F20="","",'Security'!F20)</f>
        <v/>
      </c>
      <c r="H29" s="38">
        <f>IF('Security'!G20="","",'Security'!G20)</f>
        <v/>
      </c>
      <c r="I29" s="37">
        <f>IF('Security'!H20="","",'Security'!H20)</f>
        <v/>
      </c>
      <c r="J29" s="38">
        <f>IF('Security'!I20="","",'Security'!I20)</f>
        <v/>
      </c>
      <c r="K29" s="37">
        <f>IF('Security'!J20="","",'Security'!J20)</f>
        <v/>
      </c>
      <c r="L29" s="37">
        <f>IF('Security'!K20="","",'Security'!K20)</f>
        <v/>
      </c>
      <c r="M29" s="37">
        <f>IF('Security'!L20="","",'Security'!L20)</f>
        <v/>
      </c>
      <c r="N29" s="38">
        <f>IF('Security'!M20="","",'Security'!M20)</f>
        <v/>
      </c>
    </row>
    <row r="30">
      <c r="A30" s="39">
        <f>IF('Security'!A21="","",'Security'!A21)</f>
        <v/>
      </c>
      <c r="B30" s="39" t="inlineStr">
        <is>
          <t>Security</t>
        </is>
      </c>
      <c r="C30" s="39">
        <f>IF('Security'!B21="","",'Security'!B21)</f>
        <v/>
      </c>
      <c r="D30" s="39">
        <f>IF('Security'!C21="","",'Security'!C21)</f>
        <v/>
      </c>
      <c r="E30" s="39">
        <f>IF('Security'!D21="","",'Security'!D21)</f>
        <v/>
      </c>
      <c r="F30" s="39">
        <f>IF('Security'!E21="","",'Security'!E21)</f>
        <v/>
      </c>
      <c r="G30" s="40">
        <f>IF('Security'!F21="","",'Security'!F21)</f>
        <v/>
      </c>
      <c r="H30" s="40">
        <f>IF('Security'!G21="","",'Security'!G21)</f>
        <v/>
      </c>
      <c r="I30" s="39">
        <f>IF('Security'!H21="","",'Security'!H21)</f>
        <v/>
      </c>
      <c r="J30" s="40">
        <f>IF('Security'!I21="","",'Security'!I21)</f>
        <v/>
      </c>
      <c r="K30" s="39">
        <f>IF('Security'!J21="","",'Security'!J21)</f>
        <v/>
      </c>
      <c r="L30" s="39">
        <f>IF('Security'!K21="","",'Security'!K21)</f>
        <v/>
      </c>
      <c r="M30" s="39">
        <f>IF('Security'!L21="","",'Security'!L21)</f>
        <v/>
      </c>
      <c r="N30" s="40">
        <f>IF('Security'!M21="","",'Security'!M21)</f>
        <v/>
      </c>
    </row>
    <row r="31">
      <c r="A31" s="37">
        <f>IF('Compute'!A3="","",'Compute'!A3)</f>
        <v/>
      </c>
      <c r="B31" s="37" t="inlineStr">
        <is>
          <t>Compute</t>
        </is>
      </c>
      <c r="C31" s="37">
        <f>IF('Compute'!B3="","",'Compute'!B3)</f>
        <v/>
      </c>
      <c r="D31" s="37">
        <f>IF('Compute'!C3="","",'Compute'!C3)</f>
        <v/>
      </c>
      <c r="E31" s="37">
        <f>IF('Compute'!D3="","",'Compute'!D3)</f>
        <v/>
      </c>
      <c r="F31" s="37">
        <f>IF('Compute'!E3="","",'Compute'!E3)</f>
        <v/>
      </c>
      <c r="G31" s="38">
        <f>IF('Compute'!F3="","",'Compute'!F3)</f>
        <v/>
      </c>
      <c r="H31" s="38">
        <f>IF('Compute'!G3="","",'Compute'!G3)</f>
        <v/>
      </c>
      <c r="I31" s="37">
        <f>IF('Compute'!H3="","",'Compute'!H3)</f>
        <v/>
      </c>
      <c r="J31" s="38">
        <f>IF('Compute'!I3="","",'Compute'!I3)</f>
        <v/>
      </c>
      <c r="K31" s="37">
        <f>IF('Compute'!J3="","",'Compute'!J3)</f>
        <v/>
      </c>
      <c r="L31" s="37">
        <f>IF('Compute'!K3="","",'Compute'!K3)</f>
        <v/>
      </c>
      <c r="M31" s="37">
        <f>IF('Compute'!L3="","",'Compute'!L3)</f>
        <v/>
      </c>
      <c r="N31" s="38">
        <f>IF('Compute'!M3="","",'Compute'!M3)</f>
        <v/>
      </c>
    </row>
    <row r="32">
      <c r="A32" s="39">
        <f>IF('Compute'!A4="","",'Compute'!A4)</f>
        <v/>
      </c>
      <c r="B32" s="39" t="inlineStr">
        <is>
          <t>Compute</t>
        </is>
      </c>
      <c r="C32" s="39">
        <f>IF('Compute'!B4="","",'Compute'!B4)</f>
        <v/>
      </c>
      <c r="D32" s="39">
        <f>IF('Compute'!C4="","",'Compute'!C4)</f>
        <v/>
      </c>
      <c r="E32" s="39">
        <f>IF('Compute'!D4="","",'Compute'!D4)</f>
        <v/>
      </c>
      <c r="F32" s="39">
        <f>IF('Compute'!E4="","",'Compute'!E4)</f>
        <v/>
      </c>
      <c r="G32" s="40">
        <f>IF('Compute'!F4="","",'Compute'!F4)</f>
        <v/>
      </c>
      <c r="H32" s="40">
        <f>IF('Compute'!G4="","",'Compute'!G4)</f>
        <v/>
      </c>
      <c r="I32" s="39">
        <f>IF('Compute'!H4="","",'Compute'!H4)</f>
        <v/>
      </c>
      <c r="J32" s="40">
        <f>IF('Compute'!I4="","",'Compute'!I4)</f>
        <v/>
      </c>
      <c r="K32" s="39">
        <f>IF('Compute'!J4="","",'Compute'!J4)</f>
        <v/>
      </c>
      <c r="L32" s="39">
        <f>IF('Compute'!K4="","",'Compute'!K4)</f>
        <v/>
      </c>
      <c r="M32" s="39">
        <f>IF('Compute'!L4="","",'Compute'!L4)</f>
        <v/>
      </c>
      <c r="N32" s="40">
        <f>IF('Compute'!M4="","",'Compute'!M4)</f>
        <v/>
      </c>
    </row>
    <row r="33">
      <c r="A33" s="37">
        <f>IF('Compute'!A5="","",'Compute'!A5)</f>
        <v/>
      </c>
      <c r="B33" s="37" t="inlineStr">
        <is>
          <t>Compute</t>
        </is>
      </c>
      <c r="C33" s="37">
        <f>IF('Compute'!B5="","",'Compute'!B5)</f>
        <v/>
      </c>
      <c r="D33" s="37">
        <f>IF('Compute'!C5="","",'Compute'!C5)</f>
        <v/>
      </c>
      <c r="E33" s="37">
        <f>IF('Compute'!D5="","",'Compute'!D5)</f>
        <v/>
      </c>
      <c r="F33" s="37">
        <f>IF('Compute'!E5="","",'Compute'!E5)</f>
        <v/>
      </c>
      <c r="G33" s="38">
        <f>IF('Compute'!F5="","",'Compute'!F5)</f>
        <v/>
      </c>
      <c r="H33" s="38">
        <f>IF('Compute'!G5="","",'Compute'!G5)</f>
        <v/>
      </c>
      <c r="I33" s="37">
        <f>IF('Compute'!H5="","",'Compute'!H5)</f>
        <v/>
      </c>
      <c r="J33" s="38">
        <f>IF('Compute'!I5="","",'Compute'!I5)</f>
        <v/>
      </c>
      <c r="K33" s="37">
        <f>IF('Compute'!J5="","",'Compute'!J5)</f>
        <v/>
      </c>
      <c r="L33" s="37">
        <f>IF('Compute'!K5="","",'Compute'!K5)</f>
        <v/>
      </c>
      <c r="M33" s="37">
        <f>IF('Compute'!L5="","",'Compute'!L5)</f>
        <v/>
      </c>
      <c r="N33" s="38">
        <f>IF('Compute'!M5="","",'Compute'!M5)</f>
        <v/>
      </c>
    </row>
    <row r="34">
      <c r="A34" s="39">
        <f>IF('Compute'!A6="","",'Compute'!A6)</f>
        <v/>
      </c>
      <c r="B34" s="39" t="inlineStr">
        <is>
          <t>Compute</t>
        </is>
      </c>
      <c r="C34" s="39">
        <f>IF('Compute'!B6="","",'Compute'!B6)</f>
        <v/>
      </c>
      <c r="D34" s="39">
        <f>IF('Compute'!C6="","",'Compute'!C6)</f>
        <v/>
      </c>
      <c r="E34" s="39">
        <f>IF('Compute'!D6="","",'Compute'!D6)</f>
        <v/>
      </c>
      <c r="F34" s="39">
        <f>IF('Compute'!E6="","",'Compute'!E6)</f>
        <v/>
      </c>
      <c r="G34" s="40">
        <f>IF('Compute'!F6="","",'Compute'!F6)</f>
        <v/>
      </c>
      <c r="H34" s="40">
        <f>IF('Compute'!G6="","",'Compute'!G6)</f>
        <v/>
      </c>
      <c r="I34" s="39">
        <f>IF('Compute'!H6="","",'Compute'!H6)</f>
        <v/>
      </c>
      <c r="J34" s="40">
        <f>IF('Compute'!I6="","",'Compute'!I6)</f>
        <v/>
      </c>
      <c r="K34" s="39">
        <f>IF('Compute'!J6="","",'Compute'!J6)</f>
        <v/>
      </c>
      <c r="L34" s="39">
        <f>IF('Compute'!K6="","",'Compute'!K6)</f>
        <v/>
      </c>
      <c r="M34" s="39">
        <f>IF('Compute'!L6="","",'Compute'!L6)</f>
        <v/>
      </c>
      <c r="N34" s="40">
        <f>IF('Compute'!M6="","",'Compute'!M6)</f>
        <v/>
      </c>
    </row>
    <row r="35">
      <c r="A35" s="37">
        <f>IF('Compute'!A7="","",'Compute'!A7)</f>
        <v/>
      </c>
      <c r="B35" s="37" t="inlineStr">
        <is>
          <t>Compute</t>
        </is>
      </c>
      <c r="C35" s="37">
        <f>IF('Compute'!B7="","",'Compute'!B7)</f>
        <v/>
      </c>
      <c r="D35" s="37">
        <f>IF('Compute'!C7="","",'Compute'!C7)</f>
        <v/>
      </c>
      <c r="E35" s="37">
        <f>IF('Compute'!D7="","",'Compute'!D7)</f>
        <v/>
      </c>
      <c r="F35" s="37">
        <f>IF('Compute'!E7="","",'Compute'!E7)</f>
        <v/>
      </c>
      <c r="G35" s="38">
        <f>IF('Compute'!F7="","",'Compute'!F7)</f>
        <v/>
      </c>
      <c r="H35" s="38">
        <f>IF('Compute'!G7="","",'Compute'!G7)</f>
        <v/>
      </c>
      <c r="I35" s="37">
        <f>IF('Compute'!H7="","",'Compute'!H7)</f>
        <v/>
      </c>
      <c r="J35" s="38">
        <f>IF('Compute'!I7="","",'Compute'!I7)</f>
        <v/>
      </c>
      <c r="K35" s="37">
        <f>IF('Compute'!J7="","",'Compute'!J7)</f>
        <v/>
      </c>
      <c r="L35" s="37">
        <f>IF('Compute'!K7="","",'Compute'!K7)</f>
        <v/>
      </c>
      <c r="M35" s="37">
        <f>IF('Compute'!L7="","",'Compute'!L7)</f>
        <v/>
      </c>
      <c r="N35" s="38">
        <f>IF('Compute'!M7="","",'Compute'!M7)</f>
        <v/>
      </c>
    </row>
    <row r="36">
      <c r="A36" s="39">
        <f>IF('Compute'!A8="","",'Compute'!A8)</f>
        <v/>
      </c>
      <c r="B36" s="39" t="inlineStr">
        <is>
          <t>Compute</t>
        </is>
      </c>
      <c r="C36" s="39">
        <f>IF('Compute'!B8="","",'Compute'!B8)</f>
        <v/>
      </c>
      <c r="D36" s="39">
        <f>IF('Compute'!C8="","",'Compute'!C8)</f>
        <v/>
      </c>
      <c r="E36" s="39">
        <f>IF('Compute'!D8="","",'Compute'!D8)</f>
        <v/>
      </c>
      <c r="F36" s="39">
        <f>IF('Compute'!E8="","",'Compute'!E8)</f>
        <v/>
      </c>
      <c r="G36" s="40">
        <f>IF('Compute'!F8="","",'Compute'!F8)</f>
        <v/>
      </c>
      <c r="H36" s="40">
        <f>IF('Compute'!G8="","",'Compute'!G8)</f>
        <v/>
      </c>
      <c r="I36" s="39">
        <f>IF('Compute'!H8="","",'Compute'!H8)</f>
        <v/>
      </c>
      <c r="J36" s="40">
        <f>IF('Compute'!I8="","",'Compute'!I8)</f>
        <v/>
      </c>
      <c r="K36" s="39">
        <f>IF('Compute'!J8="","",'Compute'!J8)</f>
        <v/>
      </c>
      <c r="L36" s="39">
        <f>IF('Compute'!K8="","",'Compute'!K8)</f>
        <v/>
      </c>
      <c r="M36" s="39">
        <f>IF('Compute'!L8="","",'Compute'!L8)</f>
        <v/>
      </c>
      <c r="N36" s="40">
        <f>IF('Compute'!M8="","",'Compute'!M8)</f>
        <v/>
      </c>
    </row>
    <row r="37">
      <c r="A37" s="37">
        <f>IF('Compute'!A9="","",'Compute'!A9)</f>
        <v/>
      </c>
      <c r="B37" s="37" t="inlineStr">
        <is>
          <t>Compute</t>
        </is>
      </c>
      <c r="C37" s="37">
        <f>IF('Compute'!B9="","",'Compute'!B9)</f>
        <v/>
      </c>
      <c r="D37" s="37">
        <f>IF('Compute'!C9="","",'Compute'!C9)</f>
        <v/>
      </c>
      <c r="E37" s="37">
        <f>IF('Compute'!D9="","",'Compute'!D9)</f>
        <v/>
      </c>
      <c r="F37" s="37">
        <f>IF('Compute'!E9="","",'Compute'!E9)</f>
        <v/>
      </c>
      <c r="G37" s="38">
        <f>IF('Compute'!F9="","",'Compute'!F9)</f>
        <v/>
      </c>
      <c r="H37" s="38">
        <f>IF('Compute'!G9="","",'Compute'!G9)</f>
        <v/>
      </c>
      <c r="I37" s="37">
        <f>IF('Compute'!H9="","",'Compute'!H9)</f>
        <v/>
      </c>
      <c r="J37" s="38">
        <f>IF('Compute'!I9="","",'Compute'!I9)</f>
        <v/>
      </c>
      <c r="K37" s="37">
        <f>IF('Compute'!J9="","",'Compute'!J9)</f>
        <v/>
      </c>
      <c r="L37" s="37">
        <f>IF('Compute'!K9="","",'Compute'!K9)</f>
        <v/>
      </c>
      <c r="M37" s="37">
        <f>IF('Compute'!L9="","",'Compute'!L9)</f>
        <v/>
      </c>
      <c r="N37" s="38">
        <f>IF('Compute'!M9="","",'Compute'!M9)</f>
        <v/>
      </c>
    </row>
    <row r="38">
      <c r="A38" s="39">
        <f>IF('Compute'!A10="","",'Compute'!A10)</f>
        <v/>
      </c>
      <c r="B38" s="39" t="inlineStr">
        <is>
          <t>Compute</t>
        </is>
      </c>
      <c r="C38" s="39">
        <f>IF('Compute'!B10="","",'Compute'!B10)</f>
        <v/>
      </c>
      <c r="D38" s="39">
        <f>IF('Compute'!C10="","",'Compute'!C10)</f>
        <v/>
      </c>
      <c r="E38" s="39">
        <f>IF('Compute'!D10="","",'Compute'!D10)</f>
        <v/>
      </c>
      <c r="F38" s="39">
        <f>IF('Compute'!E10="","",'Compute'!E10)</f>
        <v/>
      </c>
      <c r="G38" s="40">
        <f>IF('Compute'!F10="","",'Compute'!F10)</f>
        <v/>
      </c>
      <c r="H38" s="40">
        <f>IF('Compute'!G10="","",'Compute'!G10)</f>
        <v/>
      </c>
      <c r="I38" s="39">
        <f>IF('Compute'!H10="","",'Compute'!H10)</f>
        <v/>
      </c>
      <c r="J38" s="40">
        <f>IF('Compute'!I10="","",'Compute'!I10)</f>
        <v/>
      </c>
      <c r="K38" s="39">
        <f>IF('Compute'!J10="","",'Compute'!J10)</f>
        <v/>
      </c>
      <c r="L38" s="39">
        <f>IF('Compute'!K10="","",'Compute'!K10)</f>
        <v/>
      </c>
      <c r="M38" s="39">
        <f>IF('Compute'!L10="","",'Compute'!L10)</f>
        <v/>
      </c>
      <c r="N38" s="40">
        <f>IF('Compute'!M10="","",'Compute'!M10)</f>
        <v/>
      </c>
    </row>
    <row r="39">
      <c r="A39" s="37">
        <f>IF('Compute'!A11="","",'Compute'!A11)</f>
        <v/>
      </c>
      <c r="B39" s="37" t="inlineStr">
        <is>
          <t>Compute</t>
        </is>
      </c>
      <c r="C39" s="37">
        <f>IF('Compute'!B11="","",'Compute'!B11)</f>
        <v/>
      </c>
      <c r="D39" s="37">
        <f>IF('Compute'!C11="","",'Compute'!C11)</f>
        <v/>
      </c>
      <c r="E39" s="37">
        <f>IF('Compute'!D11="","",'Compute'!D11)</f>
        <v/>
      </c>
      <c r="F39" s="37">
        <f>IF('Compute'!E11="","",'Compute'!E11)</f>
        <v/>
      </c>
      <c r="G39" s="38">
        <f>IF('Compute'!F11="","",'Compute'!F11)</f>
        <v/>
      </c>
      <c r="H39" s="38">
        <f>IF('Compute'!G11="","",'Compute'!G11)</f>
        <v/>
      </c>
      <c r="I39" s="37">
        <f>IF('Compute'!H11="","",'Compute'!H11)</f>
        <v/>
      </c>
      <c r="J39" s="38">
        <f>IF('Compute'!I11="","",'Compute'!I11)</f>
        <v/>
      </c>
      <c r="K39" s="37">
        <f>IF('Compute'!J11="","",'Compute'!J11)</f>
        <v/>
      </c>
      <c r="L39" s="37">
        <f>IF('Compute'!K11="","",'Compute'!K11)</f>
        <v/>
      </c>
      <c r="M39" s="37">
        <f>IF('Compute'!L11="","",'Compute'!L11)</f>
        <v/>
      </c>
      <c r="N39" s="38">
        <f>IF('Compute'!M11="","",'Compute'!M11)</f>
        <v/>
      </c>
    </row>
    <row r="40">
      <c r="A40" s="39">
        <f>IF('Compute'!A12="","",'Compute'!A12)</f>
        <v/>
      </c>
      <c r="B40" s="39" t="inlineStr">
        <is>
          <t>Compute</t>
        </is>
      </c>
      <c r="C40" s="39">
        <f>IF('Compute'!B12="","",'Compute'!B12)</f>
        <v/>
      </c>
      <c r="D40" s="39">
        <f>IF('Compute'!C12="","",'Compute'!C12)</f>
        <v/>
      </c>
      <c r="E40" s="39">
        <f>IF('Compute'!D12="","",'Compute'!D12)</f>
        <v/>
      </c>
      <c r="F40" s="39">
        <f>IF('Compute'!E12="","",'Compute'!E12)</f>
        <v/>
      </c>
      <c r="G40" s="40">
        <f>IF('Compute'!F12="","",'Compute'!F12)</f>
        <v/>
      </c>
      <c r="H40" s="40">
        <f>IF('Compute'!G12="","",'Compute'!G12)</f>
        <v/>
      </c>
      <c r="I40" s="39">
        <f>IF('Compute'!H12="","",'Compute'!H12)</f>
        <v/>
      </c>
      <c r="J40" s="40">
        <f>IF('Compute'!I12="","",'Compute'!I12)</f>
        <v/>
      </c>
      <c r="K40" s="39">
        <f>IF('Compute'!J12="","",'Compute'!J12)</f>
        <v/>
      </c>
      <c r="L40" s="39">
        <f>IF('Compute'!K12="","",'Compute'!K12)</f>
        <v/>
      </c>
      <c r="M40" s="39">
        <f>IF('Compute'!L12="","",'Compute'!L12)</f>
        <v/>
      </c>
      <c r="N40" s="40">
        <f>IF('Compute'!M12="","",'Compute'!M12)</f>
        <v/>
      </c>
    </row>
    <row r="41">
      <c r="A41" s="37">
        <f>IF('Compute'!A13="","",'Compute'!A13)</f>
        <v/>
      </c>
      <c r="B41" s="37" t="inlineStr">
        <is>
          <t>Compute</t>
        </is>
      </c>
      <c r="C41" s="37">
        <f>IF('Compute'!B13="","",'Compute'!B13)</f>
        <v/>
      </c>
      <c r="D41" s="37">
        <f>IF('Compute'!C13="","",'Compute'!C13)</f>
        <v/>
      </c>
      <c r="E41" s="37">
        <f>IF('Compute'!D13="","",'Compute'!D13)</f>
        <v/>
      </c>
      <c r="F41" s="37">
        <f>IF('Compute'!E13="","",'Compute'!E13)</f>
        <v/>
      </c>
      <c r="G41" s="38">
        <f>IF('Compute'!F13="","",'Compute'!F13)</f>
        <v/>
      </c>
      <c r="H41" s="38">
        <f>IF('Compute'!G13="","",'Compute'!G13)</f>
        <v/>
      </c>
      <c r="I41" s="37">
        <f>IF('Compute'!H13="","",'Compute'!H13)</f>
        <v/>
      </c>
      <c r="J41" s="38">
        <f>IF('Compute'!I13="","",'Compute'!I13)</f>
        <v/>
      </c>
      <c r="K41" s="37">
        <f>IF('Compute'!J13="","",'Compute'!J13)</f>
        <v/>
      </c>
      <c r="L41" s="37">
        <f>IF('Compute'!K13="","",'Compute'!K13)</f>
        <v/>
      </c>
      <c r="M41" s="37">
        <f>IF('Compute'!L13="","",'Compute'!L13)</f>
        <v/>
      </c>
      <c r="N41" s="38">
        <f>IF('Compute'!M13="","",'Compute'!M13)</f>
        <v/>
      </c>
    </row>
    <row r="42">
      <c r="A42" s="39">
        <f>IF('Storage'!A3="","",'Storage'!A3)</f>
        <v/>
      </c>
      <c r="B42" s="39" t="inlineStr">
        <is>
          <t>Storage</t>
        </is>
      </c>
      <c r="C42" s="39">
        <f>IF('Storage'!B3="","",'Storage'!B3)</f>
        <v/>
      </c>
      <c r="D42" s="39">
        <f>IF('Storage'!C3="","",'Storage'!C3)</f>
        <v/>
      </c>
      <c r="E42" s="39">
        <f>IF('Storage'!D3="","",'Storage'!D3)</f>
        <v/>
      </c>
      <c r="F42" s="39">
        <f>IF('Storage'!E3="","",'Storage'!E3)</f>
        <v/>
      </c>
      <c r="G42" s="40">
        <f>IF('Storage'!F3="","",'Storage'!F3)</f>
        <v/>
      </c>
      <c r="H42" s="40">
        <f>IF('Storage'!G3="","",'Storage'!G3)</f>
        <v/>
      </c>
      <c r="I42" s="39">
        <f>IF('Storage'!H3="","",'Storage'!H3)</f>
        <v/>
      </c>
      <c r="J42" s="40">
        <f>IF('Storage'!I3="","",'Storage'!I3)</f>
        <v/>
      </c>
      <c r="K42" s="39">
        <f>IF('Storage'!J3="","",'Storage'!J3)</f>
        <v/>
      </c>
      <c r="L42" s="39">
        <f>IF('Storage'!K3="","",'Storage'!K3)</f>
        <v/>
      </c>
      <c r="M42" s="39">
        <f>IF('Storage'!L3="","",'Storage'!L3)</f>
        <v/>
      </c>
      <c r="N42" s="40">
        <f>IF('Storage'!M3="","",'Storage'!M3)</f>
        <v/>
      </c>
    </row>
    <row r="43">
      <c r="A43" s="37">
        <f>IF('Storage'!A4="","",'Storage'!A4)</f>
        <v/>
      </c>
      <c r="B43" s="37" t="inlineStr">
        <is>
          <t>Storage</t>
        </is>
      </c>
      <c r="C43" s="37">
        <f>IF('Storage'!B4="","",'Storage'!B4)</f>
        <v/>
      </c>
      <c r="D43" s="37">
        <f>IF('Storage'!C4="","",'Storage'!C4)</f>
        <v/>
      </c>
      <c r="E43" s="37">
        <f>IF('Storage'!D4="","",'Storage'!D4)</f>
        <v/>
      </c>
      <c r="F43" s="37">
        <f>IF('Storage'!E4="","",'Storage'!E4)</f>
        <v/>
      </c>
      <c r="G43" s="38">
        <f>IF('Storage'!F4="","",'Storage'!F4)</f>
        <v/>
      </c>
      <c r="H43" s="38">
        <f>IF('Storage'!G4="","",'Storage'!G4)</f>
        <v/>
      </c>
      <c r="I43" s="37">
        <f>IF('Storage'!H4="","",'Storage'!H4)</f>
        <v/>
      </c>
      <c r="J43" s="38">
        <f>IF('Storage'!I4="","",'Storage'!I4)</f>
        <v/>
      </c>
      <c r="K43" s="37">
        <f>IF('Storage'!J4="","",'Storage'!J4)</f>
        <v/>
      </c>
      <c r="L43" s="37">
        <f>IF('Storage'!K4="","",'Storage'!K4)</f>
        <v/>
      </c>
      <c r="M43" s="37">
        <f>IF('Storage'!L4="","",'Storage'!L4)</f>
        <v/>
      </c>
      <c r="N43" s="38">
        <f>IF('Storage'!M4="","",'Storage'!M4)</f>
        <v/>
      </c>
    </row>
    <row r="44">
      <c r="A44" s="39">
        <f>IF('Storage'!A5="","",'Storage'!A5)</f>
        <v/>
      </c>
      <c r="B44" s="39" t="inlineStr">
        <is>
          <t>Storage</t>
        </is>
      </c>
      <c r="C44" s="39">
        <f>IF('Storage'!B5="","",'Storage'!B5)</f>
        <v/>
      </c>
      <c r="D44" s="39">
        <f>IF('Storage'!C5="","",'Storage'!C5)</f>
        <v/>
      </c>
      <c r="E44" s="39">
        <f>IF('Storage'!D5="","",'Storage'!D5)</f>
        <v/>
      </c>
      <c r="F44" s="39">
        <f>IF('Storage'!E5="","",'Storage'!E5)</f>
        <v/>
      </c>
      <c r="G44" s="40">
        <f>IF('Storage'!F5="","",'Storage'!F5)</f>
        <v/>
      </c>
      <c r="H44" s="40">
        <f>IF('Storage'!G5="","",'Storage'!G5)</f>
        <v/>
      </c>
      <c r="I44" s="39">
        <f>IF('Storage'!H5="","",'Storage'!H5)</f>
        <v/>
      </c>
      <c r="J44" s="40">
        <f>IF('Storage'!I5="","",'Storage'!I5)</f>
        <v/>
      </c>
      <c r="K44" s="39">
        <f>IF('Storage'!J5="","",'Storage'!J5)</f>
        <v/>
      </c>
      <c r="L44" s="39">
        <f>IF('Storage'!K5="","",'Storage'!K5)</f>
        <v/>
      </c>
      <c r="M44" s="39">
        <f>IF('Storage'!L5="","",'Storage'!L5)</f>
        <v/>
      </c>
      <c r="N44" s="40">
        <f>IF('Storage'!M5="","",'Storage'!M5)</f>
        <v/>
      </c>
    </row>
    <row r="45">
      <c r="A45" s="37">
        <f>IF('Storage'!A6="","",'Storage'!A6)</f>
        <v/>
      </c>
      <c r="B45" s="37" t="inlineStr">
        <is>
          <t>Storage</t>
        </is>
      </c>
      <c r="C45" s="37">
        <f>IF('Storage'!B6="","",'Storage'!B6)</f>
        <v/>
      </c>
      <c r="D45" s="37">
        <f>IF('Storage'!C6="","",'Storage'!C6)</f>
        <v/>
      </c>
      <c r="E45" s="37">
        <f>IF('Storage'!D6="","",'Storage'!D6)</f>
        <v/>
      </c>
      <c r="F45" s="37">
        <f>IF('Storage'!E6="","",'Storage'!E6)</f>
        <v/>
      </c>
      <c r="G45" s="38">
        <f>IF('Storage'!F6="","",'Storage'!F6)</f>
        <v/>
      </c>
      <c r="H45" s="38">
        <f>IF('Storage'!G6="","",'Storage'!G6)</f>
        <v/>
      </c>
      <c r="I45" s="37">
        <f>IF('Storage'!H6="","",'Storage'!H6)</f>
        <v/>
      </c>
      <c r="J45" s="38">
        <f>IF('Storage'!I6="","",'Storage'!I6)</f>
        <v/>
      </c>
      <c r="K45" s="37">
        <f>IF('Storage'!J6="","",'Storage'!J6)</f>
        <v/>
      </c>
      <c r="L45" s="37">
        <f>IF('Storage'!K6="","",'Storage'!K6)</f>
        <v/>
      </c>
      <c r="M45" s="37">
        <f>IF('Storage'!L6="","",'Storage'!L6)</f>
        <v/>
      </c>
      <c r="N45" s="38">
        <f>IF('Storage'!M6="","",'Storage'!M6)</f>
        <v/>
      </c>
    </row>
    <row r="46">
      <c r="A46" s="39">
        <f>IF('Storage'!A7="","",'Storage'!A7)</f>
        <v/>
      </c>
      <c r="B46" s="39" t="inlineStr">
        <is>
          <t>Storage</t>
        </is>
      </c>
      <c r="C46" s="39">
        <f>IF('Storage'!B7="","",'Storage'!B7)</f>
        <v/>
      </c>
      <c r="D46" s="39">
        <f>IF('Storage'!C7="","",'Storage'!C7)</f>
        <v/>
      </c>
      <c r="E46" s="39">
        <f>IF('Storage'!D7="","",'Storage'!D7)</f>
        <v/>
      </c>
      <c r="F46" s="39">
        <f>IF('Storage'!E7="","",'Storage'!E7)</f>
        <v/>
      </c>
      <c r="G46" s="40">
        <f>IF('Storage'!F7="","",'Storage'!F7)</f>
        <v/>
      </c>
      <c r="H46" s="40">
        <f>IF('Storage'!G7="","",'Storage'!G7)</f>
        <v/>
      </c>
      <c r="I46" s="39">
        <f>IF('Storage'!H7="","",'Storage'!H7)</f>
        <v/>
      </c>
      <c r="J46" s="40">
        <f>IF('Storage'!I7="","",'Storage'!I7)</f>
        <v/>
      </c>
      <c r="K46" s="39">
        <f>IF('Storage'!J7="","",'Storage'!J7)</f>
        <v/>
      </c>
      <c r="L46" s="39">
        <f>IF('Storage'!K7="","",'Storage'!K7)</f>
        <v/>
      </c>
      <c r="M46" s="39">
        <f>IF('Storage'!L7="","",'Storage'!L7)</f>
        <v/>
      </c>
      <c r="N46" s="40">
        <f>IF('Storage'!M7="","",'Storage'!M7)</f>
        <v/>
      </c>
    </row>
    <row r="47">
      <c r="A47" s="37">
        <f>IF('Storage'!A8="","",'Storage'!A8)</f>
        <v/>
      </c>
      <c r="B47" s="37" t="inlineStr">
        <is>
          <t>Storage</t>
        </is>
      </c>
      <c r="C47" s="37">
        <f>IF('Storage'!B8="","",'Storage'!B8)</f>
        <v/>
      </c>
      <c r="D47" s="37">
        <f>IF('Storage'!C8="","",'Storage'!C8)</f>
        <v/>
      </c>
      <c r="E47" s="37">
        <f>IF('Storage'!D8="","",'Storage'!D8)</f>
        <v/>
      </c>
      <c r="F47" s="37">
        <f>IF('Storage'!E8="","",'Storage'!E8)</f>
        <v/>
      </c>
      <c r="G47" s="38">
        <f>IF('Storage'!F8="","",'Storage'!F8)</f>
        <v/>
      </c>
      <c r="H47" s="38">
        <f>IF('Storage'!G8="","",'Storage'!G8)</f>
        <v/>
      </c>
      <c r="I47" s="37">
        <f>IF('Storage'!H8="","",'Storage'!H8)</f>
        <v/>
      </c>
      <c r="J47" s="38">
        <f>IF('Storage'!I8="","",'Storage'!I8)</f>
        <v/>
      </c>
      <c r="K47" s="37">
        <f>IF('Storage'!J8="","",'Storage'!J8)</f>
        <v/>
      </c>
      <c r="L47" s="37">
        <f>IF('Storage'!K8="","",'Storage'!K8)</f>
        <v/>
      </c>
      <c r="M47" s="37">
        <f>IF('Storage'!L8="","",'Storage'!L8)</f>
        <v/>
      </c>
      <c r="N47" s="38">
        <f>IF('Storage'!M8="","",'Storage'!M8)</f>
        <v/>
      </c>
    </row>
    <row r="48">
      <c r="A48" s="39">
        <f>IF('Database'!A3="","",'Database'!A3)</f>
        <v/>
      </c>
      <c r="B48" s="39" t="inlineStr">
        <is>
          <t>Database</t>
        </is>
      </c>
      <c r="C48" s="39">
        <f>IF('Database'!B3="","",'Database'!B3)</f>
        <v/>
      </c>
      <c r="D48" s="39">
        <f>IF('Database'!C3="","",'Database'!C3)</f>
        <v/>
      </c>
      <c r="E48" s="39">
        <f>IF('Database'!D3="","",'Database'!D3)</f>
        <v/>
      </c>
      <c r="F48" s="39">
        <f>IF('Database'!E3="","",'Database'!E3)</f>
        <v/>
      </c>
      <c r="G48" s="40">
        <f>IF('Database'!F3="","",'Database'!F3)</f>
        <v/>
      </c>
      <c r="H48" s="40">
        <f>IF('Database'!G3="","",'Database'!G3)</f>
        <v/>
      </c>
      <c r="I48" s="39">
        <f>IF('Database'!H3="","",'Database'!H3)</f>
        <v/>
      </c>
      <c r="J48" s="40">
        <f>IF('Database'!I3="","",'Database'!I3)</f>
        <v/>
      </c>
      <c r="K48" s="39">
        <f>IF('Database'!J3="","",'Database'!J3)</f>
        <v/>
      </c>
      <c r="L48" s="39">
        <f>IF('Database'!K3="","",'Database'!K3)</f>
        <v/>
      </c>
      <c r="M48" s="39">
        <f>IF('Database'!L3="","",'Database'!L3)</f>
        <v/>
      </c>
      <c r="N48" s="40">
        <f>IF('Database'!M3="","",'Database'!M3)</f>
        <v/>
      </c>
    </row>
    <row r="49">
      <c r="A49" s="37">
        <f>IF('Database'!A4="","",'Database'!A4)</f>
        <v/>
      </c>
      <c r="B49" s="37" t="inlineStr">
        <is>
          <t>Database</t>
        </is>
      </c>
      <c r="C49" s="37">
        <f>IF('Database'!B4="","",'Database'!B4)</f>
        <v/>
      </c>
      <c r="D49" s="37">
        <f>IF('Database'!C4="","",'Database'!C4)</f>
        <v/>
      </c>
      <c r="E49" s="37">
        <f>IF('Database'!D4="","",'Database'!D4)</f>
        <v/>
      </c>
      <c r="F49" s="37">
        <f>IF('Database'!E4="","",'Database'!E4)</f>
        <v/>
      </c>
      <c r="G49" s="38">
        <f>IF('Database'!F4="","",'Database'!F4)</f>
        <v/>
      </c>
      <c r="H49" s="38">
        <f>IF('Database'!G4="","",'Database'!G4)</f>
        <v/>
      </c>
      <c r="I49" s="37">
        <f>IF('Database'!H4="","",'Database'!H4)</f>
        <v/>
      </c>
      <c r="J49" s="38">
        <f>IF('Database'!I4="","",'Database'!I4)</f>
        <v/>
      </c>
      <c r="K49" s="37">
        <f>IF('Database'!J4="","",'Database'!J4)</f>
        <v/>
      </c>
      <c r="L49" s="37">
        <f>IF('Database'!K4="","",'Database'!K4)</f>
        <v/>
      </c>
      <c r="M49" s="37">
        <f>IF('Database'!L4="","",'Database'!L4)</f>
        <v/>
      </c>
      <c r="N49" s="38">
        <f>IF('Database'!M4="","",'Database'!M4)</f>
        <v/>
      </c>
    </row>
    <row r="50">
      <c r="A50" s="39">
        <f>IF('Database'!A5="","",'Database'!A5)</f>
        <v/>
      </c>
      <c r="B50" s="39" t="inlineStr">
        <is>
          <t>Database</t>
        </is>
      </c>
      <c r="C50" s="39">
        <f>IF('Database'!B5="","",'Database'!B5)</f>
        <v/>
      </c>
      <c r="D50" s="39">
        <f>IF('Database'!C5="","",'Database'!C5)</f>
        <v/>
      </c>
      <c r="E50" s="39">
        <f>IF('Database'!D5="","",'Database'!D5)</f>
        <v/>
      </c>
      <c r="F50" s="39">
        <f>IF('Database'!E5="","",'Database'!E5)</f>
        <v/>
      </c>
      <c r="G50" s="40">
        <f>IF('Database'!F5="","",'Database'!F5)</f>
        <v/>
      </c>
      <c r="H50" s="40">
        <f>IF('Database'!G5="","",'Database'!G5)</f>
        <v/>
      </c>
      <c r="I50" s="39">
        <f>IF('Database'!H5="","",'Database'!H5)</f>
        <v/>
      </c>
      <c r="J50" s="40">
        <f>IF('Database'!I5="","",'Database'!I5)</f>
        <v/>
      </c>
      <c r="K50" s="39">
        <f>IF('Database'!J5="","",'Database'!J5)</f>
        <v/>
      </c>
      <c r="L50" s="39">
        <f>IF('Database'!K5="","",'Database'!K5)</f>
        <v/>
      </c>
      <c r="M50" s="39">
        <f>IF('Database'!L5="","",'Database'!L5)</f>
        <v/>
      </c>
      <c r="N50" s="40">
        <f>IF('Database'!M5="","",'Database'!M5)</f>
        <v/>
      </c>
    </row>
    <row r="51">
      <c r="A51" s="37">
        <f>IF('Database'!A6="","",'Database'!A6)</f>
        <v/>
      </c>
      <c r="B51" s="37" t="inlineStr">
        <is>
          <t>Database</t>
        </is>
      </c>
      <c r="C51" s="37">
        <f>IF('Database'!B6="","",'Database'!B6)</f>
        <v/>
      </c>
      <c r="D51" s="37">
        <f>IF('Database'!C6="","",'Database'!C6)</f>
        <v/>
      </c>
      <c r="E51" s="37">
        <f>IF('Database'!D6="","",'Database'!D6)</f>
        <v/>
      </c>
      <c r="F51" s="37">
        <f>IF('Database'!E6="","",'Database'!E6)</f>
        <v/>
      </c>
      <c r="G51" s="38">
        <f>IF('Database'!F6="","",'Database'!F6)</f>
        <v/>
      </c>
      <c r="H51" s="38">
        <f>IF('Database'!G6="","",'Database'!G6)</f>
        <v/>
      </c>
      <c r="I51" s="37">
        <f>IF('Database'!H6="","",'Database'!H6)</f>
        <v/>
      </c>
      <c r="J51" s="38">
        <f>IF('Database'!I6="","",'Database'!I6)</f>
        <v/>
      </c>
      <c r="K51" s="37">
        <f>IF('Database'!J6="","",'Database'!J6)</f>
        <v/>
      </c>
      <c r="L51" s="37">
        <f>IF('Database'!K6="","",'Database'!K6)</f>
        <v/>
      </c>
      <c r="M51" s="37">
        <f>IF('Database'!L6="","",'Database'!L6)</f>
        <v/>
      </c>
      <c r="N51" s="38">
        <f>IF('Database'!M6="","",'Database'!M6)</f>
        <v/>
      </c>
    </row>
    <row r="52">
      <c r="A52" s="39">
        <f>IF('Database'!A7="","",'Database'!A7)</f>
        <v/>
      </c>
      <c r="B52" s="39" t="inlineStr">
        <is>
          <t>Database</t>
        </is>
      </c>
      <c r="C52" s="39">
        <f>IF('Database'!B7="","",'Database'!B7)</f>
        <v/>
      </c>
      <c r="D52" s="39">
        <f>IF('Database'!C7="","",'Database'!C7)</f>
        <v/>
      </c>
      <c r="E52" s="39">
        <f>IF('Database'!D7="","",'Database'!D7)</f>
        <v/>
      </c>
      <c r="F52" s="39">
        <f>IF('Database'!E7="","",'Database'!E7)</f>
        <v/>
      </c>
      <c r="G52" s="40">
        <f>IF('Database'!F7="","",'Database'!F7)</f>
        <v/>
      </c>
      <c r="H52" s="40">
        <f>IF('Database'!G7="","",'Database'!G7)</f>
        <v/>
      </c>
      <c r="I52" s="39">
        <f>IF('Database'!H7="","",'Database'!H7)</f>
        <v/>
      </c>
      <c r="J52" s="40">
        <f>IF('Database'!I7="","",'Database'!I7)</f>
        <v/>
      </c>
      <c r="K52" s="39">
        <f>IF('Database'!J7="","",'Database'!J7)</f>
        <v/>
      </c>
      <c r="L52" s="39">
        <f>IF('Database'!K7="","",'Database'!K7)</f>
        <v/>
      </c>
      <c r="M52" s="39">
        <f>IF('Database'!L7="","",'Database'!L7)</f>
        <v/>
      </c>
      <c r="N52" s="40">
        <f>IF('Database'!M7="","",'Database'!M7)</f>
        <v/>
      </c>
    </row>
    <row r="53">
      <c r="A53" s="37">
        <f>IF('Database'!A8="","",'Database'!A8)</f>
        <v/>
      </c>
      <c r="B53" s="37" t="inlineStr">
        <is>
          <t>Database</t>
        </is>
      </c>
      <c r="C53" s="37">
        <f>IF('Database'!B8="","",'Database'!B8)</f>
        <v/>
      </c>
      <c r="D53" s="37">
        <f>IF('Database'!C8="","",'Database'!C8)</f>
        <v/>
      </c>
      <c r="E53" s="37">
        <f>IF('Database'!D8="","",'Database'!D8)</f>
        <v/>
      </c>
      <c r="F53" s="37">
        <f>IF('Database'!E8="","",'Database'!E8)</f>
        <v/>
      </c>
      <c r="G53" s="38">
        <f>IF('Database'!F8="","",'Database'!F8)</f>
        <v/>
      </c>
      <c r="H53" s="38">
        <f>IF('Database'!G8="","",'Database'!G8)</f>
        <v/>
      </c>
      <c r="I53" s="37">
        <f>IF('Database'!H8="","",'Database'!H8)</f>
        <v/>
      </c>
      <c r="J53" s="38">
        <f>IF('Database'!I8="","",'Database'!I8)</f>
        <v/>
      </c>
      <c r="K53" s="37">
        <f>IF('Database'!J8="","",'Database'!J8)</f>
        <v/>
      </c>
      <c r="L53" s="37">
        <f>IF('Database'!K8="","",'Database'!K8)</f>
        <v/>
      </c>
      <c r="M53" s="37">
        <f>IF('Database'!L8="","",'Database'!L8)</f>
        <v/>
      </c>
      <c r="N53" s="38">
        <f>IF('Database'!M8="","",'Database'!M8)</f>
        <v/>
      </c>
    </row>
    <row r="54">
      <c r="A54" s="39">
        <f>IF('Database'!A9="","",'Database'!A9)</f>
        <v/>
      </c>
      <c r="B54" s="39" t="inlineStr">
        <is>
          <t>Database</t>
        </is>
      </c>
      <c r="C54" s="39">
        <f>IF('Database'!B9="","",'Database'!B9)</f>
        <v/>
      </c>
      <c r="D54" s="39">
        <f>IF('Database'!C9="","",'Database'!C9)</f>
        <v/>
      </c>
      <c r="E54" s="39">
        <f>IF('Database'!D9="","",'Database'!D9)</f>
        <v/>
      </c>
      <c r="F54" s="39">
        <f>IF('Database'!E9="","",'Database'!E9)</f>
        <v/>
      </c>
      <c r="G54" s="40">
        <f>IF('Database'!F9="","",'Database'!F9)</f>
        <v/>
      </c>
      <c r="H54" s="40">
        <f>IF('Database'!G9="","",'Database'!G9)</f>
        <v/>
      </c>
      <c r="I54" s="39">
        <f>IF('Database'!H9="","",'Database'!H9)</f>
        <v/>
      </c>
      <c r="J54" s="40">
        <f>IF('Database'!I9="","",'Database'!I9)</f>
        <v/>
      </c>
      <c r="K54" s="39">
        <f>IF('Database'!J9="","",'Database'!J9)</f>
        <v/>
      </c>
      <c r="L54" s="39">
        <f>IF('Database'!K9="","",'Database'!K9)</f>
        <v/>
      </c>
      <c r="M54" s="39">
        <f>IF('Database'!L9="","",'Database'!L9)</f>
        <v/>
      </c>
      <c r="N54" s="40">
        <f>IF('Database'!M9="","",'Database'!M9)</f>
        <v/>
      </c>
    </row>
    <row r="55">
      <c r="A55" s="37">
        <f>IF('Application'!A3="","",'Application'!A3)</f>
        <v/>
      </c>
      <c r="B55" s="37" t="inlineStr">
        <is>
          <t>Application</t>
        </is>
      </c>
      <c r="C55" s="37">
        <f>IF('Application'!B3="","",'Application'!B3)</f>
        <v/>
      </c>
      <c r="D55" s="37">
        <f>IF('Application'!C3="","",'Application'!C3)</f>
        <v/>
      </c>
      <c r="E55" s="37">
        <f>IF('Application'!D3="","",'Application'!D3)</f>
        <v/>
      </c>
      <c r="F55" s="37">
        <f>IF('Application'!E3="","",'Application'!E3)</f>
        <v/>
      </c>
      <c r="G55" s="38">
        <f>IF('Application'!F3="","",'Application'!F3)</f>
        <v/>
      </c>
      <c r="H55" s="38">
        <f>IF('Application'!G3="","",'Application'!G3)</f>
        <v/>
      </c>
      <c r="I55" s="37">
        <f>IF('Application'!H3="","",'Application'!H3)</f>
        <v/>
      </c>
      <c r="J55" s="38">
        <f>IF('Application'!I3="","",'Application'!I3)</f>
        <v/>
      </c>
      <c r="K55" s="37">
        <f>IF('Application'!J3="","",'Application'!J3)</f>
        <v/>
      </c>
      <c r="L55" s="37">
        <f>IF('Application'!K3="","",'Application'!K3)</f>
        <v/>
      </c>
      <c r="M55" s="37">
        <f>IF('Application'!L3="","",'Application'!L3)</f>
        <v/>
      </c>
      <c r="N55" s="38">
        <f>IF('Application'!M3="","",'Application'!M3)</f>
        <v/>
      </c>
    </row>
    <row r="56">
      <c r="A56" s="39">
        <f>IF('Application'!A4="","",'Application'!A4)</f>
        <v/>
      </c>
      <c r="B56" s="39" t="inlineStr">
        <is>
          <t>Application</t>
        </is>
      </c>
      <c r="C56" s="39">
        <f>IF('Application'!B4="","",'Application'!B4)</f>
        <v/>
      </c>
      <c r="D56" s="39">
        <f>IF('Application'!C4="","",'Application'!C4)</f>
        <v/>
      </c>
      <c r="E56" s="39">
        <f>IF('Application'!D4="","",'Application'!D4)</f>
        <v/>
      </c>
      <c r="F56" s="39">
        <f>IF('Application'!E4="","",'Application'!E4)</f>
        <v/>
      </c>
      <c r="G56" s="40">
        <f>IF('Application'!F4="","",'Application'!F4)</f>
        <v/>
      </c>
      <c r="H56" s="40">
        <f>IF('Application'!G4="","",'Application'!G4)</f>
        <v/>
      </c>
      <c r="I56" s="39">
        <f>IF('Application'!H4="","",'Application'!H4)</f>
        <v/>
      </c>
      <c r="J56" s="40">
        <f>IF('Application'!I4="","",'Application'!I4)</f>
        <v/>
      </c>
      <c r="K56" s="39">
        <f>IF('Application'!J4="","",'Application'!J4)</f>
        <v/>
      </c>
      <c r="L56" s="39">
        <f>IF('Application'!K4="","",'Application'!K4)</f>
        <v/>
      </c>
      <c r="M56" s="39">
        <f>IF('Application'!L4="","",'Application'!L4)</f>
        <v/>
      </c>
      <c r="N56" s="40">
        <f>IF('Application'!M4="","",'Application'!M4)</f>
        <v/>
      </c>
    </row>
    <row r="57">
      <c r="A57" s="37">
        <f>IF('Application'!A5="","",'Application'!A5)</f>
        <v/>
      </c>
      <c r="B57" s="37" t="inlineStr">
        <is>
          <t>Application</t>
        </is>
      </c>
      <c r="C57" s="37">
        <f>IF('Application'!B5="","",'Application'!B5)</f>
        <v/>
      </c>
      <c r="D57" s="37">
        <f>IF('Application'!C5="","",'Application'!C5)</f>
        <v/>
      </c>
      <c r="E57" s="37">
        <f>IF('Application'!D5="","",'Application'!D5)</f>
        <v/>
      </c>
      <c r="F57" s="37">
        <f>IF('Application'!E5="","",'Application'!E5)</f>
        <v/>
      </c>
      <c r="G57" s="38">
        <f>IF('Application'!F5="","",'Application'!F5)</f>
        <v/>
      </c>
      <c r="H57" s="38">
        <f>IF('Application'!G5="","",'Application'!G5)</f>
        <v/>
      </c>
      <c r="I57" s="37">
        <f>IF('Application'!H5="","",'Application'!H5)</f>
        <v/>
      </c>
      <c r="J57" s="38">
        <f>IF('Application'!I5="","",'Application'!I5)</f>
        <v/>
      </c>
      <c r="K57" s="37">
        <f>IF('Application'!J5="","",'Application'!J5)</f>
        <v/>
      </c>
      <c r="L57" s="37">
        <f>IF('Application'!K5="","",'Application'!K5)</f>
        <v/>
      </c>
      <c r="M57" s="37">
        <f>IF('Application'!L5="","",'Application'!L5)</f>
        <v/>
      </c>
      <c r="N57" s="38">
        <f>IF('Application'!M5="","",'Application'!M5)</f>
        <v/>
      </c>
    </row>
    <row r="58">
      <c r="A58" s="39">
        <f>IF('Application'!A6="","",'Application'!A6)</f>
        <v/>
      </c>
      <c r="B58" s="39" t="inlineStr">
        <is>
          <t>Application</t>
        </is>
      </c>
      <c r="C58" s="39">
        <f>IF('Application'!B6="","",'Application'!B6)</f>
        <v/>
      </c>
      <c r="D58" s="39">
        <f>IF('Application'!C6="","",'Application'!C6)</f>
        <v/>
      </c>
      <c r="E58" s="39">
        <f>IF('Application'!D6="","",'Application'!D6)</f>
        <v/>
      </c>
      <c r="F58" s="39">
        <f>IF('Application'!E6="","",'Application'!E6)</f>
        <v/>
      </c>
      <c r="G58" s="40">
        <f>IF('Application'!F6="","",'Application'!F6)</f>
        <v/>
      </c>
      <c r="H58" s="40">
        <f>IF('Application'!G6="","",'Application'!G6)</f>
        <v/>
      </c>
      <c r="I58" s="39">
        <f>IF('Application'!H6="","",'Application'!H6)</f>
        <v/>
      </c>
      <c r="J58" s="40">
        <f>IF('Application'!I6="","",'Application'!I6)</f>
        <v/>
      </c>
      <c r="K58" s="39">
        <f>IF('Application'!J6="","",'Application'!J6)</f>
        <v/>
      </c>
      <c r="L58" s="39">
        <f>IF('Application'!K6="","",'Application'!K6)</f>
        <v/>
      </c>
      <c r="M58" s="39">
        <f>IF('Application'!L6="","",'Application'!L6)</f>
        <v/>
      </c>
      <c r="N58" s="40">
        <f>IF('Application'!M6="","",'Application'!M6)</f>
        <v/>
      </c>
    </row>
    <row r="59">
      <c r="A59" s="37">
        <f>IF('Application'!A7="","",'Application'!A7)</f>
        <v/>
      </c>
      <c r="B59" s="37" t="inlineStr">
        <is>
          <t>Application</t>
        </is>
      </c>
      <c r="C59" s="37">
        <f>IF('Application'!B7="","",'Application'!B7)</f>
        <v/>
      </c>
      <c r="D59" s="37">
        <f>IF('Application'!C7="","",'Application'!C7)</f>
        <v/>
      </c>
      <c r="E59" s="37">
        <f>IF('Application'!D7="","",'Application'!D7)</f>
        <v/>
      </c>
      <c r="F59" s="37">
        <f>IF('Application'!E7="","",'Application'!E7)</f>
        <v/>
      </c>
      <c r="G59" s="38">
        <f>IF('Application'!F7="","",'Application'!F7)</f>
        <v/>
      </c>
      <c r="H59" s="38">
        <f>IF('Application'!G7="","",'Application'!G7)</f>
        <v/>
      </c>
      <c r="I59" s="37">
        <f>IF('Application'!H7="","",'Application'!H7)</f>
        <v/>
      </c>
      <c r="J59" s="38">
        <f>IF('Application'!I7="","",'Application'!I7)</f>
        <v/>
      </c>
      <c r="K59" s="37">
        <f>IF('Application'!J7="","",'Application'!J7)</f>
        <v/>
      </c>
      <c r="L59" s="37">
        <f>IF('Application'!K7="","",'Application'!K7)</f>
        <v/>
      </c>
      <c r="M59" s="37">
        <f>IF('Application'!L7="","",'Application'!L7)</f>
        <v/>
      </c>
      <c r="N59" s="38">
        <f>IF('Application'!M7="","",'Application'!M7)</f>
        <v/>
      </c>
    </row>
    <row r="60">
      <c r="A60" s="39">
        <f>IF('Application'!A8="","",'Application'!A8)</f>
        <v/>
      </c>
      <c r="B60" s="39" t="inlineStr">
        <is>
          <t>Application</t>
        </is>
      </c>
      <c r="C60" s="39">
        <f>IF('Application'!B8="","",'Application'!B8)</f>
        <v/>
      </c>
      <c r="D60" s="39">
        <f>IF('Application'!C8="","",'Application'!C8)</f>
        <v/>
      </c>
      <c r="E60" s="39">
        <f>IF('Application'!D8="","",'Application'!D8)</f>
        <v/>
      </c>
      <c r="F60" s="39">
        <f>IF('Application'!E8="","",'Application'!E8)</f>
        <v/>
      </c>
      <c r="G60" s="40">
        <f>IF('Application'!F8="","",'Application'!F8)</f>
        <v/>
      </c>
      <c r="H60" s="40">
        <f>IF('Application'!G8="","",'Application'!G8)</f>
        <v/>
      </c>
      <c r="I60" s="39">
        <f>IF('Application'!H8="","",'Application'!H8)</f>
        <v/>
      </c>
      <c r="J60" s="40">
        <f>IF('Application'!I8="","",'Application'!I8)</f>
        <v/>
      </c>
      <c r="K60" s="39">
        <f>IF('Application'!J8="","",'Application'!J8)</f>
        <v/>
      </c>
      <c r="L60" s="39">
        <f>IF('Application'!K8="","",'Application'!K8)</f>
        <v/>
      </c>
      <c r="M60" s="39">
        <f>IF('Application'!L8="","",'Application'!L8)</f>
        <v/>
      </c>
      <c r="N60" s="40">
        <f>IF('Application'!M8="","",'Application'!M8)</f>
        <v/>
      </c>
    </row>
    <row r="61">
      <c r="A61" s="37">
        <f>IF('Monitoring'!A3="","",'Monitoring'!A3)</f>
        <v/>
      </c>
      <c r="B61" s="37" t="inlineStr">
        <is>
          <t>Monitoring</t>
        </is>
      </c>
      <c r="C61" s="37">
        <f>IF('Monitoring'!B3="","",'Monitoring'!B3)</f>
        <v/>
      </c>
      <c r="D61" s="37">
        <f>IF('Monitoring'!C3="","",'Monitoring'!C3)</f>
        <v/>
      </c>
      <c r="E61" s="37">
        <f>IF('Monitoring'!D3="","",'Monitoring'!D3)</f>
        <v/>
      </c>
      <c r="F61" s="37">
        <f>IF('Monitoring'!E3="","",'Monitoring'!E3)</f>
        <v/>
      </c>
      <c r="G61" s="38">
        <f>IF('Monitoring'!F3="","",'Monitoring'!F3)</f>
        <v/>
      </c>
      <c r="H61" s="38">
        <f>IF('Monitoring'!G3="","",'Monitoring'!G3)</f>
        <v/>
      </c>
      <c r="I61" s="37">
        <f>IF('Monitoring'!H3="","",'Monitoring'!H3)</f>
        <v/>
      </c>
      <c r="J61" s="38">
        <f>IF('Monitoring'!I3="","",'Monitoring'!I3)</f>
        <v/>
      </c>
      <c r="K61" s="37">
        <f>IF('Monitoring'!J3="","",'Monitoring'!J3)</f>
        <v/>
      </c>
      <c r="L61" s="37">
        <f>IF('Monitoring'!K3="","",'Monitoring'!K3)</f>
        <v/>
      </c>
      <c r="M61" s="37">
        <f>IF('Monitoring'!L3="","",'Monitoring'!L3)</f>
        <v/>
      </c>
      <c r="N61" s="38">
        <f>IF('Monitoring'!M3="","",'Monitoring'!M3)</f>
        <v/>
      </c>
    </row>
    <row r="62">
      <c r="A62" s="39">
        <f>IF('Monitoring'!A4="","",'Monitoring'!A4)</f>
        <v/>
      </c>
      <c r="B62" s="39" t="inlineStr">
        <is>
          <t>Monitoring</t>
        </is>
      </c>
      <c r="C62" s="39">
        <f>IF('Monitoring'!B4="","",'Monitoring'!B4)</f>
        <v/>
      </c>
      <c r="D62" s="39">
        <f>IF('Monitoring'!C4="","",'Monitoring'!C4)</f>
        <v/>
      </c>
      <c r="E62" s="39">
        <f>IF('Monitoring'!D4="","",'Monitoring'!D4)</f>
        <v/>
      </c>
      <c r="F62" s="39">
        <f>IF('Monitoring'!E4="","",'Monitoring'!E4)</f>
        <v/>
      </c>
      <c r="G62" s="40">
        <f>IF('Monitoring'!F4="","",'Monitoring'!F4)</f>
        <v/>
      </c>
      <c r="H62" s="40">
        <f>IF('Monitoring'!G4="","",'Monitoring'!G4)</f>
        <v/>
      </c>
      <c r="I62" s="39">
        <f>IF('Monitoring'!H4="","",'Monitoring'!H4)</f>
        <v/>
      </c>
      <c r="J62" s="40">
        <f>IF('Monitoring'!I4="","",'Monitoring'!I4)</f>
        <v/>
      </c>
      <c r="K62" s="39">
        <f>IF('Monitoring'!J4="","",'Monitoring'!J4)</f>
        <v/>
      </c>
      <c r="L62" s="39">
        <f>IF('Monitoring'!K4="","",'Monitoring'!K4)</f>
        <v/>
      </c>
      <c r="M62" s="39">
        <f>IF('Monitoring'!L4="","",'Monitoring'!L4)</f>
        <v/>
      </c>
      <c r="N62" s="40">
        <f>IF('Monitoring'!M4="","",'Monitoring'!M4)</f>
        <v/>
      </c>
    </row>
    <row r="63">
      <c r="A63" s="37">
        <f>IF('Monitoring'!A5="","",'Monitoring'!A5)</f>
        <v/>
      </c>
      <c r="B63" s="37" t="inlineStr">
        <is>
          <t>Monitoring</t>
        </is>
      </c>
      <c r="C63" s="37">
        <f>IF('Monitoring'!B5="","",'Monitoring'!B5)</f>
        <v/>
      </c>
      <c r="D63" s="37">
        <f>IF('Monitoring'!C5="","",'Monitoring'!C5)</f>
        <v/>
      </c>
      <c r="E63" s="37">
        <f>IF('Monitoring'!D5="","",'Monitoring'!D5)</f>
        <v/>
      </c>
      <c r="F63" s="37">
        <f>IF('Monitoring'!E5="","",'Monitoring'!E5)</f>
        <v/>
      </c>
      <c r="G63" s="38">
        <f>IF('Monitoring'!F5="","",'Monitoring'!F5)</f>
        <v/>
      </c>
      <c r="H63" s="38">
        <f>IF('Monitoring'!G5="","",'Monitoring'!G5)</f>
        <v/>
      </c>
      <c r="I63" s="37">
        <f>IF('Monitoring'!H5="","",'Monitoring'!H5)</f>
        <v/>
      </c>
      <c r="J63" s="38">
        <f>IF('Monitoring'!I5="","",'Monitoring'!I5)</f>
        <v/>
      </c>
      <c r="K63" s="37">
        <f>IF('Monitoring'!J5="","",'Monitoring'!J5)</f>
        <v/>
      </c>
      <c r="L63" s="37">
        <f>IF('Monitoring'!K5="","",'Monitoring'!K5)</f>
        <v/>
      </c>
      <c r="M63" s="37">
        <f>IF('Monitoring'!L5="","",'Monitoring'!L5)</f>
        <v/>
      </c>
      <c r="N63" s="38">
        <f>IF('Monitoring'!M5="","",'Monitoring'!M5)</f>
        <v/>
      </c>
    </row>
    <row r="64">
      <c r="A64" s="39">
        <f>IF('Monitoring'!A6="","",'Monitoring'!A6)</f>
        <v/>
      </c>
      <c r="B64" s="39" t="inlineStr">
        <is>
          <t>Monitoring</t>
        </is>
      </c>
      <c r="C64" s="39">
        <f>IF('Monitoring'!B6="","",'Monitoring'!B6)</f>
        <v/>
      </c>
      <c r="D64" s="39">
        <f>IF('Monitoring'!C6="","",'Monitoring'!C6)</f>
        <v/>
      </c>
      <c r="E64" s="39">
        <f>IF('Monitoring'!D6="","",'Monitoring'!D6)</f>
        <v/>
      </c>
      <c r="F64" s="39">
        <f>IF('Monitoring'!E6="","",'Monitoring'!E6)</f>
        <v/>
      </c>
      <c r="G64" s="40">
        <f>IF('Monitoring'!F6="","",'Monitoring'!F6)</f>
        <v/>
      </c>
      <c r="H64" s="40">
        <f>IF('Monitoring'!G6="","",'Monitoring'!G6)</f>
        <v/>
      </c>
      <c r="I64" s="39">
        <f>IF('Monitoring'!H6="","",'Monitoring'!H6)</f>
        <v/>
      </c>
      <c r="J64" s="40">
        <f>IF('Monitoring'!I6="","",'Monitoring'!I6)</f>
        <v/>
      </c>
      <c r="K64" s="39">
        <f>IF('Monitoring'!J6="","",'Monitoring'!J6)</f>
        <v/>
      </c>
      <c r="L64" s="39">
        <f>IF('Monitoring'!K6="","",'Monitoring'!K6)</f>
        <v/>
      </c>
      <c r="M64" s="39">
        <f>IF('Monitoring'!L6="","",'Monitoring'!L6)</f>
        <v/>
      </c>
      <c r="N64" s="40">
        <f>IF('Monitoring'!M6="","",'Monitoring'!M6)</f>
        <v/>
      </c>
    </row>
    <row r="65">
      <c r="A65" s="37">
        <f>IF('Monitoring'!A7="","",'Monitoring'!A7)</f>
        <v/>
      </c>
      <c r="B65" s="37" t="inlineStr">
        <is>
          <t>Monitoring</t>
        </is>
      </c>
      <c r="C65" s="37">
        <f>IF('Monitoring'!B7="","",'Monitoring'!B7)</f>
        <v/>
      </c>
      <c r="D65" s="37">
        <f>IF('Monitoring'!C7="","",'Monitoring'!C7)</f>
        <v/>
      </c>
      <c r="E65" s="37">
        <f>IF('Monitoring'!D7="","",'Monitoring'!D7)</f>
        <v/>
      </c>
      <c r="F65" s="37">
        <f>IF('Monitoring'!E7="","",'Monitoring'!E7)</f>
        <v/>
      </c>
      <c r="G65" s="38">
        <f>IF('Monitoring'!F7="","",'Monitoring'!F7)</f>
        <v/>
      </c>
      <c r="H65" s="38">
        <f>IF('Monitoring'!G7="","",'Monitoring'!G7)</f>
        <v/>
      </c>
      <c r="I65" s="37">
        <f>IF('Monitoring'!H7="","",'Monitoring'!H7)</f>
        <v/>
      </c>
      <c r="J65" s="38">
        <f>IF('Monitoring'!I7="","",'Monitoring'!I7)</f>
        <v/>
      </c>
      <c r="K65" s="37">
        <f>IF('Monitoring'!J7="","",'Monitoring'!J7)</f>
        <v/>
      </c>
      <c r="L65" s="37">
        <f>IF('Monitoring'!K7="","",'Monitoring'!K7)</f>
        <v/>
      </c>
      <c r="M65" s="37">
        <f>IF('Monitoring'!L7="","",'Monitoring'!L7)</f>
        <v/>
      </c>
      <c r="N65" s="38">
        <f>IF('Monitoring'!M7="","",'Monitoring'!M7)</f>
        <v/>
      </c>
    </row>
    <row r="66">
      <c r="A66" s="39">
        <f>IF('Monitoring'!A8="","",'Monitoring'!A8)</f>
        <v/>
      </c>
      <c r="B66" s="39" t="inlineStr">
        <is>
          <t>Monitoring</t>
        </is>
      </c>
      <c r="C66" s="39">
        <f>IF('Monitoring'!B8="","",'Monitoring'!B8)</f>
        <v/>
      </c>
      <c r="D66" s="39">
        <f>IF('Monitoring'!C8="","",'Monitoring'!C8)</f>
        <v/>
      </c>
      <c r="E66" s="39">
        <f>IF('Monitoring'!D8="","",'Monitoring'!D8)</f>
        <v/>
      </c>
      <c r="F66" s="39">
        <f>IF('Monitoring'!E8="","",'Monitoring'!E8)</f>
        <v/>
      </c>
      <c r="G66" s="40">
        <f>IF('Monitoring'!F8="","",'Monitoring'!F8)</f>
        <v/>
      </c>
      <c r="H66" s="40">
        <f>IF('Monitoring'!G8="","",'Monitoring'!G8)</f>
        <v/>
      </c>
      <c r="I66" s="39">
        <f>IF('Monitoring'!H8="","",'Monitoring'!H8)</f>
        <v/>
      </c>
      <c r="J66" s="40">
        <f>IF('Monitoring'!I8="","",'Monitoring'!I8)</f>
        <v/>
      </c>
      <c r="K66" s="39">
        <f>IF('Monitoring'!J8="","",'Monitoring'!J8)</f>
        <v/>
      </c>
      <c r="L66" s="39">
        <f>IF('Monitoring'!K8="","",'Monitoring'!K8)</f>
        <v/>
      </c>
      <c r="M66" s="39">
        <f>IF('Monitoring'!L8="","",'Monitoring'!L8)</f>
        <v/>
      </c>
      <c r="N66" s="40">
        <f>IF('Monitoring'!M8="","",'Monitoring'!M8)</f>
        <v/>
      </c>
    </row>
    <row r="67">
      <c r="A67" s="37">
        <f>IF('Monitoring'!A9="","",'Monitoring'!A9)</f>
        <v/>
      </c>
      <c r="B67" s="37" t="inlineStr">
        <is>
          <t>Monitoring</t>
        </is>
      </c>
      <c r="C67" s="37">
        <f>IF('Monitoring'!B9="","",'Monitoring'!B9)</f>
        <v/>
      </c>
      <c r="D67" s="37">
        <f>IF('Monitoring'!C9="","",'Monitoring'!C9)</f>
        <v/>
      </c>
      <c r="E67" s="37">
        <f>IF('Monitoring'!D9="","",'Monitoring'!D9)</f>
        <v/>
      </c>
      <c r="F67" s="37">
        <f>IF('Monitoring'!E9="","",'Monitoring'!E9)</f>
        <v/>
      </c>
      <c r="G67" s="38">
        <f>IF('Monitoring'!F9="","",'Monitoring'!F9)</f>
        <v/>
      </c>
      <c r="H67" s="38">
        <f>IF('Monitoring'!G9="","",'Monitoring'!G9)</f>
        <v/>
      </c>
      <c r="I67" s="37">
        <f>IF('Monitoring'!H9="","",'Monitoring'!H9)</f>
        <v/>
      </c>
      <c r="J67" s="38">
        <f>IF('Monitoring'!I9="","",'Monitoring'!I9)</f>
        <v/>
      </c>
      <c r="K67" s="37">
        <f>IF('Monitoring'!J9="","",'Monitoring'!J9)</f>
        <v/>
      </c>
      <c r="L67" s="37">
        <f>IF('Monitoring'!K9="","",'Monitoring'!K9)</f>
        <v/>
      </c>
      <c r="M67" s="37">
        <f>IF('Monitoring'!L9="","",'Monitoring'!L9)</f>
        <v/>
      </c>
      <c r="N67" s="38">
        <f>IF('Monitoring'!M9="","",'Monitoring'!M9)</f>
        <v/>
      </c>
    </row>
    <row r="68">
      <c r="A68" s="39">
        <f>IF('Monitoring'!A10="","",'Monitoring'!A10)</f>
        <v/>
      </c>
      <c r="B68" s="39" t="inlineStr">
        <is>
          <t>Monitoring</t>
        </is>
      </c>
      <c r="C68" s="39">
        <f>IF('Monitoring'!B10="","",'Monitoring'!B10)</f>
        <v/>
      </c>
      <c r="D68" s="39">
        <f>IF('Monitoring'!C10="","",'Monitoring'!C10)</f>
        <v/>
      </c>
      <c r="E68" s="39">
        <f>IF('Monitoring'!D10="","",'Monitoring'!D10)</f>
        <v/>
      </c>
      <c r="F68" s="39">
        <f>IF('Monitoring'!E10="","",'Monitoring'!E10)</f>
        <v/>
      </c>
      <c r="G68" s="40">
        <f>IF('Monitoring'!F10="","",'Monitoring'!F10)</f>
        <v/>
      </c>
      <c r="H68" s="40">
        <f>IF('Monitoring'!G10="","",'Monitoring'!G10)</f>
        <v/>
      </c>
      <c r="I68" s="39">
        <f>IF('Monitoring'!H10="","",'Monitoring'!H10)</f>
        <v/>
      </c>
      <c r="J68" s="40">
        <f>IF('Monitoring'!I10="","",'Monitoring'!I10)</f>
        <v/>
      </c>
      <c r="K68" s="39">
        <f>IF('Monitoring'!J10="","",'Monitoring'!J10)</f>
        <v/>
      </c>
      <c r="L68" s="39">
        <f>IF('Monitoring'!K10="","",'Monitoring'!K10)</f>
        <v/>
      </c>
      <c r="M68" s="39">
        <f>IF('Monitoring'!L10="","",'Monitoring'!L10)</f>
        <v/>
      </c>
      <c r="N68" s="40">
        <f>IF('Monitoring'!M10="","",'Monitoring'!M10)</f>
        <v/>
      </c>
    </row>
    <row r="69">
      <c r="A69" s="37">
        <f>IF('Monitoring'!A11="","",'Monitoring'!A11)</f>
        <v/>
      </c>
      <c r="B69" s="37" t="inlineStr">
        <is>
          <t>Monitoring</t>
        </is>
      </c>
      <c r="C69" s="37">
        <f>IF('Monitoring'!B11="","",'Monitoring'!B11)</f>
        <v/>
      </c>
      <c r="D69" s="37">
        <f>IF('Monitoring'!C11="","",'Monitoring'!C11)</f>
        <v/>
      </c>
      <c r="E69" s="37">
        <f>IF('Monitoring'!D11="","",'Monitoring'!D11)</f>
        <v/>
      </c>
      <c r="F69" s="37">
        <f>IF('Monitoring'!E11="","",'Monitoring'!E11)</f>
        <v/>
      </c>
      <c r="G69" s="38">
        <f>IF('Monitoring'!F11="","",'Monitoring'!F11)</f>
        <v/>
      </c>
      <c r="H69" s="38">
        <f>IF('Monitoring'!G11="","",'Monitoring'!G11)</f>
        <v/>
      </c>
      <c r="I69" s="37">
        <f>IF('Monitoring'!H11="","",'Monitoring'!H11)</f>
        <v/>
      </c>
      <c r="J69" s="38">
        <f>IF('Monitoring'!I11="","",'Monitoring'!I11)</f>
        <v/>
      </c>
      <c r="K69" s="37">
        <f>IF('Monitoring'!J11="","",'Monitoring'!J11)</f>
        <v/>
      </c>
      <c r="L69" s="37">
        <f>IF('Monitoring'!K11="","",'Monitoring'!K11)</f>
        <v/>
      </c>
      <c r="M69" s="37">
        <f>IF('Monitoring'!L11="","",'Monitoring'!L11)</f>
        <v/>
      </c>
      <c r="N69" s="38">
        <f>IF('Monitoring'!M11="","",'Monitoring'!M11)</f>
        <v/>
      </c>
    </row>
    <row r="70">
      <c r="A70" s="39">
        <f>IF('Monitoring'!A12="","",'Monitoring'!A12)</f>
        <v/>
      </c>
      <c r="B70" s="39" t="inlineStr">
        <is>
          <t>Monitoring</t>
        </is>
      </c>
      <c r="C70" s="39">
        <f>IF('Monitoring'!B12="","",'Monitoring'!B12)</f>
        <v/>
      </c>
      <c r="D70" s="39">
        <f>IF('Monitoring'!C12="","",'Monitoring'!C12)</f>
        <v/>
      </c>
      <c r="E70" s="39">
        <f>IF('Monitoring'!D12="","",'Monitoring'!D12)</f>
        <v/>
      </c>
      <c r="F70" s="39">
        <f>IF('Monitoring'!E12="","",'Monitoring'!E12)</f>
        <v/>
      </c>
      <c r="G70" s="40">
        <f>IF('Monitoring'!F12="","",'Monitoring'!F12)</f>
        <v/>
      </c>
      <c r="H70" s="40">
        <f>IF('Monitoring'!G12="","",'Monitoring'!G12)</f>
        <v/>
      </c>
      <c r="I70" s="39">
        <f>IF('Monitoring'!H12="","",'Monitoring'!H12)</f>
        <v/>
      </c>
      <c r="J70" s="40">
        <f>IF('Monitoring'!I12="","",'Monitoring'!I12)</f>
        <v/>
      </c>
      <c r="K70" s="39">
        <f>IF('Monitoring'!J12="","",'Monitoring'!J12)</f>
        <v/>
      </c>
      <c r="L70" s="39">
        <f>IF('Monitoring'!K12="","",'Monitoring'!K12)</f>
        <v/>
      </c>
      <c r="M70" s="39">
        <f>IF('Monitoring'!L12="","",'Monitoring'!L12)</f>
        <v/>
      </c>
      <c r="N70" s="40">
        <f>IF('Monitoring'!M12="","",'Monitoring'!M12)</f>
        <v/>
      </c>
    </row>
    <row r="71">
      <c r="A71" s="37">
        <f>IF('Monitoring'!A13="","",'Monitoring'!A13)</f>
        <v/>
      </c>
      <c r="B71" s="37" t="inlineStr">
        <is>
          <t>Monitoring</t>
        </is>
      </c>
      <c r="C71" s="37">
        <f>IF('Monitoring'!B13="","",'Monitoring'!B13)</f>
        <v/>
      </c>
      <c r="D71" s="37">
        <f>IF('Monitoring'!C13="","",'Monitoring'!C13)</f>
        <v/>
      </c>
      <c r="E71" s="37">
        <f>IF('Monitoring'!D13="","",'Monitoring'!D13)</f>
        <v/>
      </c>
      <c r="F71" s="37">
        <f>IF('Monitoring'!E13="","",'Monitoring'!E13)</f>
        <v/>
      </c>
      <c r="G71" s="38">
        <f>IF('Monitoring'!F13="","",'Monitoring'!F13)</f>
        <v/>
      </c>
      <c r="H71" s="38">
        <f>IF('Monitoring'!G13="","",'Monitoring'!G13)</f>
        <v/>
      </c>
      <c r="I71" s="37">
        <f>IF('Monitoring'!H13="","",'Monitoring'!H13)</f>
        <v/>
      </c>
      <c r="J71" s="38">
        <f>IF('Monitoring'!I13="","",'Monitoring'!I13)</f>
        <v/>
      </c>
      <c r="K71" s="37">
        <f>IF('Monitoring'!J13="","",'Monitoring'!J13)</f>
        <v/>
      </c>
      <c r="L71" s="37">
        <f>IF('Monitoring'!K13="","",'Monitoring'!K13)</f>
        <v/>
      </c>
      <c r="M71" s="37">
        <f>IF('Monitoring'!L13="","",'Monitoring'!L13)</f>
        <v/>
      </c>
      <c r="N71" s="38">
        <f>IF('Monitoring'!M13="","",'Monitoring'!M13)</f>
        <v/>
      </c>
    </row>
    <row r="72">
      <c r="A72" s="39">
        <f>IF('Integration'!A3="","",'Integration'!A3)</f>
        <v/>
      </c>
      <c r="B72" s="39" t="inlineStr">
        <is>
          <t>Integration</t>
        </is>
      </c>
      <c r="C72" s="39">
        <f>IF('Integration'!B3="","",'Integration'!B3)</f>
        <v/>
      </c>
      <c r="D72" s="39">
        <f>IF('Integration'!C3="","",'Integration'!C3)</f>
        <v/>
      </c>
      <c r="E72" s="39">
        <f>IF('Integration'!D3="","",'Integration'!D3)</f>
        <v/>
      </c>
      <c r="F72" s="39">
        <f>IF('Integration'!E3="","",'Integration'!E3)</f>
        <v/>
      </c>
      <c r="G72" s="40">
        <f>IF('Integration'!F3="","",'Integration'!F3)</f>
        <v/>
      </c>
      <c r="H72" s="40">
        <f>IF('Integration'!G3="","",'Integration'!G3)</f>
        <v/>
      </c>
      <c r="I72" s="39">
        <f>IF('Integration'!H3="","",'Integration'!H3)</f>
        <v/>
      </c>
      <c r="J72" s="40">
        <f>IF('Integration'!I3="","",'Integration'!I3)</f>
        <v/>
      </c>
      <c r="K72" s="39">
        <f>IF('Integration'!J3="","",'Integration'!J3)</f>
        <v/>
      </c>
      <c r="L72" s="39">
        <f>IF('Integration'!K3="","",'Integration'!K3)</f>
        <v/>
      </c>
      <c r="M72" s="39">
        <f>IF('Integration'!L3="","",'Integration'!L3)</f>
        <v/>
      </c>
      <c r="N72" s="40">
        <f>IF('Integration'!M3="","",'Integration'!M3)</f>
        <v/>
      </c>
    </row>
    <row r="73">
      <c r="A73" s="37">
        <f>IF('Integration'!A4="","",'Integration'!A4)</f>
        <v/>
      </c>
      <c r="B73" s="37" t="inlineStr">
        <is>
          <t>Integration</t>
        </is>
      </c>
      <c r="C73" s="37">
        <f>IF('Integration'!B4="","",'Integration'!B4)</f>
        <v/>
      </c>
      <c r="D73" s="37">
        <f>IF('Integration'!C4="","",'Integration'!C4)</f>
        <v/>
      </c>
      <c r="E73" s="37">
        <f>IF('Integration'!D4="","",'Integration'!D4)</f>
        <v/>
      </c>
      <c r="F73" s="37">
        <f>IF('Integration'!E4="","",'Integration'!E4)</f>
        <v/>
      </c>
      <c r="G73" s="38">
        <f>IF('Integration'!F4="","",'Integration'!F4)</f>
        <v/>
      </c>
      <c r="H73" s="38">
        <f>IF('Integration'!G4="","",'Integration'!G4)</f>
        <v/>
      </c>
      <c r="I73" s="37">
        <f>IF('Integration'!H4="","",'Integration'!H4)</f>
        <v/>
      </c>
      <c r="J73" s="38">
        <f>IF('Integration'!I4="","",'Integration'!I4)</f>
        <v/>
      </c>
      <c r="K73" s="37">
        <f>IF('Integration'!J4="","",'Integration'!J4)</f>
        <v/>
      </c>
      <c r="L73" s="37">
        <f>IF('Integration'!K4="","",'Integration'!K4)</f>
        <v/>
      </c>
      <c r="M73" s="37">
        <f>IF('Integration'!L4="","",'Integration'!L4)</f>
        <v/>
      </c>
      <c r="N73" s="38">
        <f>IF('Integration'!M4="","",'Integration'!M4)</f>
        <v/>
      </c>
    </row>
    <row r="74">
      <c r="A74" s="39">
        <f>IF('Integration'!A5="","",'Integration'!A5)</f>
        <v/>
      </c>
      <c r="B74" s="39" t="inlineStr">
        <is>
          <t>Integration</t>
        </is>
      </c>
      <c r="C74" s="39">
        <f>IF('Integration'!B5="","",'Integration'!B5)</f>
        <v/>
      </c>
      <c r="D74" s="39">
        <f>IF('Integration'!C5="","",'Integration'!C5)</f>
        <v/>
      </c>
      <c r="E74" s="39">
        <f>IF('Integration'!D5="","",'Integration'!D5)</f>
        <v/>
      </c>
      <c r="F74" s="39">
        <f>IF('Integration'!E5="","",'Integration'!E5)</f>
        <v/>
      </c>
      <c r="G74" s="40">
        <f>IF('Integration'!F5="","",'Integration'!F5)</f>
        <v/>
      </c>
      <c r="H74" s="40">
        <f>IF('Integration'!G5="","",'Integration'!G5)</f>
        <v/>
      </c>
      <c r="I74" s="39">
        <f>IF('Integration'!H5="","",'Integration'!H5)</f>
        <v/>
      </c>
      <c r="J74" s="40">
        <f>IF('Integration'!I5="","",'Integration'!I5)</f>
        <v/>
      </c>
      <c r="K74" s="39">
        <f>IF('Integration'!J5="","",'Integration'!J5)</f>
        <v/>
      </c>
      <c r="L74" s="39">
        <f>IF('Integration'!K5="","",'Integration'!K5)</f>
        <v/>
      </c>
      <c r="M74" s="39">
        <f>IF('Integration'!L5="","",'Integration'!L5)</f>
        <v/>
      </c>
      <c r="N74" s="40">
        <f>IF('Integration'!M5="","",'Integration'!M5)</f>
        <v/>
      </c>
    </row>
    <row r="75">
      <c r="A75" s="37">
        <f>IF('Integration'!A6="","",'Integration'!A6)</f>
        <v/>
      </c>
      <c r="B75" s="37" t="inlineStr">
        <is>
          <t>Integration</t>
        </is>
      </c>
      <c r="C75" s="37">
        <f>IF('Integration'!B6="","",'Integration'!B6)</f>
        <v/>
      </c>
      <c r="D75" s="37">
        <f>IF('Integration'!C6="","",'Integration'!C6)</f>
        <v/>
      </c>
      <c r="E75" s="37">
        <f>IF('Integration'!D6="","",'Integration'!D6)</f>
        <v/>
      </c>
      <c r="F75" s="37">
        <f>IF('Integration'!E6="","",'Integration'!E6)</f>
        <v/>
      </c>
      <c r="G75" s="38">
        <f>IF('Integration'!F6="","",'Integration'!F6)</f>
        <v/>
      </c>
      <c r="H75" s="38">
        <f>IF('Integration'!G6="","",'Integration'!G6)</f>
        <v/>
      </c>
      <c r="I75" s="37">
        <f>IF('Integration'!H6="","",'Integration'!H6)</f>
        <v/>
      </c>
      <c r="J75" s="38">
        <f>IF('Integration'!I6="","",'Integration'!I6)</f>
        <v/>
      </c>
      <c r="K75" s="37">
        <f>IF('Integration'!J6="","",'Integration'!J6)</f>
        <v/>
      </c>
      <c r="L75" s="37">
        <f>IF('Integration'!K6="","",'Integration'!K6)</f>
        <v/>
      </c>
      <c r="M75" s="37">
        <f>IF('Integration'!L6="","",'Integration'!L6)</f>
        <v/>
      </c>
      <c r="N75" s="38">
        <f>IF('Integration'!M6="","",'Integration'!M6)</f>
        <v/>
      </c>
    </row>
    <row r="76">
      <c r="A76" s="39">
        <f>IF('Integration'!A7="","",'Integration'!A7)</f>
        <v/>
      </c>
      <c r="B76" s="39" t="inlineStr">
        <is>
          <t>Integration</t>
        </is>
      </c>
      <c r="C76" s="39">
        <f>IF('Integration'!B7="","",'Integration'!B7)</f>
        <v/>
      </c>
      <c r="D76" s="39">
        <f>IF('Integration'!C7="","",'Integration'!C7)</f>
        <v/>
      </c>
      <c r="E76" s="39">
        <f>IF('Integration'!D7="","",'Integration'!D7)</f>
        <v/>
      </c>
      <c r="F76" s="39">
        <f>IF('Integration'!E7="","",'Integration'!E7)</f>
        <v/>
      </c>
      <c r="G76" s="40">
        <f>IF('Integration'!F7="","",'Integration'!F7)</f>
        <v/>
      </c>
      <c r="H76" s="40">
        <f>IF('Integration'!G7="","",'Integration'!G7)</f>
        <v/>
      </c>
      <c r="I76" s="39">
        <f>IF('Integration'!H7="","",'Integration'!H7)</f>
        <v/>
      </c>
      <c r="J76" s="40">
        <f>IF('Integration'!I7="","",'Integration'!I7)</f>
        <v/>
      </c>
      <c r="K76" s="39">
        <f>IF('Integration'!J7="","",'Integration'!J7)</f>
        <v/>
      </c>
      <c r="L76" s="39">
        <f>IF('Integration'!K7="","",'Integration'!K7)</f>
        <v/>
      </c>
      <c r="M76" s="39">
        <f>IF('Integration'!L7="","",'Integration'!L7)</f>
        <v/>
      </c>
      <c r="N76" s="40">
        <f>IF('Integration'!M7="","",'Integration'!M7)</f>
        <v/>
      </c>
    </row>
    <row r="77">
      <c r="A77" s="37">
        <f>IF('Integration'!A8="","",'Integration'!A8)</f>
        <v/>
      </c>
      <c r="B77" s="37" t="inlineStr">
        <is>
          <t>Integration</t>
        </is>
      </c>
      <c r="C77" s="37">
        <f>IF('Integration'!B8="","",'Integration'!B8)</f>
        <v/>
      </c>
      <c r="D77" s="37">
        <f>IF('Integration'!C8="","",'Integration'!C8)</f>
        <v/>
      </c>
      <c r="E77" s="37">
        <f>IF('Integration'!D8="","",'Integration'!D8)</f>
        <v/>
      </c>
      <c r="F77" s="37">
        <f>IF('Integration'!E8="","",'Integration'!E8)</f>
        <v/>
      </c>
      <c r="G77" s="38">
        <f>IF('Integration'!F8="","",'Integration'!F8)</f>
        <v/>
      </c>
      <c r="H77" s="38">
        <f>IF('Integration'!G8="","",'Integration'!G8)</f>
        <v/>
      </c>
      <c r="I77" s="37">
        <f>IF('Integration'!H8="","",'Integration'!H8)</f>
        <v/>
      </c>
      <c r="J77" s="38">
        <f>IF('Integration'!I8="","",'Integration'!I8)</f>
        <v/>
      </c>
      <c r="K77" s="37">
        <f>IF('Integration'!J8="","",'Integration'!J8)</f>
        <v/>
      </c>
      <c r="L77" s="37">
        <f>IF('Integration'!K8="","",'Integration'!K8)</f>
        <v/>
      </c>
      <c r="M77" s="37">
        <f>IF('Integration'!L8="","",'Integration'!L8)</f>
        <v/>
      </c>
      <c r="N77" s="38">
        <f>IF('Integration'!M8="","",'Integration'!M8)</f>
        <v/>
      </c>
    </row>
    <row r="78">
      <c r="A78" s="39">
        <f>IF('Integration'!A9="","",'Integration'!A9)</f>
        <v/>
      </c>
      <c r="B78" s="39" t="inlineStr">
        <is>
          <t>Integration</t>
        </is>
      </c>
      <c r="C78" s="39">
        <f>IF('Integration'!B9="","",'Integration'!B9)</f>
        <v/>
      </c>
      <c r="D78" s="39">
        <f>IF('Integration'!C9="","",'Integration'!C9)</f>
        <v/>
      </c>
      <c r="E78" s="39">
        <f>IF('Integration'!D9="","",'Integration'!D9)</f>
        <v/>
      </c>
      <c r="F78" s="39">
        <f>IF('Integration'!E9="","",'Integration'!E9)</f>
        <v/>
      </c>
      <c r="G78" s="40">
        <f>IF('Integration'!F9="","",'Integration'!F9)</f>
        <v/>
      </c>
      <c r="H78" s="40">
        <f>IF('Integration'!G9="","",'Integration'!G9)</f>
        <v/>
      </c>
      <c r="I78" s="39">
        <f>IF('Integration'!H9="","",'Integration'!H9)</f>
        <v/>
      </c>
      <c r="J78" s="40">
        <f>IF('Integration'!I9="","",'Integration'!I9)</f>
        <v/>
      </c>
      <c r="K78" s="39">
        <f>IF('Integration'!J9="","",'Integration'!J9)</f>
        <v/>
      </c>
      <c r="L78" s="39">
        <f>IF('Integration'!K9="","",'Integration'!K9)</f>
        <v/>
      </c>
      <c r="M78" s="39">
        <f>IF('Integration'!L9="","",'Integration'!L9)</f>
        <v/>
      </c>
      <c r="N78" s="40">
        <f>IF('Integration'!M9="","",'Integration'!M9)</f>
        <v/>
      </c>
    </row>
    <row r="79">
      <c r="A79" s="37">
        <f>IF('Integration'!A10="","",'Integration'!A10)</f>
        <v/>
      </c>
      <c r="B79" s="37" t="inlineStr">
        <is>
          <t>Integration</t>
        </is>
      </c>
      <c r="C79" s="37">
        <f>IF('Integration'!B10="","",'Integration'!B10)</f>
        <v/>
      </c>
      <c r="D79" s="37">
        <f>IF('Integration'!C10="","",'Integration'!C10)</f>
        <v/>
      </c>
      <c r="E79" s="37">
        <f>IF('Integration'!D10="","",'Integration'!D10)</f>
        <v/>
      </c>
      <c r="F79" s="37">
        <f>IF('Integration'!E10="","",'Integration'!E10)</f>
        <v/>
      </c>
      <c r="G79" s="38">
        <f>IF('Integration'!F10="","",'Integration'!F10)</f>
        <v/>
      </c>
      <c r="H79" s="38">
        <f>IF('Integration'!G10="","",'Integration'!G10)</f>
        <v/>
      </c>
      <c r="I79" s="37">
        <f>IF('Integration'!H10="","",'Integration'!H10)</f>
        <v/>
      </c>
      <c r="J79" s="38">
        <f>IF('Integration'!I10="","",'Integration'!I10)</f>
        <v/>
      </c>
      <c r="K79" s="37">
        <f>IF('Integration'!J10="","",'Integration'!J10)</f>
        <v/>
      </c>
      <c r="L79" s="37">
        <f>IF('Integration'!K10="","",'Integration'!K10)</f>
        <v/>
      </c>
      <c r="M79" s="37">
        <f>IF('Integration'!L10="","",'Integration'!L10)</f>
        <v/>
      </c>
      <c r="N79" s="38">
        <f>IF('Integration'!M10="","",'Integration'!M10)</f>
        <v/>
      </c>
    </row>
    <row r="80">
      <c r="A80" s="39">
        <f>IF('Integration'!A11="","",'Integration'!A11)</f>
        <v/>
      </c>
      <c r="B80" s="39" t="inlineStr">
        <is>
          <t>Integration</t>
        </is>
      </c>
      <c r="C80" s="39">
        <f>IF('Integration'!B11="","",'Integration'!B11)</f>
        <v/>
      </c>
      <c r="D80" s="39">
        <f>IF('Integration'!C11="","",'Integration'!C11)</f>
        <v/>
      </c>
      <c r="E80" s="39">
        <f>IF('Integration'!D11="","",'Integration'!D11)</f>
        <v/>
      </c>
      <c r="F80" s="39">
        <f>IF('Integration'!E11="","",'Integration'!E11)</f>
        <v/>
      </c>
      <c r="G80" s="40">
        <f>IF('Integration'!F11="","",'Integration'!F11)</f>
        <v/>
      </c>
      <c r="H80" s="40">
        <f>IF('Integration'!G11="","",'Integration'!G11)</f>
        <v/>
      </c>
      <c r="I80" s="39">
        <f>IF('Integration'!H11="","",'Integration'!H11)</f>
        <v/>
      </c>
      <c r="J80" s="40">
        <f>IF('Integration'!I11="","",'Integration'!I11)</f>
        <v/>
      </c>
      <c r="K80" s="39">
        <f>IF('Integration'!J11="","",'Integration'!J11)</f>
        <v/>
      </c>
      <c r="L80" s="39">
        <f>IF('Integration'!K11="","",'Integration'!K11)</f>
        <v/>
      </c>
      <c r="M80" s="39">
        <f>IF('Integration'!L11="","",'Integration'!L11)</f>
        <v/>
      </c>
      <c r="N80" s="40">
        <f>IF('Integration'!M11="","",'Integration'!M11)</f>
        <v/>
      </c>
    </row>
    <row r="81">
      <c r="A81" s="37">
        <f>IF('Integration'!A12="","",'Integration'!A12)</f>
        <v/>
      </c>
      <c r="B81" s="37" t="inlineStr">
        <is>
          <t>Integration</t>
        </is>
      </c>
      <c r="C81" s="37">
        <f>IF('Integration'!B12="","",'Integration'!B12)</f>
        <v/>
      </c>
      <c r="D81" s="37">
        <f>IF('Integration'!C12="","",'Integration'!C12)</f>
        <v/>
      </c>
      <c r="E81" s="37">
        <f>IF('Integration'!D12="","",'Integration'!D12)</f>
        <v/>
      </c>
      <c r="F81" s="37">
        <f>IF('Integration'!E12="","",'Integration'!E12)</f>
        <v/>
      </c>
      <c r="G81" s="38">
        <f>IF('Integration'!F12="","",'Integration'!F12)</f>
        <v/>
      </c>
      <c r="H81" s="38">
        <f>IF('Integration'!G12="","",'Integration'!G12)</f>
        <v/>
      </c>
      <c r="I81" s="37">
        <f>IF('Integration'!H12="","",'Integration'!H12)</f>
        <v/>
      </c>
      <c r="J81" s="38">
        <f>IF('Integration'!I12="","",'Integration'!I12)</f>
        <v/>
      </c>
      <c r="K81" s="37">
        <f>IF('Integration'!J12="","",'Integration'!J12)</f>
        <v/>
      </c>
      <c r="L81" s="37">
        <f>IF('Integration'!K12="","",'Integration'!K12)</f>
        <v/>
      </c>
      <c r="M81" s="37">
        <f>IF('Integration'!L12="","",'Integration'!L12)</f>
        <v/>
      </c>
      <c r="N81" s="38">
        <f>IF('Integration'!M12="","",'Integration'!M12)</f>
        <v/>
      </c>
    </row>
    <row r="82">
      <c r="A82" s="39">
        <f>IF('Integration'!A13="","",'Integration'!A13)</f>
        <v/>
      </c>
      <c r="B82" s="39" t="inlineStr">
        <is>
          <t>Integration</t>
        </is>
      </c>
      <c r="C82" s="39">
        <f>IF('Integration'!B13="","",'Integration'!B13)</f>
        <v/>
      </c>
      <c r="D82" s="39">
        <f>IF('Integration'!C13="","",'Integration'!C13)</f>
        <v/>
      </c>
      <c r="E82" s="39">
        <f>IF('Integration'!D13="","",'Integration'!D13)</f>
        <v/>
      </c>
      <c r="F82" s="39">
        <f>IF('Integration'!E13="","",'Integration'!E13)</f>
        <v/>
      </c>
      <c r="G82" s="40">
        <f>IF('Integration'!F13="","",'Integration'!F13)</f>
        <v/>
      </c>
      <c r="H82" s="40">
        <f>IF('Integration'!G13="","",'Integration'!G13)</f>
        <v/>
      </c>
      <c r="I82" s="39">
        <f>IF('Integration'!H13="","",'Integration'!H13)</f>
        <v/>
      </c>
      <c r="J82" s="40">
        <f>IF('Integration'!I13="","",'Integration'!I13)</f>
        <v/>
      </c>
      <c r="K82" s="39">
        <f>IF('Integration'!J13="","",'Integration'!J13)</f>
        <v/>
      </c>
      <c r="L82" s="39">
        <f>IF('Integration'!K13="","",'Integration'!K13)</f>
        <v/>
      </c>
      <c r="M82" s="39">
        <f>IF('Integration'!L13="","",'Integration'!L13)</f>
        <v/>
      </c>
      <c r="N82" s="40">
        <f>IF('Integration'!M13="","",'Integration'!M13)</f>
        <v/>
      </c>
    </row>
    <row r="83">
      <c r="A83" s="37">
        <f>IF('Integration'!A14="","",'Integration'!A14)</f>
        <v/>
      </c>
      <c r="B83" s="37" t="inlineStr">
        <is>
          <t>Integration</t>
        </is>
      </c>
      <c r="C83" s="37">
        <f>IF('Integration'!B14="","",'Integration'!B14)</f>
        <v/>
      </c>
      <c r="D83" s="37">
        <f>IF('Integration'!C14="","",'Integration'!C14)</f>
        <v/>
      </c>
      <c r="E83" s="37">
        <f>IF('Integration'!D14="","",'Integration'!D14)</f>
        <v/>
      </c>
      <c r="F83" s="37">
        <f>IF('Integration'!E14="","",'Integration'!E14)</f>
        <v/>
      </c>
      <c r="G83" s="38">
        <f>IF('Integration'!F14="","",'Integration'!F14)</f>
        <v/>
      </c>
      <c r="H83" s="38">
        <f>IF('Integration'!G14="","",'Integration'!G14)</f>
        <v/>
      </c>
      <c r="I83" s="37">
        <f>IF('Integration'!H14="","",'Integration'!H14)</f>
        <v/>
      </c>
      <c r="J83" s="38">
        <f>IF('Integration'!I14="","",'Integration'!I14)</f>
        <v/>
      </c>
      <c r="K83" s="37">
        <f>IF('Integration'!J14="","",'Integration'!J14)</f>
        <v/>
      </c>
      <c r="L83" s="37">
        <f>IF('Integration'!K14="","",'Integration'!K14)</f>
        <v/>
      </c>
      <c r="M83" s="37">
        <f>IF('Integration'!L14="","",'Integration'!L14)</f>
        <v/>
      </c>
      <c r="N83" s="38">
        <f>IF('Integration'!M14="","",'Integration'!M14)</f>
        <v/>
      </c>
    </row>
    <row r="84">
      <c r="A84" s="39">
        <f>IF('Integration'!A15="","",'Integration'!A15)</f>
        <v/>
      </c>
      <c r="B84" s="39" t="inlineStr">
        <is>
          <t>Integration</t>
        </is>
      </c>
      <c r="C84" s="39">
        <f>IF('Integration'!B15="","",'Integration'!B15)</f>
        <v/>
      </c>
      <c r="D84" s="39">
        <f>IF('Integration'!C15="","",'Integration'!C15)</f>
        <v/>
      </c>
      <c r="E84" s="39">
        <f>IF('Integration'!D15="","",'Integration'!D15)</f>
        <v/>
      </c>
      <c r="F84" s="39">
        <f>IF('Integration'!E15="","",'Integration'!E15)</f>
        <v/>
      </c>
      <c r="G84" s="40">
        <f>IF('Integration'!F15="","",'Integration'!F15)</f>
        <v/>
      </c>
      <c r="H84" s="40">
        <f>IF('Integration'!G15="","",'Integration'!G15)</f>
        <v/>
      </c>
      <c r="I84" s="39">
        <f>IF('Integration'!H15="","",'Integration'!H15)</f>
        <v/>
      </c>
      <c r="J84" s="40">
        <f>IF('Integration'!I15="","",'Integration'!I15)</f>
        <v/>
      </c>
      <c r="K84" s="39">
        <f>IF('Integration'!J15="","",'Integration'!J15)</f>
        <v/>
      </c>
      <c r="L84" s="39">
        <f>IF('Integration'!K15="","",'Integration'!K15)</f>
        <v/>
      </c>
      <c r="M84" s="39">
        <f>IF('Integration'!L15="","",'Integration'!L15)</f>
        <v/>
      </c>
      <c r="N84" s="40">
        <f>IF('Integration'!M15="","",'Integration'!M15)</f>
        <v/>
      </c>
    </row>
    <row r="85">
      <c r="A85" s="37">
        <f>IF('Integration'!A16="","",'Integration'!A16)</f>
        <v/>
      </c>
      <c r="B85" s="37" t="inlineStr">
        <is>
          <t>Integration</t>
        </is>
      </c>
      <c r="C85" s="37">
        <f>IF('Integration'!B16="","",'Integration'!B16)</f>
        <v/>
      </c>
      <c r="D85" s="37">
        <f>IF('Integration'!C16="","",'Integration'!C16)</f>
        <v/>
      </c>
      <c r="E85" s="37">
        <f>IF('Integration'!D16="","",'Integration'!D16)</f>
        <v/>
      </c>
      <c r="F85" s="37">
        <f>IF('Integration'!E16="","",'Integration'!E16)</f>
        <v/>
      </c>
      <c r="G85" s="38">
        <f>IF('Integration'!F16="","",'Integration'!F16)</f>
        <v/>
      </c>
      <c r="H85" s="38">
        <f>IF('Integration'!G16="","",'Integration'!G16)</f>
        <v/>
      </c>
      <c r="I85" s="37">
        <f>IF('Integration'!H16="","",'Integration'!H16)</f>
        <v/>
      </c>
      <c r="J85" s="38">
        <f>IF('Integration'!I16="","",'Integration'!I16)</f>
        <v/>
      </c>
      <c r="K85" s="37">
        <f>IF('Integration'!J16="","",'Integration'!J16)</f>
        <v/>
      </c>
      <c r="L85" s="37">
        <f>IF('Integration'!K16="","",'Integration'!K16)</f>
        <v/>
      </c>
      <c r="M85" s="37">
        <f>IF('Integration'!L16="","",'Integration'!L16)</f>
        <v/>
      </c>
      <c r="N85" s="38">
        <f>IF('Integration'!M16="","",'Integration'!M16)</f>
        <v/>
      </c>
    </row>
    <row r="86">
      <c r="A86" s="39">
        <f>IF('Integration'!A17="","",'Integration'!A17)</f>
        <v/>
      </c>
      <c r="B86" s="39" t="inlineStr">
        <is>
          <t>Integration</t>
        </is>
      </c>
      <c r="C86" s="39">
        <f>IF('Integration'!B17="","",'Integration'!B17)</f>
        <v/>
      </c>
      <c r="D86" s="39">
        <f>IF('Integration'!C17="","",'Integration'!C17)</f>
        <v/>
      </c>
      <c r="E86" s="39">
        <f>IF('Integration'!D17="","",'Integration'!D17)</f>
        <v/>
      </c>
      <c r="F86" s="39">
        <f>IF('Integration'!E17="","",'Integration'!E17)</f>
        <v/>
      </c>
      <c r="G86" s="40">
        <f>IF('Integration'!F17="","",'Integration'!F17)</f>
        <v/>
      </c>
      <c r="H86" s="40">
        <f>IF('Integration'!G17="","",'Integration'!G17)</f>
        <v/>
      </c>
      <c r="I86" s="39">
        <f>IF('Integration'!H17="","",'Integration'!H17)</f>
        <v/>
      </c>
      <c r="J86" s="40">
        <f>IF('Integration'!I17="","",'Integration'!I17)</f>
        <v/>
      </c>
      <c r="K86" s="39">
        <f>IF('Integration'!J17="","",'Integration'!J17)</f>
        <v/>
      </c>
      <c r="L86" s="39">
        <f>IF('Integration'!K17="","",'Integration'!K17)</f>
        <v/>
      </c>
      <c r="M86" s="39">
        <f>IF('Integration'!L17="","",'Integration'!L17)</f>
        <v/>
      </c>
      <c r="N86" s="40">
        <f>IF('Integration'!M17="","",'Integration'!M17)</f>
        <v/>
      </c>
    </row>
    <row r="87">
      <c r="A87" s="37">
        <f>IF('Integration'!A18="","",'Integration'!A18)</f>
        <v/>
      </c>
      <c r="B87" s="37" t="inlineStr">
        <is>
          <t>Integration</t>
        </is>
      </c>
      <c r="C87" s="37">
        <f>IF('Integration'!B18="","",'Integration'!B18)</f>
        <v/>
      </c>
      <c r="D87" s="37">
        <f>IF('Integration'!C18="","",'Integration'!C18)</f>
        <v/>
      </c>
      <c r="E87" s="37">
        <f>IF('Integration'!D18="","",'Integration'!D18)</f>
        <v/>
      </c>
      <c r="F87" s="37">
        <f>IF('Integration'!E18="","",'Integration'!E18)</f>
        <v/>
      </c>
      <c r="G87" s="38">
        <f>IF('Integration'!F18="","",'Integration'!F18)</f>
        <v/>
      </c>
      <c r="H87" s="38">
        <f>IF('Integration'!G18="","",'Integration'!G18)</f>
        <v/>
      </c>
      <c r="I87" s="37">
        <f>IF('Integration'!H18="","",'Integration'!H18)</f>
        <v/>
      </c>
      <c r="J87" s="38">
        <f>IF('Integration'!I18="","",'Integration'!I18)</f>
        <v/>
      </c>
      <c r="K87" s="37">
        <f>IF('Integration'!J18="","",'Integration'!J18)</f>
        <v/>
      </c>
      <c r="L87" s="37">
        <f>IF('Integration'!K18="","",'Integration'!K18)</f>
        <v/>
      </c>
      <c r="M87" s="37">
        <f>IF('Integration'!L18="","",'Integration'!L18)</f>
        <v/>
      </c>
      <c r="N87" s="38">
        <f>IF('Integration'!M18="","",'Integration'!M18)</f>
        <v/>
      </c>
    </row>
    <row r="88">
      <c r="A88" s="39">
        <f>IF('Integration'!A19="","",'Integration'!A19)</f>
        <v/>
      </c>
      <c r="B88" s="39" t="inlineStr">
        <is>
          <t>Integration</t>
        </is>
      </c>
      <c r="C88" s="39">
        <f>IF('Integration'!B19="","",'Integration'!B19)</f>
        <v/>
      </c>
      <c r="D88" s="39">
        <f>IF('Integration'!C19="","",'Integration'!C19)</f>
        <v/>
      </c>
      <c r="E88" s="39">
        <f>IF('Integration'!D19="","",'Integration'!D19)</f>
        <v/>
      </c>
      <c r="F88" s="39">
        <f>IF('Integration'!E19="","",'Integration'!E19)</f>
        <v/>
      </c>
      <c r="G88" s="40">
        <f>IF('Integration'!F19="","",'Integration'!F19)</f>
        <v/>
      </c>
      <c r="H88" s="40">
        <f>IF('Integration'!G19="","",'Integration'!G19)</f>
        <v/>
      </c>
      <c r="I88" s="39">
        <f>IF('Integration'!H19="","",'Integration'!H19)</f>
        <v/>
      </c>
      <c r="J88" s="40">
        <f>IF('Integration'!I19="","",'Integration'!I19)</f>
        <v/>
      </c>
      <c r="K88" s="39">
        <f>IF('Integration'!J19="","",'Integration'!J19)</f>
        <v/>
      </c>
      <c r="L88" s="39">
        <f>IF('Integration'!K19="","",'Integration'!K19)</f>
        <v/>
      </c>
      <c r="M88" s="39">
        <f>IF('Integration'!L19="","",'Integration'!L19)</f>
        <v/>
      </c>
      <c r="N88" s="40">
        <f>IF('Integration'!M19="","",'Integration'!M19)</f>
        <v/>
      </c>
    </row>
    <row r="89">
      <c r="A89" s="37">
        <f>IF('Integration'!A20="","",'Integration'!A20)</f>
        <v/>
      </c>
      <c r="B89" s="37" t="inlineStr">
        <is>
          <t>Integration</t>
        </is>
      </c>
      <c r="C89" s="37">
        <f>IF('Integration'!B20="","",'Integration'!B20)</f>
        <v/>
      </c>
      <c r="D89" s="37">
        <f>IF('Integration'!C20="","",'Integration'!C20)</f>
        <v/>
      </c>
      <c r="E89" s="37">
        <f>IF('Integration'!D20="","",'Integration'!D20)</f>
        <v/>
      </c>
      <c r="F89" s="37">
        <f>IF('Integration'!E20="","",'Integration'!E20)</f>
        <v/>
      </c>
      <c r="G89" s="38">
        <f>IF('Integration'!F20="","",'Integration'!F20)</f>
        <v/>
      </c>
      <c r="H89" s="38">
        <f>IF('Integration'!G20="","",'Integration'!G20)</f>
        <v/>
      </c>
      <c r="I89" s="37">
        <f>IF('Integration'!H20="","",'Integration'!H20)</f>
        <v/>
      </c>
      <c r="J89" s="38">
        <f>IF('Integration'!I20="","",'Integration'!I20)</f>
        <v/>
      </c>
      <c r="K89" s="37">
        <f>IF('Integration'!J20="","",'Integration'!J20)</f>
        <v/>
      </c>
      <c r="L89" s="37">
        <f>IF('Integration'!K20="","",'Integration'!K20)</f>
        <v/>
      </c>
      <c r="M89" s="37">
        <f>IF('Integration'!L20="","",'Integration'!L20)</f>
        <v/>
      </c>
      <c r="N89" s="38">
        <f>IF('Integration'!M20="","",'Integration'!M20)</f>
        <v/>
      </c>
    </row>
    <row r="90">
      <c r="A90" s="39">
        <f>IF('Integration'!A21="","",'Integration'!A21)</f>
        <v/>
      </c>
      <c r="B90" s="39" t="inlineStr">
        <is>
          <t>Integration</t>
        </is>
      </c>
      <c r="C90" s="39">
        <f>IF('Integration'!B21="","",'Integration'!B21)</f>
        <v/>
      </c>
      <c r="D90" s="39">
        <f>IF('Integration'!C21="","",'Integration'!C21)</f>
        <v/>
      </c>
      <c r="E90" s="39">
        <f>IF('Integration'!D21="","",'Integration'!D21)</f>
        <v/>
      </c>
      <c r="F90" s="39">
        <f>IF('Integration'!E21="","",'Integration'!E21)</f>
        <v/>
      </c>
      <c r="G90" s="40">
        <f>IF('Integration'!F21="","",'Integration'!F21)</f>
        <v/>
      </c>
      <c r="H90" s="40">
        <f>IF('Integration'!G21="","",'Integration'!G21)</f>
        <v/>
      </c>
      <c r="I90" s="39">
        <f>IF('Integration'!H21="","",'Integration'!H21)</f>
        <v/>
      </c>
      <c r="J90" s="40">
        <f>IF('Integration'!I21="","",'Integration'!I21)</f>
        <v/>
      </c>
      <c r="K90" s="39">
        <f>IF('Integration'!J21="","",'Integration'!J21)</f>
        <v/>
      </c>
      <c r="L90" s="39">
        <f>IF('Integration'!K21="","",'Integration'!K21)</f>
        <v/>
      </c>
      <c r="M90" s="39">
        <f>IF('Integration'!L21="","",'Integration'!L21)</f>
        <v/>
      </c>
      <c r="N90" s="40">
        <f>IF('Integration'!M21="","",'Integration'!M21)</f>
        <v/>
      </c>
    </row>
    <row r="91">
      <c r="A91" s="37">
        <f>IF('Integration'!A22="","",'Integration'!A22)</f>
        <v/>
      </c>
      <c r="B91" s="37" t="inlineStr">
        <is>
          <t>Integration</t>
        </is>
      </c>
      <c r="C91" s="37">
        <f>IF('Integration'!B22="","",'Integration'!B22)</f>
        <v/>
      </c>
      <c r="D91" s="37">
        <f>IF('Integration'!C22="","",'Integration'!C22)</f>
        <v/>
      </c>
      <c r="E91" s="37">
        <f>IF('Integration'!D22="","",'Integration'!D22)</f>
        <v/>
      </c>
      <c r="F91" s="37">
        <f>IF('Integration'!E22="","",'Integration'!E22)</f>
        <v/>
      </c>
      <c r="G91" s="38">
        <f>IF('Integration'!F22="","",'Integration'!F22)</f>
        <v/>
      </c>
      <c r="H91" s="38">
        <f>IF('Integration'!G22="","",'Integration'!G22)</f>
        <v/>
      </c>
      <c r="I91" s="37">
        <f>IF('Integration'!H22="","",'Integration'!H22)</f>
        <v/>
      </c>
      <c r="J91" s="38">
        <f>IF('Integration'!I22="","",'Integration'!I22)</f>
        <v/>
      </c>
      <c r="K91" s="37">
        <f>IF('Integration'!J22="","",'Integration'!J22)</f>
        <v/>
      </c>
      <c r="L91" s="37">
        <f>IF('Integration'!K22="","",'Integration'!K22)</f>
        <v/>
      </c>
      <c r="M91" s="37">
        <f>IF('Integration'!L22="","",'Integration'!L22)</f>
        <v/>
      </c>
      <c r="N91" s="38">
        <f>IF('Integration'!M22="","",'Integration'!M22)</f>
        <v/>
      </c>
    </row>
    <row r="92">
      <c r="A92" s="39">
        <f>IF('Integration'!A23="","",'Integration'!A23)</f>
        <v/>
      </c>
      <c r="B92" s="39" t="inlineStr">
        <is>
          <t>Integration</t>
        </is>
      </c>
      <c r="C92" s="39">
        <f>IF('Integration'!B23="","",'Integration'!B23)</f>
        <v/>
      </c>
      <c r="D92" s="39">
        <f>IF('Integration'!C23="","",'Integration'!C23)</f>
        <v/>
      </c>
      <c r="E92" s="39">
        <f>IF('Integration'!D23="","",'Integration'!D23)</f>
        <v/>
      </c>
      <c r="F92" s="39">
        <f>IF('Integration'!E23="","",'Integration'!E23)</f>
        <v/>
      </c>
      <c r="G92" s="40">
        <f>IF('Integration'!F23="","",'Integration'!F23)</f>
        <v/>
      </c>
      <c r="H92" s="40">
        <f>IF('Integration'!G23="","",'Integration'!G23)</f>
        <v/>
      </c>
      <c r="I92" s="39">
        <f>IF('Integration'!H23="","",'Integration'!H23)</f>
        <v/>
      </c>
      <c r="J92" s="40">
        <f>IF('Integration'!I23="","",'Integration'!I23)</f>
        <v/>
      </c>
      <c r="K92" s="39">
        <f>IF('Integration'!J23="","",'Integration'!J23)</f>
        <v/>
      </c>
      <c r="L92" s="39">
        <f>IF('Integration'!K23="","",'Integration'!K23)</f>
        <v/>
      </c>
      <c r="M92" s="39">
        <f>IF('Integration'!L23="","",'Integration'!L23)</f>
        <v/>
      </c>
      <c r="N92" s="40">
        <f>IF('Integration'!M23="","",'Integration'!M23)</f>
        <v/>
      </c>
    </row>
    <row r="93">
      <c r="A93" s="37">
        <f>IF('Operations'!A3="","",'Operations'!A3)</f>
        <v/>
      </c>
      <c r="B93" s="37" t="inlineStr">
        <is>
          <t>Operations</t>
        </is>
      </c>
      <c r="C93" s="37">
        <f>IF('Operations'!B3="","",'Operations'!B3)</f>
        <v/>
      </c>
      <c r="D93" s="37">
        <f>IF('Operations'!C3="","",'Operations'!C3)</f>
        <v/>
      </c>
      <c r="E93" s="37">
        <f>IF('Operations'!D3="","",'Operations'!D3)</f>
        <v/>
      </c>
      <c r="F93" s="37">
        <f>IF('Operations'!E3="","",'Operations'!E3)</f>
        <v/>
      </c>
      <c r="G93" s="38">
        <f>IF('Operations'!F3="","",'Operations'!F3)</f>
        <v/>
      </c>
      <c r="H93" s="38">
        <f>IF('Operations'!G3="","",'Operations'!G3)</f>
        <v/>
      </c>
      <c r="I93" s="37">
        <f>IF('Operations'!H3="","",'Operations'!H3)</f>
        <v/>
      </c>
      <c r="J93" s="38">
        <f>IF('Operations'!I3="","",'Operations'!I3)</f>
        <v/>
      </c>
      <c r="K93" s="37">
        <f>IF('Operations'!J3="","",'Operations'!J3)</f>
        <v/>
      </c>
      <c r="L93" s="37">
        <f>IF('Operations'!K3="","",'Operations'!K3)</f>
        <v/>
      </c>
      <c r="M93" s="37">
        <f>IF('Operations'!L3="","",'Operations'!L3)</f>
        <v/>
      </c>
      <c r="N93" s="38">
        <f>IF('Operations'!M3="","",'Operations'!M3)</f>
        <v/>
      </c>
    </row>
    <row r="94">
      <c r="A94" s="39">
        <f>IF('Operations'!A4="","",'Operations'!A4)</f>
        <v/>
      </c>
      <c r="B94" s="39" t="inlineStr">
        <is>
          <t>Operations</t>
        </is>
      </c>
      <c r="C94" s="39">
        <f>IF('Operations'!B4="","",'Operations'!B4)</f>
        <v/>
      </c>
      <c r="D94" s="39">
        <f>IF('Operations'!C4="","",'Operations'!C4)</f>
        <v/>
      </c>
      <c r="E94" s="39">
        <f>IF('Operations'!D4="","",'Operations'!D4)</f>
        <v/>
      </c>
      <c r="F94" s="39">
        <f>IF('Operations'!E4="","",'Operations'!E4)</f>
        <v/>
      </c>
      <c r="G94" s="40">
        <f>IF('Operations'!F4="","",'Operations'!F4)</f>
        <v/>
      </c>
      <c r="H94" s="40">
        <f>IF('Operations'!G4="","",'Operations'!G4)</f>
        <v/>
      </c>
      <c r="I94" s="39">
        <f>IF('Operations'!H4="","",'Operations'!H4)</f>
        <v/>
      </c>
      <c r="J94" s="40">
        <f>IF('Operations'!I4="","",'Operations'!I4)</f>
        <v/>
      </c>
      <c r="K94" s="39">
        <f>IF('Operations'!J4="","",'Operations'!J4)</f>
        <v/>
      </c>
      <c r="L94" s="39">
        <f>IF('Operations'!K4="","",'Operations'!K4)</f>
        <v/>
      </c>
      <c r="M94" s="39">
        <f>IF('Operations'!L4="","",'Operations'!L4)</f>
        <v/>
      </c>
      <c r="N94" s="40">
        <f>IF('Operations'!M4="","",'Operations'!M4)</f>
        <v/>
      </c>
    </row>
    <row r="95">
      <c r="A95" s="37">
        <f>IF('Operations'!A5="","",'Operations'!A5)</f>
        <v/>
      </c>
      <c r="B95" s="37" t="inlineStr">
        <is>
          <t>Operations</t>
        </is>
      </c>
      <c r="C95" s="37">
        <f>IF('Operations'!B5="","",'Operations'!B5)</f>
        <v/>
      </c>
      <c r="D95" s="37">
        <f>IF('Operations'!C5="","",'Operations'!C5)</f>
        <v/>
      </c>
      <c r="E95" s="37">
        <f>IF('Operations'!D5="","",'Operations'!D5)</f>
        <v/>
      </c>
      <c r="F95" s="37">
        <f>IF('Operations'!E5="","",'Operations'!E5)</f>
        <v/>
      </c>
      <c r="G95" s="38">
        <f>IF('Operations'!F5="","",'Operations'!F5)</f>
        <v/>
      </c>
      <c r="H95" s="38">
        <f>IF('Operations'!G5="","",'Operations'!G5)</f>
        <v/>
      </c>
      <c r="I95" s="37">
        <f>IF('Operations'!H5="","",'Operations'!H5)</f>
        <v/>
      </c>
      <c r="J95" s="38">
        <f>IF('Operations'!I5="","",'Operations'!I5)</f>
        <v/>
      </c>
      <c r="K95" s="37">
        <f>IF('Operations'!J5="","",'Operations'!J5)</f>
        <v/>
      </c>
      <c r="L95" s="37">
        <f>IF('Operations'!K5="","",'Operations'!K5)</f>
        <v/>
      </c>
      <c r="M95" s="37">
        <f>IF('Operations'!L5="","",'Operations'!L5)</f>
        <v/>
      </c>
      <c r="N95" s="38">
        <f>IF('Operations'!M5="","",'Operations'!M5)</f>
        <v/>
      </c>
    </row>
    <row r="96">
      <c r="A96" s="39">
        <f>IF('Operations'!A6="","",'Operations'!A6)</f>
        <v/>
      </c>
      <c r="B96" s="39" t="inlineStr">
        <is>
          <t>Operations</t>
        </is>
      </c>
      <c r="C96" s="39">
        <f>IF('Operations'!B6="","",'Operations'!B6)</f>
        <v/>
      </c>
      <c r="D96" s="39">
        <f>IF('Operations'!C6="","",'Operations'!C6)</f>
        <v/>
      </c>
      <c r="E96" s="39">
        <f>IF('Operations'!D6="","",'Operations'!D6)</f>
        <v/>
      </c>
      <c r="F96" s="39">
        <f>IF('Operations'!E6="","",'Operations'!E6)</f>
        <v/>
      </c>
      <c r="G96" s="40">
        <f>IF('Operations'!F6="","",'Operations'!F6)</f>
        <v/>
      </c>
      <c r="H96" s="40">
        <f>IF('Operations'!G6="","",'Operations'!G6)</f>
        <v/>
      </c>
      <c r="I96" s="39">
        <f>IF('Operations'!H6="","",'Operations'!H6)</f>
        <v/>
      </c>
      <c r="J96" s="40">
        <f>IF('Operations'!I6="","",'Operations'!I6)</f>
        <v/>
      </c>
      <c r="K96" s="39">
        <f>IF('Operations'!J6="","",'Operations'!J6)</f>
        <v/>
      </c>
      <c r="L96" s="39">
        <f>IF('Operations'!K6="","",'Operations'!K6)</f>
        <v/>
      </c>
      <c r="M96" s="39">
        <f>IF('Operations'!L6="","",'Operations'!L6)</f>
        <v/>
      </c>
      <c r="N96" s="40">
        <f>IF('Operations'!M6="","",'Operations'!M6)</f>
        <v/>
      </c>
    </row>
    <row r="97">
      <c r="A97" s="37">
        <f>IF('Operations'!A7="","",'Operations'!A7)</f>
        <v/>
      </c>
      <c r="B97" s="37" t="inlineStr">
        <is>
          <t>Operations</t>
        </is>
      </c>
      <c r="C97" s="37">
        <f>IF('Operations'!B7="","",'Operations'!B7)</f>
        <v/>
      </c>
      <c r="D97" s="37">
        <f>IF('Operations'!C7="","",'Operations'!C7)</f>
        <v/>
      </c>
      <c r="E97" s="37">
        <f>IF('Operations'!D7="","",'Operations'!D7)</f>
        <v/>
      </c>
      <c r="F97" s="37">
        <f>IF('Operations'!E7="","",'Operations'!E7)</f>
        <v/>
      </c>
      <c r="G97" s="38">
        <f>IF('Operations'!F7="","",'Operations'!F7)</f>
        <v/>
      </c>
      <c r="H97" s="38">
        <f>IF('Operations'!G7="","",'Operations'!G7)</f>
        <v/>
      </c>
      <c r="I97" s="37">
        <f>IF('Operations'!H7="","",'Operations'!H7)</f>
        <v/>
      </c>
      <c r="J97" s="38">
        <f>IF('Operations'!I7="","",'Operations'!I7)</f>
        <v/>
      </c>
      <c r="K97" s="37">
        <f>IF('Operations'!J7="","",'Operations'!J7)</f>
        <v/>
      </c>
      <c r="L97" s="37">
        <f>IF('Operations'!K7="","",'Operations'!K7)</f>
        <v/>
      </c>
      <c r="M97" s="37">
        <f>IF('Operations'!L7="","",'Operations'!L7)</f>
        <v/>
      </c>
      <c r="N97" s="38">
        <f>IF('Operations'!M7="","",'Operations'!M7)</f>
        <v/>
      </c>
    </row>
    <row r="98">
      <c r="A98" s="39">
        <f>IF('Operations'!A8="","",'Operations'!A8)</f>
        <v/>
      </c>
      <c r="B98" s="39" t="inlineStr">
        <is>
          <t>Operations</t>
        </is>
      </c>
      <c r="C98" s="39">
        <f>IF('Operations'!B8="","",'Operations'!B8)</f>
        <v/>
      </c>
      <c r="D98" s="39">
        <f>IF('Operations'!C8="","",'Operations'!C8)</f>
        <v/>
      </c>
      <c r="E98" s="39">
        <f>IF('Operations'!D8="","",'Operations'!D8)</f>
        <v/>
      </c>
      <c r="F98" s="39">
        <f>IF('Operations'!E8="","",'Operations'!E8)</f>
        <v/>
      </c>
      <c r="G98" s="40">
        <f>IF('Operations'!F8="","",'Operations'!F8)</f>
        <v/>
      </c>
      <c r="H98" s="40">
        <f>IF('Operations'!G8="","",'Operations'!G8)</f>
        <v/>
      </c>
      <c r="I98" s="39">
        <f>IF('Operations'!H8="","",'Operations'!H8)</f>
        <v/>
      </c>
      <c r="J98" s="40">
        <f>IF('Operations'!I8="","",'Operations'!I8)</f>
        <v/>
      </c>
      <c r="K98" s="39">
        <f>IF('Operations'!J8="","",'Operations'!J8)</f>
        <v/>
      </c>
      <c r="L98" s="39">
        <f>IF('Operations'!K8="","",'Operations'!K8)</f>
        <v/>
      </c>
      <c r="M98" s="39">
        <f>IF('Operations'!L8="","",'Operations'!L8)</f>
        <v/>
      </c>
      <c r="N98" s="40">
        <f>IF('Operations'!M8="","",'Operations'!M8)</f>
        <v/>
      </c>
    </row>
    <row r="99">
      <c r="A99" s="37">
        <f>IF('Operations'!A9="","",'Operations'!A9)</f>
        <v/>
      </c>
      <c r="B99" s="37" t="inlineStr">
        <is>
          <t>Operations</t>
        </is>
      </c>
      <c r="C99" s="37">
        <f>IF('Operations'!B9="","",'Operations'!B9)</f>
        <v/>
      </c>
      <c r="D99" s="37">
        <f>IF('Operations'!C9="","",'Operations'!C9)</f>
        <v/>
      </c>
      <c r="E99" s="37">
        <f>IF('Operations'!D9="","",'Operations'!D9)</f>
        <v/>
      </c>
      <c r="F99" s="37">
        <f>IF('Operations'!E9="","",'Operations'!E9)</f>
        <v/>
      </c>
      <c r="G99" s="38">
        <f>IF('Operations'!F9="","",'Operations'!F9)</f>
        <v/>
      </c>
      <c r="H99" s="38">
        <f>IF('Operations'!G9="","",'Operations'!G9)</f>
        <v/>
      </c>
      <c r="I99" s="37">
        <f>IF('Operations'!H9="","",'Operations'!H9)</f>
        <v/>
      </c>
      <c r="J99" s="38">
        <f>IF('Operations'!I9="","",'Operations'!I9)</f>
        <v/>
      </c>
      <c r="K99" s="37">
        <f>IF('Operations'!J9="","",'Operations'!J9)</f>
        <v/>
      </c>
      <c r="L99" s="37">
        <f>IF('Operations'!K9="","",'Operations'!K9)</f>
        <v/>
      </c>
      <c r="M99" s="37">
        <f>IF('Operations'!L9="","",'Operations'!L9)</f>
        <v/>
      </c>
      <c r="N99" s="38">
        <f>IF('Operations'!M9="","",'Operations'!M9)</f>
        <v/>
      </c>
    </row>
    <row r="100">
      <c r="A100" s="39">
        <f>IF('Operations'!A10="","",'Operations'!A10)</f>
        <v/>
      </c>
      <c r="B100" s="39" t="inlineStr">
        <is>
          <t>Operations</t>
        </is>
      </c>
      <c r="C100" s="39">
        <f>IF('Operations'!B10="","",'Operations'!B10)</f>
        <v/>
      </c>
      <c r="D100" s="39">
        <f>IF('Operations'!C10="","",'Operations'!C10)</f>
        <v/>
      </c>
      <c r="E100" s="39">
        <f>IF('Operations'!D10="","",'Operations'!D10)</f>
        <v/>
      </c>
      <c r="F100" s="39">
        <f>IF('Operations'!E10="","",'Operations'!E10)</f>
        <v/>
      </c>
      <c r="G100" s="40">
        <f>IF('Operations'!F10="","",'Operations'!F10)</f>
        <v/>
      </c>
      <c r="H100" s="40">
        <f>IF('Operations'!G10="","",'Operations'!G10)</f>
        <v/>
      </c>
      <c r="I100" s="39">
        <f>IF('Operations'!H10="","",'Operations'!H10)</f>
        <v/>
      </c>
      <c r="J100" s="40">
        <f>IF('Operations'!I10="","",'Operations'!I10)</f>
        <v/>
      </c>
      <c r="K100" s="39">
        <f>IF('Operations'!J10="","",'Operations'!J10)</f>
        <v/>
      </c>
      <c r="L100" s="39">
        <f>IF('Operations'!K10="","",'Operations'!K10)</f>
        <v/>
      </c>
      <c r="M100" s="39">
        <f>IF('Operations'!L10="","",'Operations'!L10)</f>
        <v/>
      </c>
      <c r="N100" s="40">
        <f>IF('Operations'!M10="","",'Operations'!M10)</f>
        <v/>
      </c>
    </row>
    <row r="101">
      <c r="A101" s="37">
        <f>IF('Operations'!A11="","",'Operations'!A11)</f>
        <v/>
      </c>
      <c r="B101" s="37" t="inlineStr">
        <is>
          <t>Operations</t>
        </is>
      </c>
      <c r="C101" s="37">
        <f>IF('Operations'!B11="","",'Operations'!B11)</f>
        <v/>
      </c>
      <c r="D101" s="37">
        <f>IF('Operations'!C11="","",'Operations'!C11)</f>
        <v/>
      </c>
      <c r="E101" s="37">
        <f>IF('Operations'!D11="","",'Operations'!D11)</f>
        <v/>
      </c>
      <c r="F101" s="37">
        <f>IF('Operations'!E11="","",'Operations'!E11)</f>
        <v/>
      </c>
      <c r="G101" s="38">
        <f>IF('Operations'!F11="","",'Operations'!F11)</f>
        <v/>
      </c>
      <c r="H101" s="38">
        <f>IF('Operations'!G11="","",'Operations'!G11)</f>
        <v/>
      </c>
      <c r="I101" s="37">
        <f>IF('Operations'!H11="","",'Operations'!H11)</f>
        <v/>
      </c>
      <c r="J101" s="38">
        <f>IF('Operations'!I11="","",'Operations'!I11)</f>
        <v/>
      </c>
      <c r="K101" s="37">
        <f>IF('Operations'!J11="","",'Operations'!J11)</f>
        <v/>
      </c>
      <c r="L101" s="37">
        <f>IF('Operations'!K11="","",'Operations'!K11)</f>
        <v/>
      </c>
      <c r="M101" s="37">
        <f>IF('Operations'!L11="","",'Operations'!L11)</f>
        <v/>
      </c>
      <c r="N101" s="38">
        <f>IF('Operations'!M11="","",'Operations'!M11)</f>
        <v/>
      </c>
    </row>
    <row r="102">
      <c r="A102" s="39">
        <f>IF('Operations'!A12="","",'Operations'!A12)</f>
        <v/>
      </c>
      <c r="B102" s="39" t="inlineStr">
        <is>
          <t>Operations</t>
        </is>
      </c>
      <c r="C102" s="39">
        <f>IF('Operations'!B12="","",'Operations'!B12)</f>
        <v/>
      </c>
      <c r="D102" s="39">
        <f>IF('Operations'!C12="","",'Operations'!C12)</f>
        <v/>
      </c>
      <c r="E102" s="39">
        <f>IF('Operations'!D12="","",'Operations'!D12)</f>
        <v/>
      </c>
      <c r="F102" s="39">
        <f>IF('Operations'!E12="","",'Operations'!E12)</f>
        <v/>
      </c>
      <c r="G102" s="40">
        <f>IF('Operations'!F12="","",'Operations'!F12)</f>
        <v/>
      </c>
      <c r="H102" s="40">
        <f>IF('Operations'!G12="","",'Operations'!G12)</f>
        <v/>
      </c>
      <c r="I102" s="39">
        <f>IF('Operations'!H12="","",'Operations'!H12)</f>
        <v/>
      </c>
      <c r="J102" s="40">
        <f>IF('Operations'!I12="","",'Operations'!I12)</f>
        <v/>
      </c>
      <c r="K102" s="39">
        <f>IF('Operations'!J12="","",'Operations'!J12)</f>
        <v/>
      </c>
      <c r="L102" s="39">
        <f>IF('Operations'!K12="","",'Operations'!K12)</f>
        <v/>
      </c>
      <c r="M102" s="39">
        <f>IF('Operations'!L12="","",'Operations'!L12)</f>
        <v/>
      </c>
      <c r="N102" s="40">
        <f>IF('Operations'!M12="","",'Operations'!M12)</f>
        <v/>
      </c>
    </row>
    <row r="103">
      <c r="A103" s="37">
        <f>IF('Operations'!A13="","",'Operations'!A13)</f>
        <v/>
      </c>
      <c r="B103" s="37" t="inlineStr">
        <is>
          <t>Operations</t>
        </is>
      </c>
      <c r="C103" s="37">
        <f>IF('Operations'!B13="","",'Operations'!B13)</f>
        <v/>
      </c>
      <c r="D103" s="37">
        <f>IF('Operations'!C13="","",'Operations'!C13)</f>
        <v/>
      </c>
      <c r="E103" s="37">
        <f>IF('Operations'!D13="","",'Operations'!D13)</f>
        <v/>
      </c>
      <c r="F103" s="37">
        <f>IF('Operations'!E13="","",'Operations'!E13)</f>
        <v/>
      </c>
      <c r="G103" s="38">
        <f>IF('Operations'!F13="","",'Operations'!F13)</f>
        <v/>
      </c>
      <c r="H103" s="38">
        <f>IF('Operations'!G13="","",'Operations'!G13)</f>
        <v/>
      </c>
      <c r="I103" s="37">
        <f>IF('Operations'!H13="","",'Operations'!H13)</f>
        <v/>
      </c>
      <c r="J103" s="38">
        <f>IF('Operations'!I13="","",'Operations'!I13)</f>
        <v/>
      </c>
      <c r="K103" s="37">
        <f>IF('Operations'!J13="","",'Operations'!J13)</f>
        <v/>
      </c>
      <c r="L103" s="37">
        <f>IF('Operations'!K13="","",'Operations'!K13)</f>
        <v/>
      </c>
      <c r="M103" s="37">
        <f>IF('Operations'!L13="","",'Operations'!L13)</f>
        <v/>
      </c>
      <c r="N103" s="38">
        <f>IF('Operations'!M13="","",'Operations'!M13)</f>
        <v/>
      </c>
    </row>
    <row r="104">
      <c r="A104" s="39">
        <f>IF('Operations'!A14="","",'Operations'!A14)</f>
        <v/>
      </c>
      <c r="B104" s="39" t="inlineStr">
        <is>
          <t>Operations</t>
        </is>
      </c>
      <c r="C104" s="39">
        <f>IF('Operations'!B14="","",'Operations'!B14)</f>
        <v/>
      </c>
      <c r="D104" s="39">
        <f>IF('Operations'!C14="","",'Operations'!C14)</f>
        <v/>
      </c>
      <c r="E104" s="39">
        <f>IF('Operations'!D14="","",'Operations'!D14)</f>
        <v/>
      </c>
      <c r="F104" s="39">
        <f>IF('Operations'!E14="","",'Operations'!E14)</f>
        <v/>
      </c>
      <c r="G104" s="40">
        <f>IF('Operations'!F14="","",'Operations'!F14)</f>
        <v/>
      </c>
      <c r="H104" s="40">
        <f>IF('Operations'!G14="","",'Operations'!G14)</f>
        <v/>
      </c>
      <c r="I104" s="39">
        <f>IF('Operations'!H14="","",'Operations'!H14)</f>
        <v/>
      </c>
      <c r="J104" s="40">
        <f>IF('Operations'!I14="","",'Operations'!I14)</f>
        <v/>
      </c>
      <c r="K104" s="39">
        <f>IF('Operations'!J14="","",'Operations'!J14)</f>
        <v/>
      </c>
      <c r="L104" s="39">
        <f>IF('Operations'!K14="","",'Operations'!K14)</f>
        <v/>
      </c>
      <c r="M104" s="39">
        <f>IF('Operations'!L14="","",'Operations'!L14)</f>
        <v/>
      </c>
      <c r="N104" s="40">
        <f>IF('Operations'!M14="","",'Operations'!M14)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amatra-isb</t>
        </is>
      </c>
      <c r="C3" s="39" t="inlineStr">
        <is>
          <t>amatra-isb</t>
        </is>
      </c>
      <c r="D3" s="39" t="inlineStr">
        <is>
          <t>amatra-isb</t>
        </is>
      </c>
      <c r="E3" s="39" t="inlineStr">
        <is>
          <t>Solution identifier used for all resource naming and tagging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20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2026-07-01</t>
        </is>
      </c>
    </row>
    <row r="4" ht="26" customHeight="1">
      <c r="A4" s="43" t="inlineStr">
        <is>
          <t>solution.region.primary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us-west-2</t>
        </is>
      </c>
      <c r="E4" s="37" t="inlineStr">
        <is>
          <t>Primary AWS region for all solution resources; enforces US data residency per SOW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per SOW scope; SCP blocks replication outside us-east-1 and us-west-2</t>
        </is>
      </c>
      <c r="M4" s="38" t="inlineStr">
        <is>
          <t>2026-07-01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prod</t>
        </is>
      </c>
      <c r="E5" s="39" t="inlineStr">
        <is>
          <t>Deployment environment identifier used in resource naming and IAM policies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prod|staging|dev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not applicable — single-region serverless per SOW out-of-scope clause</t>
        </is>
      </c>
      <c r="M5" s="40" t="inlineStr">
        <is>
          <t>2026-07-01</t>
        </is>
      </c>
    </row>
    <row r="6" ht="26" customHeight="1">
      <c r="A6" s="43" t="inlineStr">
        <is>
          <t>solution.opportunity_id</t>
        </is>
      </c>
      <c r="B6" s="37" t="inlineStr">
        <is>
          <t>OPP-2026-001</t>
        </is>
      </c>
      <c r="C6" s="37" t="inlineStr">
        <is>
          <t>OPP-2026-001</t>
        </is>
      </c>
      <c r="D6" s="37" t="inlineStr">
        <is>
          <t>OPP-2026-001</t>
        </is>
      </c>
      <c r="E6" s="37" t="inlineStr">
        <is>
          <t>Opportunity identifier for cost tracking and tagging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hyphens format OPP-YYYY-NNN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Used as CostCenter tag value across all AWS resources</t>
        </is>
      </c>
      <c r="M6" s="38" t="inlineStr">
        <is>
          <t>2026-07-01</t>
        </is>
      </c>
    </row>
    <row r="7" ht="26" customHeight="1">
      <c r="A7" s="42" t="inlineStr">
        <is>
          <t>solution.version</t>
        </is>
      </c>
      <c r="B7" s="39" t="inlineStr">
        <is>
          <t>1.0.0</t>
        </is>
      </c>
      <c r="C7" s="39" t="inlineStr">
        <is>
          <t>1.0.0</t>
        </is>
      </c>
      <c r="D7" s="39" t="inlineStr">
        <is>
          <t>1.0.0</t>
        </is>
      </c>
      <c r="E7" s="39" t="inlineStr">
        <is>
          <t>Current platform version used in Lambda aliases and deployment tracking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Semantic versioning X.Y.Z</t>
        </is>
      </c>
      <c r="I7" s="40" t="inlineStr">
        <is>
          <t>Public</t>
        </is>
      </c>
      <c r="J7" s="39" t="inlineStr">
        <is>
          <t>Cloud CoE</t>
        </is>
      </c>
      <c r="K7" s="39" t="inlineStr"/>
      <c r="L7" s="39" t="inlineStr">
        <is>
          <t>Updated at each phase gate approval by CTO</t>
        </is>
      </c>
      <c r="M7" s="40" t="inlineStr">
        <is>
          <t>2026-07-01</t>
        </is>
      </c>
    </row>
    <row r="8" ht="26" customHeight="1">
      <c r="A8" s="43" t="inlineStr">
        <is>
          <t>aws.account_id</t>
        </is>
      </c>
      <c r="B8" s="37" t="inlineStr">
        <is>
          <t>[aws-account-id]</t>
        </is>
      </c>
      <c r="C8" s="37" t="inlineStr">
        <is>
          <t>[aws-account-id]</t>
        </is>
      </c>
      <c r="D8" s="37" t="inlineStr">
        <is>
          <t>[aws-account-id]</t>
        </is>
      </c>
      <c r="E8" s="37" t="inlineStr">
        <is>
          <t>12-digit AWS account ID for the target deployment account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12-digit numeric string</t>
        </is>
      </c>
      <c r="I8" s="38" t="inlineStr">
        <is>
          <t>Confidential</t>
        </is>
      </c>
      <c r="J8" s="37" t="inlineStr">
        <is>
          <t>Cloud CoE</t>
        </is>
      </c>
      <c r="K8" s="37" t="inlineStr"/>
      <c r="L8" s="37" t="inlineStr">
        <is>
          <t>Separate account IDs per environment recommended; VP Engineering provisions</t>
        </is>
      </c>
      <c r="M8" s="38" t="inlineStr">
        <is>
          <t>2026-07-01</t>
        </is>
      </c>
    </row>
    <row r="9" ht="26" customHeight="1">
      <c r="A9" s="42" t="inlineStr">
        <is>
          <t>aws.region</t>
        </is>
      </c>
      <c r="B9" s="39" t="inlineStr">
        <is>
          <t>us-west-2</t>
        </is>
      </c>
      <c r="C9" s="39" t="inlineStr">
        <is>
          <t>us-west-2</t>
        </is>
      </c>
      <c r="D9" s="39" t="inlineStr">
        <is>
          <t>us-west-2</t>
        </is>
      </c>
      <c r="E9" s="39" t="inlineStr">
        <is>
          <t>AWS region for all resource provisioning; must match solution.region.primary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AWS region code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solution.region.primary</t>
        </is>
      </c>
      <c r="L9" s="39" t="inlineStr">
        <is>
          <t>Must always equal solution.region.primary; validated in CI/CD pipeline pre-deploy check</t>
        </is>
      </c>
      <c r="M9" s="40" t="inlineStr">
        <is>
          <t>2026-07-01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security.cognito.user_pool_id</t>
        </is>
      </c>
      <c r="B3" s="39" t="inlineStr">
        <is>
          <t>[cognito-user-pool-id]</t>
        </is>
      </c>
      <c r="C3" s="39" t="inlineStr">
        <is>
          <t>[cognito-user-pool-id]</t>
        </is>
      </c>
      <c r="D3" s="39" t="inlineStr">
        <is>
          <t>[cognito-user-pool-id]</t>
        </is>
      </c>
      <c r="E3" s="39" t="inlineStr">
        <is>
          <t>Amazon Cognito User Pool ID for all platform user authentication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Format: {region}_[A-Za-z0-9]+</t>
        </is>
      </c>
      <c r="I3" s="40" t="inlineStr">
        <is>
          <t>Secret</t>
        </is>
      </c>
      <c r="J3" s="39" t="inlineStr">
        <is>
          <t>Security Team</t>
        </is>
      </c>
      <c r="K3" s="39" t="inlineStr">
        <is>
          <t>aws.region</t>
        </is>
      </c>
      <c r="L3" s="39" t="inlineStr">
        <is>
          <t>Provisioned in Phase 1 Month 2; replaces Okta as IdP; ~50 migrated users initially scaling to ~120</t>
        </is>
      </c>
      <c r="M3" s="40" t="inlineStr">
        <is>
          <t>2026-07-01</t>
        </is>
      </c>
    </row>
    <row r="4" ht="26" customHeight="1">
      <c r="A4" s="43" t="inlineStr">
        <is>
          <t>security.cognito.user_pool_client_id</t>
        </is>
      </c>
      <c r="B4" s="37" t="inlineStr">
        <is>
          <t>[cognito-app-client-id]</t>
        </is>
      </c>
      <c r="C4" s="37" t="inlineStr">
        <is>
          <t>[cognito-app-client-id]</t>
        </is>
      </c>
      <c r="D4" s="37" t="inlineStr">
        <is>
          <t>[cognito-app-client-id]</t>
        </is>
      </c>
      <c r="E4" s="37" t="inlineStr">
        <is>
          <t>Cognito App Client ID used by API Gateway Cognito authoriser for JWT token validation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26-char string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security.cognito.user_pool_id</t>
        </is>
      </c>
      <c r="L4" s="37" t="inlineStr">
        <is>
          <t>Do not expose in client-side code; referenced by API Gateway authoriser only</t>
        </is>
      </c>
      <c r="M4" s="38" t="inlineStr">
        <is>
          <t>2026-07-01</t>
        </is>
      </c>
    </row>
    <row r="5" ht="26" customHeight="1">
      <c r="A5" s="42" t="inlineStr">
        <is>
          <t>security.cognito.admin_group_name</t>
        </is>
      </c>
      <c r="B5" s="39" t="inlineStr">
        <is>
          <t>AmAdmin</t>
        </is>
      </c>
      <c r="C5" s="39" t="inlineStr">
        <is>
          <t>AmAdmin</t>
        </is>
      </c>
      <c r="D5" s="39" t="inlineStr">
        <is>
          <t>AmAdmin</t>
        </is>
      </c>
      <c r="E5" s="39" t="inlineStr">
        <is>
          <t>Cognito group name for platform administrators with usage-limit override capability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max 128 chars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security.cognito.user_pool_id</t>
        </is>
      </c>
      <c r="L5" s="39" t="inlineStr">
        <is>
          <t>MFA (TOTP) enforced for all members of this group per SOC 2 CC6 control</t>
        </is>
      </c>
      <c r="M5" s="40" t="inlineStr">
        <is>
          <t>2026-07-01</t>
        </is>
      </c>
    </row>
    <row r="6" ht="26" customHeight="1">
      <c r="A6" s="43" t="inlineStr">
        <is>
          <t>security.cognito.presales_group_name</t>
        </is>
      </c>
      <c r="B6" s="37" t="inlineStr">
        <is>
          <t>PreSales</t>
        </is>
      </c>
      <c r="C6" s="37" t="inlineStr">
        <is>
          <t>PreSales</t>
        </is>
      </c>
      <c r="D6" s="37" t="inlineStr">
        <is>
          <t>PreSales</t>
        </is>
      </c>
      <c r="E6" s="37" t="inlineStr">
        <is>
          <t>Cognito group name for pre-sales consultants (Phase 1 artifact types only)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max 128 chars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security.cognito.user_pool_id</t>
        </is>
      </c>
      <c r="L6" s="37" t="inlineStr">
        <is>
          <t>Access scoped to 4 Phase 1 artifact types; expanded to Delivery group post-Phase 2</t>
        </is>
      </c>
      <c r="M6" s="38" t="inlineStr">
        <is>
          <t>2026-07-01</t>
        </is>
      </c>
    </row>
    <row r="7" ht="26" customHeight="1">
      <c r="A7" s="42" t="inlineStr">
        <is>
          <t>security.cognito.delivery_group_name</t>
        </is>
      </c>
      <c r="B7" s="39" t="inlineStr">
        <is>
          <t>Delivery</t>
        </is>
      </c>
      <c r="C7" s="39" t="inlineStr">
        <is>
          <t>Delivery</t>
        </is>
      </c>
      <c r="D7" s="39" t="inlineStr">
        <is>
          <t>Delivery</t>
        </is>
      </c>
      <c r="E7" s="39" t="inlineStr">
        <is>
          <t>Cognito group name for delivery consultants with access to all 7 artifact types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Alphanumeric max 128 chars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security.cognito.user_pool_id</t>
        </is>
      </c>
      <c r="L7" s="39" t="inlineStr">
        <is>
          <t>Activated in Phase 2; maps to full artifact_types list in application.artifact_types</t>
        </is>
      </c>
      <c r="M7" s="40" t="inlineStr">
        <is>
          <t>2026-07-01</t>
        </is>
      </c>
    </row>
    <row r="8" ht="26" customHeight="1">
      <c r="A8" s="43" t="inlineStr">
        <is>
          <t>security.cognito.mfa_enforcement</t>
        </is>
      </c>
      <c r="B8" s="37" t="inlineStr">
        <is>
          <t>OPTIONAL</t>
        </is>
      </c>
      <c r="C8" s="37" t="inlineStr">
        <is>
          <t>OPTIONAL</t>
        </is>
      </c>
      <c r="D8" s="37" t="inlineStr">
        <is>
          <t>OPTIONAL</t>
        </is>
      </c>
      <c r="E8" s="37" t="inlineStr">
        <is>
          <t>Cognito MFA enforcement level for PreSales and Delivery groups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OFF|OPTIONAL|REQUIRED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security.cognito.user_pool_id</t>
        </is>
      </c>
      <c r="L8" s="37" t="inlineStr">
        <is>
          <t>AmAdmin group enforces MFA via Cognito group policy regardless of this setting; Phase 3 tightens to REQUIRED</t>
        </is>
      </c>
      <c r="M8" s="38" t="inlineStr">
        <is>
          <t>2026-07-01</t>
        </is>
      </c>
    </row>
    <row r="9" ht="26" customHeight="1">
      <c r="A9" s="42" t="inlineStr">
        <is>
          <t>security.cognito.token_expiry_minutes</t>
        </is>
      </c>
      <c r="B9" s="39" t="inlineStr">
        <is>
          <t>15</t>
        </is>
      </c>
      <c r="C9" s="39" t="inlineStr">
        <is>
          <t>60</t>
        </is>
      </c>
      <c r="D9" s="39" t="inlineStr">
        <is>
          <t>15</t>
        </is>
      </c>
      <c r="E9" s="39" t="inlineStr">
        <is>
          <t>Access token validity in minutes for Cognito-issued JWTs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5-1440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security.cognito.user_pool_id</t>
        </is>
      </c>
      <c r="L9" s="39" t="inlineStr">
        <is>
          <t>15-min Prod expiry limits blast radius of stolen tokens; refresh token is 30 days</t>
        </is>
      </c>
      <c r="M9" s="40" t="inlineStr">
        <is>
          <t>2026-07-01</t>
        </is>
      </c>
    </row>
    <row r="10" ht="26" customHeight="1">
      <c r="A10" s="43" t="inlineStr">
        <is>
          <t>security.kms.s3_key_id</t>
        </is>
      </c>
      <c r="B10" s="37" t="inlineStr">
        <is>
          <t>[kms-s3-artifacts-key-id]</t>
        </is>
      </c>
      <c r="C10" s="37" t="inlineStr">
        <is>
          <t>[kms-s3-artifacts-key-id]</t>
        </is>
      </c>
      <c r="D10" s="37" t="inlineStr">
        <is>
          <t>[kms-s3-artifacts-key-id]</t>
        </is>
      </c>
      <c r="E10" s="37" t="inlineStr">
        <is>
          <t>KMS Customer Managed Key ID for S3 artifacts bucket encryption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KMS key ID or ARN</t>
        </is>
      </c>
      <c r="I10" s="38" t="inlineStr">
        <is>
          <t>Secret</t>
        </is>
      </c>
      <c r="J10" s="37" t="inlineStr">
        <is>
          <t>Security Team</t>
        </is>
      </c>
      <c r="K10" s="37" t="inlineStr">
        <is>
          <t>aws.region</t>
        </is>
      </c>
      <c r="L10" s="37" t="inlineStr">
        <is>
          <t>Store in Secrets Manager; annual rotation enabled; key policy denies all but named IAM roles</t>
        </is>
      </c>
      <c r="M10" s="38" t="inlineStr">
        <is>
          <t>2026-07-01</t>
        </is>
      </c>
    </row>
    <row r="11" ht="26" customHeight="1">
      <c r="A11" s="42" t="inlineStr">
        <is>
          <t>security.kms.dynamodb_key_id</t>
        </is>
      </c>
      <c r="B11" s="39" t="inlineStr">
        <is>
          <t>[kms-dynamodb-key-id]</t>
        </is>
      </c>
      <c r="C11" s="39" t="inlineStr">
        <is>
          <t>[kms-dynamodb-key-id]</t>
        </is>
      </c>
      <c r="D11" s="39" t="inlineStr">
        <is>
          <t>[kms-dynamodb-key-id]</t>
        </is>
      </c>
      <c r="E11" s="39" t="inlineStr">
        <is>
          <t>KMS Customer Managed Key ID for DynamoDB table encryption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KMS key ID or ARN</t>
        </is>
      </c>
      <c r="I11" s="40" t="inlineStr">
        <is>
          <t>Secret</t>
        </is>
      </c>
      <c r="J11" s="39" t="inlineStr">
        <is>
          <t>Security Team</t>
        </is>
      </c>
      <c r="K11" s="39" t="inlineStr">
        <is>
          <t>aws.region</t>
        </is>
      </c>
      <c r="L11" s="39" t="inlineStr">
        <is>
          <t>Separate CMK from S3 key; annual rotation enabled; used by both DynamoDB tables</t>
        </is>
      </c>
      <c r="M11" s="40" t="inlineStr">
        <is>
          <t>2026-07-01</t>
        </is>
      </c>
    </row>
    <row r="12" ht="26" customHeight="1">
      <c r="A12" s="43" t="inlineStr">
        <is>
          <t>security.kms.cloudtrail_key_id</t>
        </is>
      </c>
      <c r="B12" s="37" t="inlineStr">
        <is>
          <t>[kms-cloudtrail-key-id]</t>
        </is>
      </c>
      <c r="C12" s="37" t="inlineStr">
        <is>
          <t>[kms-cloudtrail-key-id]</t>
        </is>
      </c>
      <c r="D12" s="37" t="inlineStr">
        <is>
          <t>[kms-cloudtrail-key-id]</t>
        </is>
      </c>
      <c r="E12" s="37" t="inlineStr">
        <is>
          <t>KMS Customer Managed Key ID for CloudTrail log bucket encryption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KMS key ID or ARN</t>
        </is>
      </c>
      <c r="I12" s="38" t="inlineStr">
        <is>
          <t>Secret</t>
        </is>
      </c>
      <c r="J12" s="37" t="inlineStr">
        <is>
          <t>Security Team</t>
        </is>
      </c>
      <c r="K12" s="37" t="inlineStr">
        <is>
          <t>aws.region</t>
        </is>
      </c>
      <c r="L12" s="37" t="inlineStr">
        <is>
          <t>Root user explicitly denied usage in key policy per SOC 2 WORM requirement</t>
        </is>
      </c>
      <c r="M12" s="38" t="inlineStr">
        <is>
          <t>2026-07-01</t>
        </is>
      </c>
    </row>
    <row r="13" ht="26" customHeight="1">
      <c r="A13" s="42" t="inlineStr">
        <is>
          <t>security.kms.secrets_manager_key_id</t>
        </is>
      </c>
      <c r="B13" s="39" t="inlineStr">
        <is>
          <t>[kms-secrets-manager-key-id]</t>
        </is>
      </c>
      <c r="C13" s="39" t="inlineStr">
        <is>
          <t>[kms-secrets-manager-key-id]</t>
        </is>
      </c>
      <c r="D13" s="39" t="inlineStr">
        <is>
          <t>[kms-secrets-manager-key-id]</t>
        </is>
      </c>
      <c r="E13" s="39" t="inlineStr">
        <is>
          <t>KMS Customer Managed Key ID for Secrets Manager secret encryption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KMS key ID or ARN</t>
        </is>
      </c>
      <c r="I13" s="40" t="inlineStr">
        <is>
          <t>Secret</t>
        </is>
      </c>
      <c r="J13" s="39" t="inlineStr">
        <is>
          <t>Security Team</t>
        </is>
      </c>
      <c r="K13" s="39" t="inlineStr">
        <is>
          <t>aws.region</t>
        </is>
      </c>
      <c r="L13" s="39" t="inlineStr">
        <is>
          <t>Annual rotation enabled; fourth dedicated CMK per SOW security design</t>
        </is>
      </c>
      <c r="M13" s="40" t="inlineStr">
        <is>
          <t>2026-07-01</t>
        </is>
      </c>
    </row>
    <row r="14" ht="26" customHeight="1">
      <c r="A14" s="43" t="inlineStr">
        <is>
          <t>security.waf.web_acl_arn</t>
        </is>
      </c>
      <c r="B14" s="37" t="inlineStr">
        <is>
          <t>[waf-web-acl-arn]</t>
        </is>
      </c>
      <c r="C14" s="37" t="inlineStr">
        <is>
          <t>[waf-web-acl-arn]</t>
        </is>
      </c>
      <c r="D14" s="37" t="inlineStr">
        <is>
          <t>[waf-web-acl-arn]</t>
        </is>
      </c>
      <c r="E14" s="37" t="inlineStr">
        <is>
          <t>ARN of the AWS WAF WebACL attached to the API Gateway REST API stage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WAF WebACL ARN</t>
        </is>
      </c>
      <c r="I14" s="38" t="inlineStr">
        <is>
          <t>Confidential</t>
        </is>
      </c>
      <c r="J14" s="37" t="inlineStr">
        <is>
          <t>Security Team</t>
        </is>
      </c>
      <c r="K14" s="37" t="inlineStr">
        <is>
          <t>integration.api_gateway.rest_api_id</t>
        </is>
      </c>
      <c r="L14" s="37" t="inlineStr">
        <is>
          <t>WebACL includes CRS and KBI managed rule groups plus custom rate-limiting rule</t>
        </is>
      </c>
      <c r="M14" s="38" t="inlineStr">
        <is>
          <t>2026-07-01</t>
        </is>
      </c>
    </row>
    <row r="15" ht="26" customHeight="1">
      <c r="A15" s="42" t="inlineStr">
        <is>
          <t>security.waf.rate_limit_per_ip_per_5min</t>
        </is>
      </c>
      <c r="B15" s="39" t="inlineStr">
        <is>
          <t>2000</t>
        </is>
      </c>
      <c r="C15" s="39" t="inlineStr">
        <is>
          <t>500</t>
        </is>
      </c>
      <c r="D15" s="39" t="inlineStr">
        <is>
          <t>2000</t>
        </is>
      </c>
      <c r="E15" s="39" t="inlineStr">
        <is>
          <t>WAF rate-based rule threshold: maximum requests per IP per 5-minute window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100-100000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security.waf.web_acl_arn</t>
        </is>
      </c>
      <c r="L15" s="39" t="inlineStr">
        <is>
          <t>Aligned to API Gateway stage throttle; prevents per-IP abuse while allowing burst for internal users</t>
        </is>
      </c>
      <c r="M15" s="40" t="inlineStr">
        <is>
          <t>2026-07-01</t>
        </is>
      </c>
    </row>
    <row r="16" ht="26" customHeight="1">
      <c r="A16" s="43" t="inlineStr">
        <is>
          <t>security.s3.block_public_access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Enforce S3 Block Public Access at the AWS account level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Security Team</t>
        </is>
      </c>
      <c r="K16" s="37" t="inlineStr"/>
      <c r="L16" s="37" t="inlineStr">
        <is>
          <t>Must be true in all environments; enforced via AWS Config rule and SCP</t>
        </is>
      </c>
      <c r="M16" s="38" t="inlineStr">
        <is>
          <t>2026-07-01</t>
        </is>
      </c>
    </row>
    <row r="17" ht="26" customHeight="1">
      <c r="A17" s="42" t="inlineStr">
        <is>
          <t>security.guardduty_enabled</t>
        </is>
      </c>
      <c r="B17" s="39" t="inlineStr">
        <is>
          <t>true</t>
        </is>
      </c>
      <c r="C17" s="39" t="inlineStr">
        <is>
          <t>true</t>
        </is>
      </c>
      <c r="D17" s="39" t="inlineStr">
        <is>
          <t>true</t>
        </is>
      </c>
      <c r="E17" s="39" t="inlineStr">
        <is>
          <t>Enable AWS GuardDuty for continuous threat detection across the account</t>
        </is>
      </c>
      <c r="F17" s="40" t="inlineStr">
        <is>
          <t>Yes</t>
        </is>
      </c>
      <c r="G17" s="40" t="inlineStr">
        <is>
          <t>Boolean</t>
        </is>
      </c>
      <c r="H17" s="39" t="inlineStr">
        <is>
          <t>true|false</t>
        </is>
      </c>
      <c r="I17" s="40" t="inlineStr">
        <is>
          <t>Public</t>
        </is>
      </c>
      <c r="J17" s="39" t="inlineStr">
        <is>
          <t>Security Team</t>
        </is>
      </c>
      <c r="K17" s="39" t="inlineStr"/>
      <c r="L17" s="39" t="inlineStr">
        <is>
          <t>GuardDuty high-severity findings trigger automated Lambda remediation per SOW security design</t>
        </is>
      </c>
      <c r="M17" s="40" t="inlineStr">
        <is>
          <t>2026-07-01</t>
        </is>
      </c>
    </row>
    <row r="18" ht="26" customHeight="1">
      <c r="A18" s="43" t="inlineStr">
        <is>
          <t>security.securityhub_enabled</t>
        </is>
      </c>
      <c r="B18" s="37" t="inlineStr">
        <is>
          <t>true</t>
        </is>
      </c>
      <c r="C18" s="37" t="inlineStr">
        <is>
          <t>true</t>
        </is>
      </c>
      <c r="D18" s="37" t="inlineStr">
        <is>
          <t>true</t>
        </is>
      </c>
      <c r="E18" s="37" t="inlineStr">
        <is>
          <t>Enable AWS Security Hub to aggregate GuardDuty and Config findings</t>
        </is>
      </c>
      <c r="F18" s="38" t="inlineStr">
        <is>
          <t>Yes</t>
        </is>
      </c>
      <c r="G18" s="38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Security Team</t>
        </is>
      </c>
      <c r="K18" s="37" t="inlineStr">
        <is>
          <t>security.guardduty_enabled</t>
        </is>
      </c>
      <c r="L18" s="37" t="inlineStr">
        <is>
          <t>Reviewed weekly by Security &amp; Compliance Lead; required for SOC 2 CC7 control evidence</t>
        </is>
      </c>
      <c r="M18" s="38" t="inlineStr">
        <is>
          <t>2026-07-01</t>
        </is>
      </c>
    </row>
    <row r="19" ht="26" customHeight="1">
      <c r="A19" s="42" t="inlineStr">
        <is>
          <t>security.cloudtrail_enabled</t>
        </is>
      </c>
      <c r="B19" s="39" t="inlineStr">
        <is>
          <t>true</t>
        </is>
      </c>
      <c r="C19" s="39" t="inlineStr">
        <is>
          <t>true</t>
        </is>
      </c>
      <c r="D19" s="39" t="inlineStr">
        <is>
          <t>true</t>
        </is>
      </c>
      <c r="E19" s="39" t="inlineStr">
        <is>
          <t>Enable AWS CloudTrail for all management events and S3 data events</t>
        </is>
      </c>
      <c r="F19" s="40" t="inlineStr">
        <is>
          <t>Yes</t>
        </is>
      </c>
      <c r="G19" s="40" t="inlineStr">
        <is>
          <t>Boolean</t>
        </is>
      </c>
      <c r="H19" s="39" t="inlineStr">
        <is>
          <t>true|false</t>
        </is>
      </c>
      <c r="I19" s="40" t="inlineStr">
        <is>
          <t>Public</t>
        </is>
      </c>
      <c r="J19" s="39" t="inlineStr">
        <is>
          <t>Security Team</t>
        </is>
      </c>
      <c r="K19" s="39" t="inlineStr">
        <is>
          <t>storage.s3.cloudtrail_bucket_name</t>
        </is>
      </c>
      <c r="L19" s="39" t="inlineStr">
        <is>
          <t>CloudTrail with S3 Object Lock is the primary SOC 2 audit trail; must be enabled before Phase 1 go-live</t>
        </is>
      </c>
      <c r="M19" s="40" t="inlineStr">
        <is>
          <t>2026-07-01</t>
        </is>
      </c>
    </row>
    <row r="20" ht="26" customHeight="1">
      <c r="A20" s="43" t="inlineStr">
        <is>
          <t>security.cloudtrail_retention_years</t>
        </is>
      </c>
      <c r="B20" s="37" t="inlineStr">
        <is>
          <t>7</t>
        </is>
      </c>
      <c r="C20" s="37" t="inlineStr">
        <is>
          <t>1</t>
        </is>
      </c>
      <c r="D20" s="37" t="inlineStr">
        <is>
          <t>7</t>
        </is>
      </c>
      <c r="E20" s="37" t="inlineStr">
        <is>
          <t>Retention period in years for CloudTrail logs in the S3 audit bucket (Object Lock Compliance mode)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1-10</t>
        </is>
      </c>
      <c r="I20" s="38" t="inlineStr">
        <is>
          <t>Public</t>
        </is>
      </c>
      <c r="J20" s="37" t="inlineStr">
        <is>
          <t>Security Team</t>
        </is>
      </c>
      <c r="K20" s="37" t="inlineStr">
        <is>
          <t>storage.s3.cloudtrail_bucket_name</t>
        </is>
      </c>
      <c r="L20" s="37" t="inlineStr">
        <is>
          <t>7-year retention meets SOC 2 and enterprise client contractual requirements</t>
        </is>
      </c>
      <c r="M20" s="38" t="inlineStr">
        <is>
          <t>2026-07-01</t>
        </is>
      </c>
    </row>
    <row r="21" ht="26" customHeight="1">
      <c r="A21" s="42" t="inlineStr">
        <is>
          <t>security.session_timeout_minutes</t>
        </is>
      </c>
      <c r="B21" s="39" t="inlineStr">
        <is>
          <t>30</t>
        </is>
      </c>
      <c r="C21" s="39" t="inlineStr">
        <is>
          <t>60</t>
        </is>
      </c>
      <c r="D21" s="39" t="inlineStr">
        <is>
          <t>30</t>
        </is>
      </c>
      <c r="E21" s="39" t="inlineStr">
        <is>
          <t>Inactive session timeout in minutes enforced by Cognito app client</t>
        </is>
      </c>
      <c r="F21" s="40" t="inlineStr">
        <is>
          <t>Yes</t>
        </is>
      </c>
      <c r="G21" s="40" t="inlineStr">
        <is>
          <t>Integer</t>
        </is>
      </c>
      <c r="H21" s="39" t="inlineStr">
        <is>
          <t>5-480</t>
        </is>
      </c>
      <c r="I21" s="40" t="inlineStr">
        <is>
          <t>Public</t>
        </is>
      </c>
      <c r="J21" s="39" t="inlineStr">
        <is>
          <t>Security Team</t>
        </is>
      </c>
      <c r="K21" s="39" t="inlineStr">
        <is>
          <t>security.cognito.user_pool_id</t>
        </is>
      </c>
      <c r="L21" s="39" t="inlineStr">
        <is>
          <t>30-min Prod timeout aligns to SOC 2 CC6 access control requirements</t>
        </is>
      </c>
      <c r="M21" s="40" t="inlineStr">
        <is>
          <t>2026-07-01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compute.lambda.runtime</t>
        </is>
      </c>
      <c r="B3" s="39" t="inlineStr">
        <is>
          <t>python3.12</t>
        </is>
      </c>
      <c r="C3" s="39" t="inlineStr">
        <is>
          <t>python3.12</t>
        </is>
      </c>
      <c r="D3" s="39" t="inlineStr">
        <is>
          <t>python3.12</t>
        </is>
      </c>
      <c r="E3" s="39" t="inlineStr">
        <is>
          <t>Python runtime version for all Lambda functions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python3.12|python3.11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Python 3.12 is team standard per SOW; all boto3 calls use this runtime</t>
        </is>
      </c>
      <c r="M3" s="40" t="inlineStr">
        <is>
          <t>2026-07-01</t>
        </is>
      </c>
    </row>
    <row r="4" ht="26" customHeight="1">
      <c r="A4" s="43" t="inlineStr">
        <is>
          <t>compute.lambda.api_submit.memory_mb</t>
        </is>
      </c>
      <c r="B4" s="37" t="inlineStr">
        <is>
          <t>512</t>
        </is>
      </c>
      <c r="C4" s="37" t="inlineStr">
        <is>
          <t>512</t>
        </is>
      </c>
      <c r="D4" s="37" t="inlineStr">
        <is>
          <t>512</t>
        </is>
      </c>
      <c r="E4" s="37" t="inlineStr">
        <is>
          <t>Memory allocation in MB for the brief-submission API Handler Lambda (isb-api-submit)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128-10240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compute.lambda.runtime</t>
        </is>
      </c>
      <c r="L4" s="37" t="inlineStr">
        <is>
          <t>512 MB sufficient for JSON validation and DynamoDB/SQS write; provisioned concurrency covers cold-start</t>
        </is>
      </c>
      <c r="M4" s="38" t="inlineStr">
        <is>
          <t>2026-07-01</t>
        </is>
      </c>
    </row>
    <row r="5" ht="26" customHeight="1">
      <c r="A5" s="42" t="inlineStr">
        <is>
          <t>compute.lambda.api_submit.timeout_seconds</t>
        </is>
      </c>
      <c r="B5" s="39" t="inlineStr">
        <is>
          <t>30</t>
        </is>
      </c>
      <c r="C5" s="39" t="inlineStr">
        <is>
          <t>30</t>
        </is>
      </c>
      <c r="D5" s="39" t="inlineStr">
        <is>
          <t>30</t>
        </is>
      </c>
      <c r="E5" s="39" t="inlineStr">
        <is>
          <t>Timeout in seconds for the brief-submission API Handler Lambda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1-900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compute.lambda.api_submit.memory_mb</t>
        </is>
      </c>
      <c r="L5" s="39" t="inlineStr">
        <is>
          <t>Must be less than API Gateway integration timeout of 29 s; synchronous path only</t>
        </is>
      </c>
      <c r="M5" s="40" t="inlineStr">
        <is>
          <t>2026-07-01</t>
        </is>
      </c>
    </row>
    <row r="6" ht="26" customHeight="1">
      <c r="A6" s="43" t="inlineStr">
        <is>
          <t>compute.lambda.api_submit.provisioned_concurrency</t>
        </is>
      </c>
      <c r="B6" s="37" t="inlineStr">
        <is>
          <t>5</t>
        </is>
      </c>
      <c r="C6" s="37" t="inlineStr">
        <is>
          <t>0</t>
        </is>
      </c>
      <c r="D6" s="37" t="inlineStr">
        <is>
          <t>5</t>
        </is>
      </c>
      <c r="E6" s="37" t="inlineStr">
        <is>
          <t>Provisioned concurrency units for isb-api-submit to eliminate cold-start on latency-sensitive path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0-100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compute.lambda.api_submit.memory_mb</t>
        </is>
      </c>
      <c r="L6" s="37" t="inlineStr">
        <is>
          <t>Provisioned in Prod only; Dev uses on-demand; targets ≤500 ms p99 API response SLA</t>
        </is>
      </c>
      <c r="M6" s="38" t="inlineStr">
        <is>
          <t>2026-07-01</t>
        </is>
      </c>
    </row>
    <row r="7" ht="26" customHeight="1">
      <c r="A7" s="42" t="inlineStr">
        <is>
          <t>compute.lambda.bedrock_sonnet.memory_mb</t>
        </is>
      </c>
      <c r="B7" s="39" t="inlineStr">
        <is>
          <t>1024</t>
        </is>
      </c>
      <c r="C7" s="39" t="inlineStr">
        <is>
          <t>1024</t>
        </is>
      </c>
      <c r="D7" s="39" t="inlineStr">
        <is>
          <t>1024</t>
        </is>
      </c>
      <c r="E7" s="39" t="inlineStr">
        <is>
          <t>Memory allocation in MB for the Bedrock Invoker Lambda for Claude 3 Sonnet (complex artifact types)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128-10240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compute.lambda.runtime</t>
        </is>
      </c>
      <c r="L7" s="39" t="inlineStr">
        <is>
          <t>1024 MB required for large prompt assembly and response buffering for complex artifact types</t>
        </is>
      </c>
      <c r="M7" s="40" t="inlineStr">
        <is>
          <t>2026-07-01</t>
        </is>
      </c>
    </row>
    <row r="8" ht="26" customHeight="1">
      <c r="A8" s="43" t="inlineStr">
        <is>
          <t>compute.lambda.bedrock_sonnet.timeout_seconds</t>
        </is>
      </c>
      <c r="B8" s="37" t="inlineStr">
        <is>
          <t>900</t>
        </is>
      </c>
      <c r="C8" s="37" t="inlineStr">
        <is>
          <t>900</t>
        </is>
      </c>
      <c r="D8" s="37" t="inlineStr">
        <is>
          <t>900</t>
        </is>
      </c>
      <c r="E8" s="37" t="inlineStr">
        <is>
          <t>Timeout in seconds for the Bedrock Invoker Lambda for Claude 3 Sonnet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1-900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compute.lambda.bedrock_sonnet.memory_mb</t>
        </is>
      </c>
      <c r="L8" s="37" t="inlineStr">
        <is>
          <t>900 s (Lambda max) required; Step Functions TaskToken callback prevents blocking</t>
        </is>
      </c>
      <c r="M8" s="38" t="inlineStr">
        <is>
          <t>2026-07-01</t>
        </is>
      </c>
    </row>
    <row r="9" ht="26" customHeight="1">
      <c r="A9" s="42" t="inlineStr">
        <is>
          <t>compute.lambda.bedrock_haiku.memory_mb</t>
        </is>
      </c>
      <c r="B9" s="39" t="inlineStr">
        <is>
          <t>512</t>
        </is>
      </c>
      <c r="C9" s="39" t="inlineStr">
        <is>
          <t>512</t>
        </is>
      </c>
      <c r="D9" s="39" t="inlineStr">
        <is>
          <t>512</t>
        </is>
      </c>
      <c r="E9" s="39" t="inlineStr">
        <is>
          <t>Memory allocation in MB for the Bedrock Invoker Lambda for Claude 3 Haiku (lightweight artifact types)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128-10240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compute.lambda.runtime</t>
        </is>
      </c>
      <c r="L9" s="39" t="inlineStr">
        <is>
          <t>512 MB sufficient for Haiku; lower-cost path for discovery questionnaire type</t>
        </is>
      </c>
      <c r="M9" s="40" t="inlineStr">
        <is>
          <t>2026-07-01</t>
        </is>
      </c>
    </row>
    <row r="10" ht="26" customHeight="1">
      <c r="A10" s="43" t="inlineStr">
        <is>
          <t>compute.lambda.bedrock_haiku.timeout_seconds</t>
        </is>
      </c>
      <c r="B10" s="37" t="inlineStr">
        <is>
          <t>600</t>
        </is>
      </c>
      <c r="C10" s="37" t="inlineStr">
        <is>
          <t>600</t>
        </is>
      </c>
      <c r="D10" s="37" t="inlineStr">
        <is>
          <t>600</t>
        </is>
      </c>
      <c r="E10" s="37" t="inlineStr">
        <is>
          <t>Timeout in seconds for the Bedrock Invoker Lambda for Claude 3 Haiku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1-900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compute.lambda.bedrock_haiku.memory_mb</t>
        </is>
      </c>
      <c r="L10" s="37" t="inlineStr">
        <is>
          <t>600 s sufficient for Haiku generation; reduces Lambda execution cost vs Sonnet</t>
        </is>
      </c>
      <c r="M10" s="38" t="inlineStr">
        <is>
          <t>2026-07-01</t>
        </is>
      </c>
    </row>
    <row r="11" ht="26" customHeight="1">
      <c r="A11" s="42" t="inlineStr">
        <is>
          <t>compute.lambda.artifact_processor.memory_mb</t>
        </is>
      </c>
      <c r="B11" s="39" t="inlineStr">
        <is>
          <t>512</t>
        </is>
      </c>
      <c r="C11" s="39" t="inlineStr">
        <is>
          <t>512</t>
        </is>
      </c>
      <c r="D11" s="39" t="inlineStr">
        <is>
          <t>512</t>
        </is>
      </c>
      <c r="E11" s="39" t="inlineStr">
        <is>
          <t>Memory allocation in MB for the Artifact Processor / QA scoring Lambda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128-10240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compute.lambda.runtime</t>
        </is>
      </c>
      <c r="L11" s="39" t="inlineStr">
        <is>
          <t>512 MB covers QA rubric scoring and S3 write; increased to 1024 MB if Phase 2 QA logic grows</t>
        </is>
      </c>
      <c r="M11" s="40" t="inlineStr">
        <is>
          <t>2026-07-01</t>
        </is>
      </c>
    </row>
    <row r="12" ht="26" customHeight="1">
      <c r="A12" s="43" t="inlineStr">
        <is>
          <t>compute.lambda.artifact_processor.timeout_seconds</t>
        </is>
      </c>
      <c r="B12" s="37" t="inlineStr">
        <is>
          <t>300</t>
        </is>
      </c>
      <c r="C12" s="37" t="inlineStr">
        <is>
          <t>300</t>
        </is>
      </c>
      <c r="D12" s="37" t="inlineStr">
        <is>
          <t>300</t>
        </is>
      </c>
      <c r="E12" s="37" t="inlineStr">
        <is>
          <t>Timeout in seconds for the Artifact Processor / QA scoring Lambda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1-900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compute.lambda.artifact_processor.memory_mb</t>
        </is>
      </c>
      <c r="L12" s="37" t="inlineStr"/>
      <c r="M12" s="38" t="inlineStr">
        <is>
          <t>2026-07-01</t>
        </is>
      </c>
    </row>
    <row r="13" ht="26" customHeight="1">
      <c r="A13" s="42" t="inlineStr">
        <is>
          <t>compute.lambda.reserved_concurrency_total</t>
        </is>
      </c>
      <c r="B13" s="39" t="inlineStr">
        <is>
          <t>500</t>
        </is>
      </c>
      <c r="C13" s="39" t="inlineStr">
        <is>
          <t>100</t>
        </is>
      </c>
      <c r="D13" s="39" t="inlineStr">
        <is>
          <t>500</t>
        </is>
      </c>
      <c r="E13" s="39" t="inlineStr">
        <is>
          <t>Total reserved Lambda concurrency across all platform functions to prevent account-level starvation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10-3000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compute.lambda.api_submit.provisioned_concurrency</t>
        </is>
      </c>
      <c r="L13" s="39" t="inlineStr">
        <is>
          <t>Protects other AWS account workloads; sized for 24 concurrent generation jobs with headroom</t>
        </is>
      </c>
      <c r="M13" s="40" t="inlineStr">
        <is>
          <t>2026-07-01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storage.s3.artifacts_bucket_name</t>
        </is>
      </c>
      <c r="B3" s="39" t="inlineStr">
        <is>
          <t>[amatra-isb-artifacts-prod-account-id]</t>
        </is>
      </c>
      <c r="C3" s="39" t="inlineStr">
        <is>
          <t>[amatra-isb-artifacts-dev-account-id]</t>
        </is>
      </c>
      <c r="D3" s="39" t="inlineStr">
        <is>
          <t>[amatra-isb-artifacts-prod-account-id]</t>
        </is>
      </c>
      <c r="E3" s="39" t="inlineStr">
        <is>
          <t>S3 bucket name for all generated artifacts stored under structured key taxonomy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unique; lowercase alphanumeric hyphens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aws.account_id</t>
        </is>
      </c>
      <c r="L3" s="39" t="inlineStr">
        <is>
          <t>Globally unique; includes account ID suffix per naming convention; Block Public Access enforced</t>
        </is>
      </c>
      <c r="M3" s="40" t="inlineStr">
        <is>
          <t>2026-07-01</t>
        </is>
      </c>
    </row>
    <row r="4" ht="26" customHeight="1">
      <c r="A4" s="43" t="inlineStr">
        <is>
          <t>storage.s3.cloudtrail_bucket_name</t>
        </is>
      </c>
      <c r="B4" s="37" t="inlineStr">
        <is>
          <t>[amatra-isb-cloudtrail-logs-prod]</t>
        </is>
      </c>
      <c r="C4" s="37" t="inlineStr">
        <is>
          <t>[amatra-isb-cloudtrail-logs-dev]</t>
        </is>
      </c>
      <c r="D4" s="37" t="inlineStr">
        <is>
          <t>[amatra-isb-cloudtrail-logs-prod]</t>
        </is>
      </c>
      <c r="E4" s="37" t="inlineStr">
        <is>
          <t>S3 bucket name for immutable CloudTrail audit logs with Object Lock (WORM)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unique; lowercase alphanumeric hyphens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aws.account_id</t>
        </is>
      </c>
      <c r="L4" s="37" t="inlineStr">
        <is>
          <t>Object Lock Compliance mode; 7-year retention; root user deny on CMK per SOC 2 requirement</t>
        </is>
      </c>
      <c r="M4" s="38" t="inlineStr">
        <is>
          <t>2026-07-01</t>
        </is>
      </c>
    </row>
    <row r="5" ht="26" customHeight="1">
      <c r="A5" s="42" t="inlineStr">
        <is>
          <t>storage.s3.templates_bucket_name</t>
        </is>
      </c>
      <c r="B5" s="39" t="inlineStr">
        <is>
          <t>[amatra-isb-templates-prod]</t>
        </is>
      </c>
      <c r="C5" s="39" t="inlineStr">
        <is>
          <t>[amatra-isb-templates-dev]</t>
        </is>
      </c>
      <c r="D5" s="39" t="inlineStr">
        <is>
          <t>[amatra-isb-templates-prod]</t>
        </is>
      </c>
      <c r="E5" s="39" t="inlineStr">
        <is>
          <t>S3 bucket name for Bedrock prompt templates and ingested legacy Word/Excel/PPT templates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Globally unique; lowercase alphanumeric hyphens</t>
        </is>
      </c>
      <c r="I5" s="40" t="inlineStr">
        <is>
          <t>Confidential</t>
        </is>
      </c>
      <c r="J5" s="39" t="inlineStr">
        <is>
          <t>Development</t>
        </is>
      </c>
      <c r="K5" s="39" t="inlineStr">
        <is>
          <t>aws.account_id</t>
        </is>
      </c>
      <c r="L5" s="39" t="inlineStr">
        <is>
          <t>Versioned objects; prompt templates committed to GitHub as source of truth and synced to S3 on deploy</t>
        </is>
      </c>
      <c r="M5" s="40" t="inlineStr">
        <is>
          <t>2026-07-01</t>
        </is>
      </c>
    </row>
    <row r="6" ht="26" customHeight="1">
      <c r="A6" s="43" t="inlineStr">
        <is>
          <t>storage.s3.artifacts_lifecycle_standard_days</t>
        </is>
      </c>
      <c r="B6" s="37" t="inlineStr">
        <is>
          <t>180</t>
        </is>
      </c>
      <c r="C6" s="37" t="inlineStr">
        <is>
          <t>30</t>
        </is>
      </c>
      <c r="D6" s="37" t="inlineStr">
        <is>
          <t>180</t>
        </is>
      </c>
      <c r="E6" s="37" t="inlineStr">
        <is>
          <t>Days before artifacts are transitioned from S3 Standard to S3 Glacier Flexible Retrieval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30-3650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storage.s3.artifacts_bucket_name</t>
        </is>
      </c>
      <c r="L6" s="37" t="inlineStr">
        <is>
          <t>Reduces long-term storage cost by ~80%; aligns to SOW data retention policy</t>
        </is>
      </c>
      <c r="M6" s="38" t="inlineStr">
        <is>
          <t>2026-07-01</t>
        </is>
      </c>
    </row>
    <row r="7" ht="26" customHeight="1">
      <c r="A7" s="42" t="inlineStr">
        <is>
          <t>storage.s3.versioning_enabled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Enable S3 versioning on the artifacts bucket to protect against accidental deletion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storage.s3.artifacts_bucket_name</t>
        </is>
      </c>
      <c r="L7" s="39" t="inlineStr">
        <is>
          <t>Required for S3 Object-level audit in CloudTrail and GDPR right-to-erasure version history</t>
        </is>
      </c>
      <c r="M7" s="40" t="inlineStr">
        <is>
          <t>2026-07-01</t>
        </is>
      </c>
    </row>
    <row r="8" ht="26" customHeight="1">
      <c r="A8" s="43" t="inlineStr">
        <is>
          <t>storage.s3.encryption_key_alias</t>
        </is>
      </c>
      <c r="B8" s="37" t="inlineStr">
        <is>
          <t>alias/amatra-isb-s3-artifacts-prod</t>
        </is>
      </c>
      <c r="C8" s="37" t="inlineStr">
        <is>
          <t>alias/amatra-isb-s3-artifacts-dev</t>
        </is>
      </c>
      <c r="D8" s="37" t="inlineStr">
        <is>
          <t>alias/amatra-isb-s3-artifacts-prod</t>
        </is>
      </c>
      <c r="E8" s="37" t="inlineStr">
        <is>
          <t>KMS CMK alias used for SSE-KMS encryption on the artifacts bucket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KMS alias format: alias/[a-zA-Z0-9/_-]+</t>
        </is>
      </c>
      <c r="I8" s="38" t="inlineStr">
        <is>
          <t>Secret</t>
        </is>
      </c>
      <c r="J8" s="37" t="inlineStr">
        <is>
          <t>Security Team</t>
        </is>
      </c>
      <c r="K8" s="37" t="inlineStr">
        <is>
          <t>security.kms.s3_key_id</t>
        </is>
      </c>
      <c r="L8" s="37" t="inlineStr">
        <is>
          <t>Unencrypted PutObject requests denied by bucket policy; annual key rotation enabled</t>
        </is>
      </c>
      <c r="M8" s="38" t="inlineStr">
        <is>
          <t>2026-07-01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database.solution_state_table</t>
        </is>
      </c>
      <c r="B3" s="39" t="inlineStr">
        <is>
          <t>AmatraISB-SolutionState-Prod</t>
        </is>
      </c>
      <c r="C3" s="39" t="inlineStr">
        <is>
          <t>AmatraISB-SolutionState-Dev</t>
        </is>
      </c>
      <c r="D3" s="39" t="inlineStr">
        <is>
          <t>AmatraISB-SolutionState-Prod</t>
        </is>
      </c>
      <c r="E3" s="39" t="inlineStr">
        <is>
          <t>DynamoDB table name for tracking solution job status and artifact S3 keys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hyphens max 255 chars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aws.region</t>
        </is>
      </c>
      <c r="L3" s="39" t="inlineStr">
        <is>
          <t>Table naming follows AmatraISB-{TableName}-{Env} convention from detailed design</t>
        </is>
      </c>
      <c r="M3" s="40" t="inlineStr">
        <is>
          <t>2026-07-01</t>
        </is>
      </c>
    </row>
    <row r="4" ht="26" customHeight="1">
      <c r="A4" s="43" t="inlineStr">
        <is>
          <t>database.usage_tracking_table</t>
        </is>
      </c>
      <c r="B4" s="37" t="inlineStr">
        <is>
          <t>AmatraISB-UsageTracking-Prod</t>
        </is>
      </c>
      <c r="C4" s="37" t="inlineStr">
        <is>
          <t>AmatraISB-UsageTracking-Dev</t>
        </is>
      </c>
      <c r="D4" s="37" t="inlineStr">
        <is>
          <t>AmatraISB-UsageTracking-Prod</t>
        </is>
      </c>
      <c r="E4" s="37" t="inlineStr">
        <is>
          <t>DynamoDB table name for per-user and global monthly generation usage counters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hyphens max 255 chars</t>
        </is>
      </c>
      <c r="I4" s="38" t="inlineStr">
        <is>
          <t>Confidential</t>
        </is>
      </c>
      <c r="J4" s="37" t="inlineStr">
        <is>
          <t>Database Team</t>
        </is>
      </c>
      <c r="K4" s="37" t="inlineStr">
        <is>
          <t>aws.region</t>
        </is>
      </c>
      <c r="L4" s="37" t="inlineStr">
        <is>
          <t>Enforces per-user and global monthly limits; read before every job submission</t>
        </is>
      </c>
      <c r="M4" s="38" t="inlineStr">
        <is>
          <t>2026-07-01</t>
        </is>
      </c>
    </row>
    <row r="5" ht="26" customHeight="1">
      <c r="A5" s="42" t="inlineStr">
        <is>
          <t>database.billing_mode</t>
        </is>
      </c>
      <c r="B5" s="39" t="inlineStr">
        <is>
          <t>PAY_PER_REQUEST</t>
        </is>
      </c>
      <c r="C5" s="39" t="inlineStr">
        <is>
          <t>PAY_PER_REQUEST</t>
        </is>
      </c>
      <c r="D5" s="39" t="inlineStr">
        <is>
          <t>PAY_PER_REQUEST</t>
        </is>
      </c>
      <c r="E5" s="39" t="inlineStr">
        <is>
          <t>DynamoDB capacity billing mode for both tables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PAY_PER_REQUEST|PROVISIONED</t>
        </is>
      </c>
      <c r="I5" s="40" t="inlineStr">
        <is>
          <t>Public</t>
        </is>
      </c>
      <c r="J5" s="39" t="inlineStr">
        <is>
          <t>Database Team</t>
        </is>
      </c>
      <c r="K5" s="39" t="inlineStr"/>
      <c r="L5" s="39" t="inlineStr">
        <is>
          <t>On-demand selected per SOW; scales automatically with up to 24 concurrent jobs; no reserved capacity</t>
        </is>
      </c>
      <c r="M5" s="40" t="inlineStr">
        <is>
          <t>2026-07-01</t>
        </is>
      </c>
    </row>
    <row r="6" ht="26" customHeight="1">
      <c r="A6" s="43" t="inlineStr">
        <is>
          <t>database.pitr_enabled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Enable DynamoDB Point-in-Time Recovery on both tables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Database Team</t>
        </is>
      </c>
      <c r="K6" s="37" t="inlineStr">
        <is>
          <t>database.solution_state_table</t>
        </is>
      </c>
      <c r="L6" s="37" t="inlineStr">
        <is>
          <t>PITR required in Prod to meet RPO ≤15 min target; disabled in Dev to reduce cost</t>
        </is>
      </c>
      <c r="M6" s="38" t="inlineStr">
        <is>
          <t>2026-07-01</t>
        </is>
      </c>
    </row>
    <row r="7" ht="26" customHeight="1">
      <c r="A7" s="42" t="inlineStr">
        <is>
          <t>database.ttl_solution_state_days</t>
        </is>
      </c>
      <c r="B7" s="39" t="inlineStr">
        <is>
          <t>365</t>
        </is>
      </c>
      <c r="C7" s="39" t="inlineStr">
        <is>
          <t>30</t>
        </is>
      </c>
      <c r="D7" s="39" t="inlineStr">
        <is>
          <t>365</t>
        </is>
      </c>
      <c r="E7" s="39" t="inlineStr">
        <is>
          <t>DynamoDB TTL in days for COMPLETE SolutionState records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1-3653</t>
        </is>
      </c>
      <c r="I7" s="40" t="inlineStr">
        <is>
          <t>Public</t>
        </is>
      </c>
      <c r="J7" s="39" t="inlineStr">
        <is>
          <t>Database Team</t>
        </is>
      </c>
      <c r="K7" s="39" t="inlineStr">
        <is>
          <t>database.solution_state_table</t>
        </is>
      </c>
      <c r="L7" s="39" t="inlineStr">
        <is>
          <t>FAILED records exempt from TTL pending investigation; GDPR right-to-erasure enforced via admin Lambda</t>
        </is>
      </c>
      <c r="M7" s="40" t="inlineStr">
        <is>
          <t>2026-07-01</t>
        </is>
      </c>
    </row>
    <row r="8" ht="26" customHeight="1">
      <c r="A8" s="43" t="inlineStr">
        <is>
          <t>database.ttl_usage_tracking_days</t>
        </is>
      </c>
      <c r="B8" s="37" t="inlineStr">
        <is>
          <t>365</t>
        </is>
      </c>
      <c r="C8" s="37" t="inlineStr">
        <is>
          <t>30</t>
        </is>
      </c>
      <c r="D8" s="37" t="inlineStr">
        <is>
          <t>365</t>
        </is>
      </c>
      <c r="E8" s="37" t="inlineStr">
        <is>
          <t>DynamoDB TTL in days for UsageTracking records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1-3653</t>
        </is>
      </c>
      <c r="I8" s="38" t="inlineStr">
        <is>
          <t>Public</t>
        </is>
      </c>
      <c r="J8" s="37" t="inlineStr">
        <is>
          <t>Database Team</t>
        </is>
      </c>
      <c r="K8" s="37" t="inlineStr">
        <is>
          <t>database.usage_tracking_table</t>
        </is>
      </c>
      <c r="L8" s="37" t="inlineStr">
        <is>
          <t>Supports GDPR right-to-erasure; 365 days sufficient for annual usage reporting</t>
        </is>
      </c>
      <c r="M8" s="38" t="inlineStr">
        <is>
          <t>2026-07-01</t>
        </is>
      </c>
    </row>
    <row r="9" ht="26" customHeight="1">
      <c r="A9" s="42" t="inlineStr">
        <is>
          <t>database.encryption_key_alias</t>
        </is>
      </c>
      <c r="B9" s="39" t="inlineStr">
        <is>
          <t>alias/amatra-isb-dynamodb-prod</t>
        </is>
      </c>
      <c r="C9" s="39" t="inlineStr">
        <is>
          <t>alias/amatra-isb-dynamodb-dev</t>
        </is>
      </c>
      <c r="D9" s="39" t="inlineStr">
        <is>
          <t>alias/amatra-isb-dynamodb-prod</t>
        </is>
      </c>
      <c r="E9" s="39" t="inlineStr">
        <is>
          <t>KMS CMK alias used for DynamoDB at-rest encryption on both tables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KMS alias format: alias/[a-zA-Z0-9/_-]+</t>
        </is>
      </c>
      <c r="I9" s="40" t="inlineStr">
        <is>
          <t>Secret</t>
        </is>
      </c>
      <c r="J9" s="39" t="inlineStr">
        <is>
          <t>Security Team</t>
        </is>
      </c>
      <c r="K9" s="39" t="inlineStr">
        <is>
          <t>security.kms.dynamodb_key_id</t>
        </is>
      </c>
      <c r="L9" s="39" t="inlineStr">
        <is>
          <t>Separate CMK per environment; annual automatic key rotation enabled per SOW</t>
        </is>
      </c>
      <c r="M9" s="40" t="inlineStr">
        <is>
          <t>2026-07-01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amatra-isb</t>
        </is>
      </c>
      <c r="C3" s="39" t="inlineStr">
        <is>
          <t>amatra-isb</t>
        </is>
      </c>
      <c r="D3" s="39" t="inlineStr">
        <is>
          <t>amatra-isb</t>
        </is>
      </c>
      <c r="E3" s="39" t="inlineStr">
        <is>
          <t>Application identifier used in CloudWatch log group names and Datadog APM service name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hyphens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2026-07-01</t>
        </is>
      </c>
    </row>
    <row r="4" ht="26" customHeight="1">
      <c r="A4" s="43" t="inlineStr">
        <is>
          <t>application.log_level</t>
        </is>
      </c>
      <c r="B4" s="37" t="inlineStr">
        <is>
          <t>info</t>
        </is>
      </c>
      <c r="C4" s="37" t="inlineStr">
        <is>
          <t>debug</t>
        </is>
      </c>
      <c r="D4" s="37" t="inlineStr">
        <is>
          <t>info</t>
        </is>
      </c>
      <c r="E4" s="37" t="inlineStr">
        <is>
          <t>Lambda function logging verbosity level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debug|info|warn|error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Set to debug in Dev to aid prompt engineering; info in Prod reduces log volume and CloudWatch cost</t>
        </is>
      </c>
      <c r="M4" s="38" t="inlineStr">
        <is>
          <t>2026-07-01</t>
        </is>
      </c>
    </row>
    <row r="5" ht="26" customHeight="1">
      <c r="A5" s="42" t="inlineStr">
        <is>
          <t>application.artifact_types</t>
        </is>
      </c>
      <c r="B5" s="39" t="inlineStr">
        <is>
          <t>discovery-questionnaire,solution-briefing,statement-of-work,infrastructure-costs,detailed-design,implementation-guide,terraform</t>
        </is>
      </c>
      <c r="C5" s="39" t="inlineStr">
        <is>
          <t>discovery-questionnaire,solution-briefing,statement-of-work,infrastructure-costs,detailed-design,implementation-guide,terraform</t>
        </is>
      </c>
      <c r="D5" s="39" t="inlineStr">
        <is>
          <t>discovery-questionnaire,solution-briefing,statement-of-work,infrastructure-costs,detailed-design,implementation-guide,terraform</t>
        </is>
      </c>
      <c r="E5" s="39" t="inlineStr">
        <is>
          <t>Comma-separated list of the 7 automated artifact types supported by the generation pipeline</t>
        </is>
      </c>
      <c r="F5" s="40" t="inlineStr">
        <is>
          <t>Yes</t>
        </is>
      </c>
      <c r="G5" s="40" t="inlineStr">
        <is>
          <t>List(String)</t>
        </is>
      </c>
      <c r="H5" s="39" t="inlineStr">
        <is>
          <t>Each item must match a registered artifact type in the prompt library</t>
        </is>
      </c>
      <c r="I5" s="40" t="inlineStr">
        <is>
          <t>Public</t>
        </is>
      </c>
      <c r="J5" s="39" t="inlineStr">
        <is>
          <t>Development</t>
        </is>
      </c>
      <c r="K5" s="39" t="inlineStr"/>
      <c r="L5" s="39" t="inlineStr">
        <is>
          <t>Phase 1 enables first 4 types; Phase 2 enables remaining 3; validated against prompt-library at startup</t>
        </is>
      </c>
      <c r="M5" s="40" t="inlineStr">
        <is>
          <t>2026-07-01</t>
        </is>
      </c>
    </row>
    <row r="6" ht="26" customHeight="1">
      <c r="A6" s="43" t="inlineStr">
        <is>
          <t>application.api_version</t>
        </is>
      </c>
      <c r="B6" s="37" t="inlineStr">
        <is>
          <t>v1</t>
        </is>
      </c>
      <c r="C6" s="37" t="inlineStr">
        <is>
          <t>v1</t>
        </is>
      </c>
      <c r="D6" s="37" t="inlineStr">
        <is>
          <t>v1</t>
        </is>
      </c>
      <c r="E6" s="37" t="inlineStr">
        <is>
          <t>REST API version prefix used in all endpoint paths (/api/v1/)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vN where N is a positive integer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application.name</t>
        </is>
      </c>
      <c r="L6" s="37" t="inlineStr"/>
      <c r="M6" s="38" t="inlineStr">
        <is>
          <t>2026-07-01</t>
        </is>
      </c>
    </row>
    <row r="7" ht="26" customHeight="1">
      <c r="A7" s="42" t="inlineStr">
        <is>
          <t>application.presigned_url_ttl_seconds</t>
        </is>
      </c>
      <c r="B7" s="39" t="inlineStr">
        <is>
          <t>86400</t>
        </is>
      </c>
      <c r="C7" s="39" t="inlineStr">
        <is>
          <t>86400</t>
        </is>
      </c>
      <c r="D7" s="39" t="inlineStr">
        <is>
          <t>86400</t>
        </is>
      </c>
      <c r="E7" s="39" t="inlineStr">
        <is>
          <t>Expiry time in seconds for S3 presigned artifact download URLs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3600-604800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storage.s3.artifacts_bucket_name</t>
        </is>
      </c>
      <c r="L7" s="39" t="inlineStr">
        <is>
          <t>24-hour TTL per detailed design; clients must re-request if TTL expires</t>
        </is>
      </c>
      <c r="M7" s="40" t="inlineStr">
        <is>
          <t>2026-07-01</t>
        </is>
      </c>
    </row>
    <row r="8" ht="26" customHeight="1">
      <c r="A8" s="43" t="inlineStr">
        <is>
          <t>application.max_brief_size_kb</t>
        </is>
      </c>
      <c r="B8" s="37" t="inlineStr">
        <is>
          <t>512</t>
        </is>
      </c>
      <c r="C8" s="37" t="inlineStr">
        <is>
          <t>512</t>
        </is>
      </c>
      <c r="D8" s="37" t="inlineStr">
        <is>
          <t>512</t>
        </is>
      </c>
      <c r="E8" s="37" t="inlineStr">
        <is>
          <t>Maximum allowed client brief JSON payload size in kilobytes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64-1024</t>
        </is>
      </c>
      <c r="I8" s="38" t="inlineStr">
        <is>
          <t>Public</t>
        </is>
      </c>
      <c r="J8" s="37" t="inlineStr">
        <is>
          <t>Development</t>
        </is>
      </c>
      <c r="K8" s="37" t="inlineStr"/>
      <c r="L8" s="37" t="inlineStr">
        <is>
          <t>Enforced by API Gateway request validator; rejects oversized briefs before Lambda invocation</t>
        </is>
      </c>
      <c r="M8" s="38" t="inlineStr">
        <is>
          <t>2026-07-01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monitoring.cloudwatch.operations_dashboard</t>
        </is>
      </c>
      <c r="B3" s="39" t="inlineStr">
        <is>
          <t>amatra-isb-operations-prod</t>
        </is>
      </c>
      <c r="C3" s="39" t="inlineStr">
        <is>
          <t>amatra-isb-operations-dev</t>
        </is>
      </c>
      <c r="D3" s="39" t="inlineStr">
        <is>
          <t>amatra-isb-operations-prod</t>
        </is>
      </c>
      <c r="E3" s="39" t="inlineStr">
        <is>
          <t>CloudWatch dashboard name for real-time async job queue depth and Lambda error rates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max 255 chars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aws.region</t>
        </is>
      </c>
      <c r="L3" s="39" t="inlineStr">
        <is>
          <t>One of 3 CloudWatch dashboards per detailed design; JSON definitions delivered in handover package</t>
        </is>
      </c>
      <c r="M3" s="40" t="inlineStr">
        <is>
          <t>2026-07-01</t>
        </is>
      </c>
    </row>
    <row r="4" ht="26" customHeight="1">
      <c r="A4" s="43" t="inlineStr">
        <is>
          <t>monitoring.cloudwatch.sla_dashboard</t>
        </is>
      </c>
      <c r="B4" s="37" t="inlineStr">
        <is>
          <t>amatra-isb-sla-prod</t>
        </is>
      </c>
      <c r="C4" s="37" t="inlineStr">
        <is>
          <t>amatra-isb-sla-dev</t>
        </is>
      </c>
      <c r="D4" s="37" t="inlineStr">
        <is>
          <t>amatra-isb-sla-prod</t>
        </is>
      </c>
      <c r="E4" s="37" t="inlineStr">
        <is>
          <t>CloudWatch dashboard name for monthly availability percentage and job completion rate vs SLA targets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 max 255 chars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aws.region</t>
        </is>
      </c>
      <c r="L4" s="37" t="inlineStr">
        <is>
          <t>Tracks 99.9% availability and ≤60 min job completion SLA; reviewed by VP Engineering weekly</t>
        </is>
      </c>
      <c r="M4" s="38" t="inlineStr">
        <is>
          <t>2026-07-01</t>
        </is>
      </c>
    </row>
    <row r="5" ht="26" customHeight="1">
      <c r="A5" s="42" t="inlineStr">
        <is>
          <t>monitoring.cloudwatch.quality_dashboard</t>
        </is>
      </c>
      <c r="B5" s="39" t="inlineStr">
        <is>
          <t>amatra-isb-quality-prod</t>
        </is>
      </c>
      <c r="C5" s="39" t="inlineStr">
        <is>
          <t>amatra-isb-quality-dev</t>
        </is>
      </c>
      <c r="D5" s="39" t="inlineStr">
        <is>
          <t>amatra-isb-quality-prod</t>
        </is>
      </c>
      <c r="E5" s="39" t="inlineStr">
        <is>
          <t>CloudWatch dashboard name for QA first-pass acceptance rate and Bedrock token consumption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 max 255 chars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aws.region</t>
        </is>
      </c>
      <c r="L5" s="39" t="inlineStr">
        <is>
          <t>Tracks ≥90% QA first-pass target and monthly token budget; token P3 alarm fires at 80% consumed</t>
        </is>
      </c>
      <c r="M5" s="40" t="inlineStr">
        <is>
          <t>2026-07-01</t>
        </is>
      </c>
    </row>
    <row r="6" ht="26" customHeight="1">
      <c r="A6" s="43" t="inlineStr">
        <is>
          <t>monitoring.cloudwatch.log_retention_days</t>
        </is>
      </c>
      <c r="B6" s="37" t="inlineStr">
        <is>
          <t>90</t>
        </is>
      </c>
      <c r="C6" s="37" t="inlineStr">
        <is>
          <t>30</t>
        </is>
      </c>
      <c r="D6" s="37" t="inlineStr">
        <is>
          <t>90</t>
        </is>
      </c>
      <c r="E6" s="37" t="inlineStr">
        <is>
          <t>Retention period in days for all Lambda function CloudWatch Log Groups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1-3653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90 days balances cost and investigation window; structured JSON format enables Log Insights queries</t>
        </is>
      </c>
      <c r="M6" s="38" t="inlineStr">
        <is>
          <t>2026-07-01</t>
        </is>
      </c>
    </row>
    <row r="7" ht="26" customHeight="1">
      <c r="A7" s="42" t="inlineStr">
        <is>
          <t>monitoring.sns.alerts_topic_arn</t>
        </is>
      </c>
      <c r="B7" s="39" t="inlineStr">
        <is>
          <t>[sns-alerts-topic-arn]</t>
        </is>
      </c>
      <c r="C7" s="39" t="inlineStr">
        <is>
          <t>[sns-alerts-topic-arn]</t>
        </is>
      </c>
      <c r="D7" s="39" t="inlineStr">
        <is>
          <t>[sns-alerts-topic-arn]</t>
        </is>
      </c>
      <c r="E7" s="39" t="inlineStr">
        <is>
          <t>SNS topic ARN for operational alerts routing to PagerDuty (P1) and Slack (P2)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SNS ARN</t>
        </is>
      </c>
      <c r="I7" s="40" t="inlineStr">
        <is>
          <t>Confidential</t>
        </is>
      </c>
      <c r="J7" s="39" t="inlineStr">
        <is>
          <t>Operations</t>
        </is>
      </c>
      <c r="K7" s="39" t="inlineStr">
        <is>
          <t>aws.region</t>
        </is>
      </c>
      <c r="L7" s="39" t="inlineStr">
        <is>
          <t>All CloudWatch alarms route to this topic; subscriptions: PagerDuty P1 / Slack #amatra-isb-ops P2</t>
        </is>
      </c>
      <c r="M7" s="40" t="inlineStr">
        <is>
          <t>2026-07-01</t>
        </is>
      </c>
    </row>
    <row r="8" ht="26" customHeight="1">
      <c r="A8" s="43" t="inlineStr">
        <is>
          <t>monitoring.alarm.job_failure_rate_threshold_pct</t>
        </is>
      </c>
      <c r="B8" s="37" t="inlineStr">
        <is>
          <t>5</t>
        </is>
      </c>
      <c r="C8" s="37" t="inlineStr">
        <is>
          <t>10</t>
        </is>
      </c>
      <c r="D8" s="37" t="inlineStr">
        <is>
          <t>5</t>
        </is>
      </c>
      <c r="E8" s="37" t="inlineStr">
        <is>
          <t>Async job failure rate percentage threshold that triggers a P1 PagerDuty alert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monitoring.sns.alerts_topic_arn</t>
        </is>
      </c>
      <c r="L8" s="37" t="inlineStr">
        <is>
          <t>Evaluated over 5-minute window on Step Functions execution failure rate metric</t>
        </is>
      </c>
      <c r="M8" s="38" t="inlineStr">
        <is>
          <t>2026-07-01</t>
        </is>
      </c>
    </row>
    <row r="9" ht="26" customHeight="1">
      <c r="A9" s="42" t="inlineStr">
        <is>
          <t>monitoring.alarm.api_5xx_threshold_pct</t>
        </is>
      </c>
      <c r="B9" s="39" t="inlineStr">
        <is>
          <t>1</t>
        </is>
      </c>
      <c r="C9" s="39" t="inlineStr">
        <is>
          <t>5</t>
        </is>
      </c>
      <c r="D9" s="39" t="inlineStr">
        <is>
          <t>1</t>
        </is>
      </c>
      <c r="E9" s="39" t="inlineStr">
        <is>
          <t>API Gateway 5xx error rate percentage threshold that triggers a P2 Slack alert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monitoring.sns.alerts_topic_arn</t>
        </is>
      </c>
      <c r="L9" s="39" t="inlineStr">
        <is>
          <t>Evaluated over 15-minute window; VP Engineering notified via Slack #amatra-isb-ops</t>
        </is>
      </c>
      <c r="M9" s="40" t="inlineStr">
        <is>
          <t>2026-07-01</t>
        </is>
      </c>
    </row>
    <row r="10" ht="26" customHeight="1">
      <c r="A10" s="43" t="inlineStr">
        <is>
          <t>monitoring.alarm.bedrock_budget_warning_pct</t>
        </is>
      </c>
      <c r="B10" s="37" t="inlineStr">
        <is>
          <t>80</t>
        </is>
      </c>
      <c r="C10" s="37" t="inlineStr">
        <is>
          <t>80</t>
        </is>
      </c>
      <c r="D10" s="37" t="inlineStr">
        <is>
          <t>80</t>
        </is>
      </c>
      <c r="E10" s="37" t="inlineStr">
        <is>
          <t>Bedrock monthly token consumption percentage threshold that triggers a P3 email alert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50-100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monitoring.sns.alerts_topic_arn</t>
        </is>
      </c>
      <c r="L10" s="37" t="inlineStr">
        <is>
          <t>Email sent to Head of Solutions; triggers Haiku substitution review per detailed design cost model</t>
        </is>
      </c>
      <c r="M10" s="38" t="inlineStr">
        <is>
          <t>2026-07-01</t>
        </is>
      </c>
    </row>
    <row r="11" ht="26" customHeight="1">
      <c r="A11" s="42" t="inlineStr">
        <is>
          <t>monitoring.alarm.dlq_depth_threshold</t>
        </is>
      </c>
      <c r="B11" s="39" t="inlineStr">
        <is>
          <t>1</t>
        </is>
      </c>
      <c r="C11" s="39" t="inlineStr">
        <is>
          <t>1</t>
        </is>
      </c>
      <c r="D11" s="39" t="inlineStr">
        <is>
          <t>1</t>
        </is>
      </c>
      <c r="E11" s="39" t="inlineStr">
        <is>
          <t>SQS DLQ message count threshold that triggers a P1 alert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monitoring.sns.alerts_topic_arn,integration.sqs.dlq_name</t>
        </is>
      </c>
      <c r="L11" s="39" t="inlineStr">
        <is>
          <t>Any DLQ message is P1; evaluated immediately; VP Engineering investigates failed job</t>
        </is>
      </c>
      <c r="M11" s="40" t="inlineStr">
        <is>
          <t>2026-07-01</t>
        </is>
      </c>
    </row>
    <row r="12" ht="26" customHeight="1">
      <c r="A12" s="43" t="inlineStr">
        <is>
          <t>monitoring.alarm.cognito_auth_failure_pct</t>
        </is>
      </c>
      <c r="B12" s="37" t="inlineStr">
        <is>
          <t>10</t>
        </is>
      </c>
      <c r="C12" s="37" t="inlineStr">
        <is>
          <t>20</t>
        </is>
      </c>
      <c r="D12" s="37" t="inlineStr">
        <is>
          <t>10</t>
        </is>
      </c>
      <c r="E12" s="37" t="inlineStr">
        <is>
          <t>Cognito authentication failure rate percentage threshold triggering a P2 alert and GuardDuty review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monitoring.sns.alerts_topic_arn,security.guardduty_enabled</t>
        </is>
      </c>
      <c r="L12" s="37" t="inlineStr">
        <is>
          <t>Credential-stuffing detection; automated Lambda remediation suspends Cognito user if GuardDuty confirms</t>
        </is>
      </c>
      <c r="M12" s="38" t="inlineStr">
        <is>
          <t>2026-07-01</t>
        </is>
      </c>
    </row>
    <row r="13" ht="26" customHeight="1">
      <c r="A13" s="42" t="inlineStr">
        <is>
          <t>monitoring.synthetics.health_check_interval_seconds</t>
        </is>
      </c>
      <c r="B13" s="39" t="inlineStr">
        <is>
          <t>60</t>
        </is>
      </c>
      <c r="C13" s="39" t="inlineStr">
        <is>
          <t>300</t>
        </is>
      </c>
      <c r="D13" s="39" t="inlineStr">
        <is>
          <t>60</t>
        </is>
      </c>
      <c r="E13" s="39" t="inlineStr">
        <is>
          <t>CloudWatch Synthetics canary polling interval in seconds for GET /api/v1/health availability measurement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60-3600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integration.api_gateway.rest_api_id</t>
        </is>
      </c>
      <c r="L13" s="39" t="inlineStr">
        <is>
          <t>Primary SLA measurement signal for 99.9% monthly availability target; runs from us-west-2</t>
        </is>
      </c>
      <c r="M13" s="40" t="inlineStr">
        <is>
          <t>2026-07-01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integration.api_gateway.rest_api_id</t>
        </is>
      </c>
      <c r="B3" s="39" t="inlineStr">
        <is>
          <t>[api-gateway-rest-api-id]</t>
        </is>
      </c>
      <c r="C3" s="39" t="inlineStr">
        <is>
          <t>[api-gateway-rest-api-id]</t>
        </is>
      </c>
      <c r="D3" s="39" t="inlineStr">
        <is>
          <t>[api-gateway-rest-api-id]</t>
        </is>
      </c>
      <c r="E3" s="39" t="inlineStr">
        <is>
          <t>API Gateway REST API ID for the platform endpoint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10-char alphanumeric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>
        <is>
          <t>aws.region</t>
        </is>
      </c>
      <c r="L3" s="39" t="inlineStr">
        <is>
          <t>Generated by CloudFormation; referenced by WAF WebACL attachment and custom domain mapping</t>
        </is>
      </c>
      <c r="M3" s="40" t="inlineStr">
        <is>
          <t>2026-07-01</t>
        </is>
      </c>
    </row>
    <row r="4" ht="26" customHeight="1">
      <c r="A4" s="43" t="inlineStr">
        <is>
          <t>integration.api_gateway.stage_name</t>
        </is>
      </c>
      <c r="B4" s="37" t="inlineStr">
        <is>
          <t>prod</t>
        </is>
      </c>
      <c r="C4" s="37" t="inlineStr">
        <is>
          <t>dev</t>
        </is>
      </c>
      <c r="D4" s="37" t="inlineStr">
        <is>
          <t>prod</t>
        </is>
      </c>
      <c r="E4" s="37" t="inlineStr">
        <is>
          <t>API Gateway deployment stage name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max 128 chars</t>
        </is>
      </c>
      <c r="I4" s="38" t="inlineStr">
        <is>
          <t>Public</t>
        </is>
      </c>
      <c r="J4" s="37" t="inlineStr">
        <is>
          <t>Integration Team</t>
        </is>
      </c>
      <c r="K4" s="37" t="inlineStr">
        <is>
          <t>integration.api_gateway.rest_api_id</t>
        </is>
      </c>
      <c r="L4" s="37" t="inlineStr"/>
      <c r="M4" s="38" t="inlineStr">
        <is>
          <t>2026-07-01</t>
        </is>
      </c>
    </row>
    <row r="5" ht="26" customHeight="1">
      <c r="A5" s="42" t="inlineStr">
        <is>
          <t>integration.api_gateway.throttle_burst_rps</t>
        </is>
      </c>
      <c r="B5" s="39" t="inlineStr">
        <is>
          <t>500</t>
        </is>
      </c>
      <c r="C5" s="39" t="inlineStr">
        <is>
          <t>50</t>
        </is>
      </c>
      <c r="D5" s="39" t="inlineStr">
        <is>
          <t>500</t>
        </is>
      </c>
      <c r="E5" s="39" t="inlineStr">
        <is>
          <t>API Gateway stage-level burst throttle limit in requests per second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1-10000</t>
        </is>
      </c>
      <c r="I5" s="40" t="inlineStr">
        <is>
          <t>Public</t>
        </is>
      </c>
      <c r="J5" s="39" t="inlineStr">
        <is>
          <t>Integration Team</t>
        </is>
      </c>
      <c r="K5" s="39" t="inlineStr">
        <is>
          <t>integration.api_gateway.rest_api_id</t>
        </is>
      </c>
      <c r="L5" s="39" t="inlineStr">
        <is>
          <t>500 RPS burst aligned to Lambda reserved concurrency of 500; prevents Lambda starvation</t>
        </is>
      </c>
      <c r="M5" s="40" t="inlineStr">
        <is>
          <t>2026-07-01</t>
        </is>
      </c>
    </row>
    <row r="6" ht="26" customHeight="1">
      <c r="A6" s="43" t="inlineStr">
        <is>
          <t>integration.api_gateway.throttle_steady_rps</t>
        </is>
      </c>
      <c r="B6" s="37" t="inlineStr">
        <is>
          <t>200</t>
        </is>
      </c>
      <c r="C6" s="37" t="inlineStr">
        <is>
          <t>20</t>
        </is>
      </c>
      <c r="D6" s="37" t="inlineStr">
        <is>
          <t>200</t>
        </is>
      </c>
      <c r="E6" s="37" t="inlineStr">
        <is>
          <t>API Gateway stage-level steady-state throttle limit in requests per second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1-10000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integration.api_gateway.rest_api_id</t>
        </is>
      </c>
      <c r="L6" s="37" t="inlineStr">
        <is>
          <t>200 RPS steady-state supports 120 concurrent users with comfortable headroom</t>
        </is>
      </c>
      <c r="M6" s="38" t="inlineStr">
        <is>
          <t>2026-07-01</t>
        </is>
      </c>
    </row>
    <row r="7" ht="26" customHeight="1">
      <c r="A7" s="42" t="inlineStr">
        <is>
          <t>integration.api_gateway.custom_domain</t>
        </is>
      </c>
      <c r="B7" s="39" t="inlineStr">
        <is>
          <t>[api-custom-domain]</t>
        </is>
      </c>
      <c r="C7" s="39" t="inlineStr">
        <is>
          <t>[api-custom-domain-dev]</t>
        </is>
      </c>
      <c r="D7" s="39" t="inlineStr">
        <is>
          <t>[api-custom-domain]</t>
        </is>
      </c>
      <c r="E7" s="39" t="inlineStr">
        <is>
          <t>Custom domain name for the API Gateway endpoint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FQDN</t>
        </is>
      </c>
      <c r="I7" s="40" t="inlineStr">
        <is>
          <t>Confidential</t>
        </is>
      </c>
      <c r="J7" s="39" t="inlineStr">
        <is>
          <t>Integration Team</t>
        </is>
      </c>
      <c r="K7" s="39" t="inlineStr">
        <is>
          <t>integration.api_gateway.rest_api_id</t>
        </is>
      </c>
      <c r="L7" s="39" t="inlineStr">
        <is>
          <t>ACM certificate auto-renews; TLS 1.2+ security policy enforced; DNS TTL 60 s pre-cutover</t>
        </is>
      </c>
      <c r="M7" s="40" t="inlineStr">
        <is>
          <t>2026-07-01</t>
        </is>
      </c>
    </row>
    <row r="8" ht="26" customHeight="1">
      <c r="A8" s="43" t="inlineStr">
        <is>
          <t>integration.bedrock.sonnet_model_id</t>
        </is>
      </c>
      <c r="B8" s="37" t="inlineStr">
        <is>
          <t>anthropic.claude-3-sonnet-20240229-v1:0</t>
        </is>
      </c>
      <c r="C8" s="37" t="inlineStr">
        <is>
          <t>anthropic.claude-3-sonnet-20240229-v1:0</t>
        </is>
      </c>
      <c r="D8" s="37" t="inlineStr">
        <is>
          <t>anthropic.claude-3-sonnet-20240229-v1:0</t>
        </is>
      </c>
      <c r="E8" s="37" t="inlineStr">
        <is>
          <t>Amazon Bedrock model ID for Claude 3 Sonnet used for complex artifact types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Bedrock model ID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aws.region</t>
        </is>
      </c>
      <c r="L8" s="37" t="inlineStr">
        <is>
          <t>Used for SoW / detailed design / implementation guide types; ~10M input tokens/month per SOW</t>
        </is>
      </c>
      <c r="M8" s="38" t="inlineStr">
        <is>
          <t>2026-07-01</t>
        </is>
      </c>
    </row>
    <row r="9" ht="26" customHeight="1">
      <c r="A9" s="42" t="inlineStr">
        <is>
          <t>integration.bedrock.haiku_model_id</t>
        </is>
      </c>
      <c r="B9" s="39" t="inlineStr">
        <is>
          <t>anthropic.claude-3-haiku-20240307-v1:0</t>
        </is>
      </c>
      <c r="C9" s="39" t="inlineStr">
        <is>
          <t>anthropic.claude-3-haiku-20240307-v1:0</t>
        </is>
      </c>
      <c r="D9" s="39" t="inlineStr">
        <is>
          <t>anthropic.claude-3-haiku-20240307-v1:0</t>
        </is>
      </c>
      <c r="E9" s="39" t="inlineStr">
        <is>
          <t>Amazon Bedrock model ID for Claude 3 Haiku used for lightweight artifact types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Bedrock model ID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aws.region</t>
        </is>
      </c>
      <c r="L9" s="39" t="inlineStr">
        <is>
          <t>Used for discovery questionnaire type; ~60% lower cost than Sonnet per SOW cost model</t>
        </is>
      </c>
      <c r="M9" s="40" t="inlineStr">
        <is>
          <t>2026-07-01</t>
        </is>
      </c>
    </row>
    <row r="10" ht="26" customHeight="1">
      <c r="A10" s="43" t="inlineStr">
        <is>
          <t>integration.bedrock.max_input_tokens_monthly</t>
        </is>
      </c>
      <c r="B10" s="37" t="inlineStr">
        <is>
          <t>10000000</t>
        </is>
      </c>
      <c r="C10" s="37" t="inlineStr">
        <is>
          <t>1000000</t>
        </is>
      </c>
      <c r="D10" s="37" t="inlineStr">
        <is>
          <t>10000000</t>
        </is>
      </c>
      <c r="E10" s="37" t="inlineStr">
        <is>
          <t>Monthly Bedrock input token budget across all artifact generation jobs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100000-100000000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integration.bedrock.sonnet_model_id</t>
        </is>
      </c>
      <c r="L10" s="37" t="inlineStr">
        <is>
          <t>P3 CloudWatch alarm fires at 80% consumed; aligned to SOW scope ~10M input tokens/month</t>
        </is>
      </c>
      <c r="M10" s="38" t="inlineStr">
        <is>
          <t>2026-07-01</t>
        </is>
      </c>
    </row>
    <row r="11" ht="26" customHeight="1">
      <c r="A11" s="42" t="inlineStr">
        <is>
          <t>integration.bedrock.max_output_tokens_monthly</t>
        </is>
      </c>
      <c r="B11" s="39" t="inlineStr">
        <is>
          <t>5000000</t>
        </is>
      </c>
      <c r="C11" s="39" t="inlineStr">
        <is>
          <t>500000</t>
        </is>
      </c>
      <c r="D11" s="39" t="inlineStr">
        <is>
          <t>5000000</t>
        </is>
      </c>
      <c r="E11" s="39" t="inlineStr">
        <is>
          <t>Monthly Bedrock output token budget across all artifact generation jobs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100000-50000000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integration.bedrock.sonnet_model_id</t>
        </is>
      </c>
      <c r="L11" s="39" t="inlineStr">
        <is>
          <t>Aligned to SOW scope ~5M output tokens/month; Haiku substitution reduces cost when budget at 80%</t>
        </is>
      </c>
      <c r="M11" s="40" t="inlineStr">
        <is>
          <t>2026-07-01</t>
        </is>
      </c>
    </row>
    <row r="12" ht="26" customHeight="1">
      <c r="A12" s="43" t="inlineStr">
        <is>
          <t>integration.bedrock.retry_max_attempts</t>
        </is>
      </c>
      <c r="B12" s="37" t="inlineStr">
        <is>
          <t>3</t>
        </is>
      </c>
      <c r="C12" s="37" t="inlineStr">
        <is>
          <t>3</t>
        </is>
      </c>
      <c r="D12" s="37" t="inlineStr">
        <is>
          <t>3</t>
        </is>
      </c>
      <c r="E12" s="37" t="inlineStr">
        <is>
          <t>Maximum Step Functions retry attempts on Bedrock ThrottlingException or ServiceUnavailableException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integration.bedrock.sonnet_model_id,integration.bedrock.haiku_model_id</t>
        </is>
      </c>
      <c r="L12" s="37" t="inlineStr">
        <is>
          <t>Exponential backoff with 30 s initial interval and rate 2; after 3 failures job marked FAILED</t>
        </is>
      </c>
      <c r="M12" s="38" t="inlineStr">
        <is>
          <t>2026-07-01</t>
        </is>
      </c>
    </row>
    <row r="13" ht="26" customHeight="1">
      <c r="A13" s="42" t="inlineStr">
        <is>
          <t>integration.bedrock.retry_interval_seconds</t>
        </is>
      </c>
      <c r="B13" s="39" t="inlineStr">
        <is>
          <t>30</t>
        </is>
      </c>
      <c r="C13" s="39" t="inlineStr">
        <is>
          <t>10</t>
        </is>
      </c>
      <c r="D13" s="39" t="inlineStr">
        <is>
          <t>30</t>
        </is>
      </c>
      <c r="E13" s="39" t="inlineStr">
        <is>
          <t>Initial retry interval in seconds for Bedrock invocation failures in Step Functions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1-300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integration.bedrock.retry_max_attempts</t>
        </is>
      </c>
      <c r="L13" s="39" t="inlineStr"/>
      <c r="M13" s="40" t="inlineStr">
        <is>
          <t>2026-07-01</t>
        </is>
      </c>
    </row>
    <row r="14" ht="26" customHeight="1">
      <c r="A14" s="43" t="inlineStr">
        <is>
          <t>integration.sqs.job_queue_name</t>
        </is>
      </c>
      <c r="B14" s="37" t="inlineStr">
        <is>
          <t>amatra-isb-job-queue-prod</t>
        </is>
      </c>
      <c r="C14" s="37" t="inlineStr">
        <is>
          <t>amatra-isb-job-queue-dev</t>
        </is>
      </c>
      <c r="D14" s="37" t="inlineStr">
        <is>
          <t>amatra-isb-job-queue-prod</t>
        </is>
      </c>
      <c r="E14" s="37" t="inlineStr">
        <is>
          <t>SQS Standard Queue name for async generation job messages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Alphanumeric hyphens max 80 chars</t>
        </is>
      </c>
      <c r="I14" s="38" t="inlineStr">
        <is>
          <t>Confidential</t>
        </is>
      </c>
      <c r="J14" s="37" t="inlineStr">
        <is>
          <t>Integration Team</t>
        </is>
      </c>
      <c r="K14" s="37" t="inlineStr">
        <is>
          <t>aws.region</t>
        </is>
      </c>
      <c r="L14" s="37" t="inlineStr">
        <is>
          <t>Visibility timeout 5 min; message retention 4 days; DLQ attached per detailed design</t>
        </is>
      </c>
      <c r="M14" s="38" t="inlineStr">
        <is>
          <t>2026-07-01</t>
        </is>
      </c>
    </row>
    <row r="15" ht="26" customHeight="1">
      <c r="A15" s="42" t="inlineStr">
        <is>
          <t>integration.sqs.dlq_name</t>
        </is>
      </c>
      <c r="B15" s="39" t="inlineStr">
        <is>
          <t>amatra-isb-job-dlq-prod</t>
        </is>
      </c>
      <c r="C15" s="39" t="inlineStr">
        <is>
          <t>amatra-isb-job-dlq-dev</t>
        </is>
      </c>
      <c r="D15" s="39" t="inlineStr">
        <is>
          <t>amatra-isb-job-dlq-prod</t>
        </is>
      </c>
      <c r="E15" s="39" t="inlineStr">
        <is>
          <t>SQS Dead Letter Queue name for failed job messages after max receive attempts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Alphanumeric hyphens max 80 chars</t>
        </is>
      </c>
      <c r="I15" s="40" t="inlineStr">
        <is>
          <t>Confidential</t>
        </is>
      </c>
      <c r="J15" s="39" t="inlineStr">
        <is>
          <t>Integration Team</t>
        </is>
      </c>
      <c r="K15" s="39" t="inlineStr">
        <is>
          <t>integration.sqs.job_queue_name</t>
        </is>
      </c>
      <c r="L15" s="39" t="inlineStr">
        <is>
          <t>DLQ depth &gt; 0 triggers P1 SNS alert; messages investigated and replayed manually or via replay Lambda</t>
        </is>
      </c>
      <c r="M15" s="40" t="inlineStr">
        <is>
          <t>2026-07-01</t>
        </is>
      </c>
    </row>
    <row r="16" ht="26" customHeight="1">
      <c r="A16" s="43" t="inlineStr">
        <is>
          <t>integration.sqs.visibility_timeout_seconds</t>
        </is>
      </c>
      <c r="B16" s="37" t="inlineStr">
        <is>
          <t>300</t>
        </is>
      </c>
      <c r="C16" s="37" t="inlineStr">
        <is>
          <t>300</t>
        </is>
      </c>
      <c r="D16" s="37" t="inlineStr">
        <is>
          <t>300</t>
        </is>
      </c>
      <c r="E16" s="37" t="inlineStr">
        <is>
          <t>SQS visibility timeout in seconds for job queue messages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0-43200</t>
        </is>
      </c>
      <c r="I16" s="38" t="inlineStr">
        <is>
          <t>Public</t>
        </is>
      </c>
      <c r="J16" s="37" t="inlineStr">
        <is>
          <t>Integration Team</t>
        </is>
      </c>
      <c r="K16" s="37" t="inlineStr">
        <is>
          <t>integration.sqs.job_queue_name</t>
        </is>
      </c>
      <c r="L16" s="37" t="inlineStr">
        <is>
          <t>Must be &gt;= Step Functions Initiator Lambda timeout to prevent duplicate processing</t>
        </is>
      </c>
      <c r="M16" s="38" t="inlineStr">
        <is>
          <t>2026-07-01</t>
        </is>
      </c>
    </row>
    <row r="17" ht="26" customHeight="1">
      <c r="A17" s="42" t="inlineStr">
        <is>
          <t>integration.sqs.message_retention_seconds</t>
        </is>
      </c>
      <c r="B17" s="39" t="inlineStr">
        <is>
          <t>345600</t>
        </is>
      </c>
      <c r="C17" s="39" t="inlineStr">
        <is>
          <t>345600</t>
        </is>
      </c>
      <c r="D17" s="39" t="inlineStr">
        <is>
          <t>345600</t>
        </is>
      </c>
      <c r="E17" s="39" t="inlineStr">
        <is>
          <t>SQS message retention period in seconds (4 days)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60-1209600</t>
        </is>
      </c>
      <c r="I17" s="40" t="inlineStr">
        <is>
          <t>Public</t>
        </is>
      </c>
      <c r="J17" s="39" t="inlineStr">
        <is>
          <t>Integration Team</t>
        </is>
      </c>
      <c r="K17" s="39" t="inlineStr">
        <is>
          <t>integration.sqs.job_queue_name</t>
        </is>
      </c>
      <c r="L17" s="39" t="inlineStr">
        <is>
          <t>4 days provides buffer for investigation of stuck jobs; DLQ catches unprocessed messages</t>
        </is>
      </c>
      <c r="M17" s="40" t="inlineStr">
        <is>
          <t>2026-07-01</t>
        </is>
      </c>
    </row>
    <row r="18" ht="26" customHeight="1">
      <c r="A18" s="43" t="inlineStr">
        <is>
          <t>integration.sqs.max_receive_count</t>
        </is>
      </c>
      <c r="B18" s="37" t="inlineStr">
        <is>
          <t>3</t>
        </is>
      </c>
      <c r="C18" s="37" t="inlineStr">
        <is>
          <t>3</t>
        </is>
      </c>
      <c r="D18" s="37" t="inlineStr">
        <is>
          <t>3</t>
        </is>
      </c>
      <c r="E18" s="37" t="inlineStr">
        <is>
          <t>Maximum number of times a message is received before moving to the DLQ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1-1000</t>
        </is>
      </c>
      <c r="I18" s="38" t="inlineStr">
        <is>
          <t>Public</t>
        </is>
      </c>
      <c r="J18" s="37" t="inlineStr">
        <is>
          <t>Integration Team</t>
        </is>
      </c>
      <c r="K18" s="37" t="inlineStr">
        <is>
          <t>integration.sqs.job_queue_name,integration.sqs.dlq_name</t>
        </is>
      </c>
      <c r="L18" s="37" t="inlineStr">
        <is>
          <t>Aligns to Bedrock retry max attempts; after 3 failures message routes to DLQ for triage</t>
        </is>
      </c>
      <c r="M18" s="38" t="inlineStr">
        <is>
          <t>2026-07-01</t>
        </is>
      </c>
    </row>
    <row r="19" ht="26" customHeight="1">
      <c r="A19" s="42" t="inlineStr">
        <is>
          <t>integration.stepfunctions.state_machine_arn</t>
        </is>
      </c>
      <c r="B19" s="39" t="inlineStr">
        <is>
          <t>[step-functions-state-machine-arn]</t>
        </is>
      </c>
      <c r="C19" s="39" t="inlineStr">
        <is>
          <t>[step-functions-state-machine-arn]</t>
        </is>
      </c>
      <c r="D19" s="39" t="inlineStr">
        <is>
          <t>[step-functions-state-machine-arn]</t>
        </is>
      </c>
      <c r="E19" s="39" t="inlineStr">
        <is>
          <t>ARN of the AWS Step Functions Standard Workflow for async generation orchestration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Valid Step Functions ARN</t>
        </is>
      </c>
      <c r="I19" s="40" t="inlineStr">
        <is>
          <t>Confidential</t>
        </is>
      </c>
      <c r="J19" s="39" t="inlineStr">
        <is>
          <t>Integration Team</t>
        </is>
      </c>
      <c r="K19" s="39" t="inlineStr">
        <is>
          <t>aws.region</t>
        </is>
      </c>
      <c r="L19" s="39" t="inlineStr">
        <is>
          <t>Supports up to 2000 concurrent executions; 90-day execution history retention per detailed design</t>
        </is>
      </c>
      <c r="M19" s="40" t="inlineStr">
        <is>
          <t>2026-07-01</t>
        </is>
      </c>
    </row>
    <row r="20" ht="26" customHeight="1">
      <c r="A20" s="43" t="inlineStr">
        <is>
          <t>integration.stepfunctions.execution_history_days</t>
        </is>
      </c>
      <c r="B20" s="37" t="inlineStr">
        <is>
          <t>90</t>
        </is>
      </c>
      <c r="C20" s="37" t="inlineStr">
        <is>
          <t>30</t>
        </is>
      </c>
      <c r="D20" s="37" t="inlineStr">
        <is>
          <t>90</t>
        </is>
      </c>
      <c r="E20" s="37" t="inlineStr">
        <is>
          <t>Step Functions execution history retention period in days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1-90</t>
        </is>
      </c>
      <c r="I20" s="38" t="inlineStr">
        <is>
          <t>Public</t>
        </is>
      </c>
      <c r="J20" s="37" t="inlineStr">
        <is>
          <t>Integration Team</t>
        </is>
      </c>
      <c r="K20" s="37" t="inlineStr">
        <is>
          <t>integration.stepfunctions.state_machine_arn</t>
        </is>
      </c>
      <c r="L20" s="37" t="inlineStr">
        <is>
          <t>90 days supports job audit and replay; CloudTrail provides longer-term audit trail</t>
        </is>
      </c>
      <c r="M20" s="38" t="inlineStr">
        <is>
          <t>2026-07-01</t>
        </is>
      </c>
    </row>
    <row r="21" ht="26" customHeight="1">
      <c r="A21" s="42" t="inlineStr">
        <is>
          <t>integration.secrets_manager.secret_prefix</t>
        </is>
      </c>
      <c r="B21" s="39" t="inlineStr">
        <is>
          <t>amatra/prod</t>
        </is>
      </c>
      <c r="C21" s="39" t="inlineStr">
        <is>
          <t>amatra/dev</t>
        </is>
      </c>
      <c r="D21" s="39" t="inlineStr">
        <is>
          <t>amatra/prod</t>
        </is>
      </c>
      <c r="E21" s="39" t="inlineStr">
        <is>
          <t>Prefix path for all Secrets Manager secrets following convention amatra/{env}/{service}/{secret-name}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Alphanumeric slashes format amatra/{env}</t>
        </is>
      </c>
      <c r="I21" s="40" t="inlineStr">
        <is>
          <t>Confidential</t>
        </is>
      </c>
      <c r="J21" s="39" t="inlineStr">
        <is>
          <t>Integration Team</t>
        </is>
      </c>
      <c r="K21" s="39" t="inlineStr">
        <is>
          <t>aws.region</t>
        </is>
      </c>
      <c r="L21" s="39" t="inlineStr">
        <is>
          <t>All 10 initial secrets stored under this prefix; Lambda caches at init to reduce API call costs</t>
        </is>
      </c>
      <c r="M21" s="40" t="inlineStr">
        <is>
          <t>2026-07-01</t>
        </is>
      </c>
    </row>
    <row r="22" ht="26" customHeight="1">
      <c r="A22" s="43" t="inlineStr">
        <is>
          <t>integration.datadog.api_key</t>
        </is>
      </c>
      <c r="B22" s="37" t="inlineStr">
        <is>
          <t>[datadog-api-key]</t>
        </is>
      </c>
      <c r="C22" s="37" t="inlineStr">
        <is>
          <t>[datadog-api-key]</t>
        </is>
      </c>
      <c r="D22" s="37" t="inlineStr">
        <is>
          <t>[datadog-api-key]</t>
        </is>
      </c>
      <c r="E22" s="37" t="inlineStr">
        <is>
          <t>Datadog API key for Lambda layer APM agent telemetry and cold-start profiling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32-char hex string</t>
        </is>
      </c>
      <c r="I22" s="38" t="inlineStr">
        <is>
          <t>Secret</t>
        </is>
      </c>
      <c r="J22" s="37" t="inlineStr">
        <is>
          <t>Operations</t>
        </is>
      </c>
      <c r="K22" s="37" t="inlineStr">
        <is>
          <t>integration.secrets_manager.secret_prefix</t>
        </is>
      </c>
      <c r="L22" s="37" t="inlineStr">
        <is>
          <t>Store in Secrets Manager under amatra/{env}/datadog/api-key; rotate annually; fire-and-forget telemetry</t>
        </is>
      </c>
      <c r="M22" s="38" t="inlineStr">
        <is>
          <t>2026-07-01</t>
        </is>
      </c>
    </row>
    <row r="23" ht="26" customHeight="1">
      <c r="A23" s="42" t="inlineStr">
        <is>
          <t>integration.github_actions.oidc_role_arn</t>
        </is>
      </c>
      <c r="B23" s="39" t="inlineStr">
        <is>
          <t>[github-actions-oidc-role-arn]</t>
        </is>
      </c>
      <c r="C23" s="39" t="inlineStr">
        <is>
          <t>[github-actions-oidc-role-arn]</t>
        </is>
      </c>
      <c r="D23" s="39" t="inlineStr">
        <is>
          <t>[github-actions-oidc-role-arn]</t>
        </is>
      </c>
      <c r="E23" s="39" t="inlineStr">
        <is>
          <t>IAM Role ARN assumed by GitHub Actions via OIDC for CI/CD deployments</t>
        </is>
      </c>
      <c r="F23" s="40" t="inlineStr">
        <is>
          <t>Yes</t>
        </is>
      </c>
      <c r="G23" s="40" t="inlineStr">
        <is>
          <t>String</t>
        </is>
      </c>
      <c r="H23" s="39" t="inlineStr">
        <is>
          <t>Valid IAM Role ARN</t>
        </is>
      </c>
      <c r="I23" s="40" t="inlineStr">
        <is>
          <t>Secret</t>
        </is>
      </c>
      <c r="J23" s="39" t="inlineStr">
        <is>
          <t>Cloud CoE</t>
        </is>
      </c>
      <c r="K23" s="39" t="inlineStr">
        <is>
          <t>aws.account_id</t>
        </is>
      </c>
      <c r="L23" s="39" t="inlineStr">
        <is>
          <t>No static AWS credentials stored in GitHub; OIDC token exchange per deploy; Prod requires manual approval</t>
        </is>
      </c>
      <c r="M23" s="40" t="inlineStr">
        <is>
          <t>2026-07-01</t>
        </is>
      </c>
    </row>
  </sheetData>
  <autoFilter ref="A2:M23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operations.usage_limit.per_user_monthly_default</t>
        </is>
      </c>
      <c r="B3" s="39" t="inlineStr">
        <is>
          <t>10</t>
        </is>
      </c>
      <c r="C3" s="39" t="inlineStr">
        <is>
          <t>5</t>
        </is>
      </c>
      <c r="D3" s="39" t="inlineStr">
        <is>
          <t>10</t>
        </is>
      </c>
      <c r="E3" s="39" t="inlineStr">
        <is>
          <t>Default monthly generation count limit per Amatra internal user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1-1000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database.usage_tracking_table</t>
        </is>
      </c>
      <c r="L3" s="39" t="inlineStr">
        <is>
          <t>Enforced by pre-authorisation Lambda before each job submission; AmAdmin can override per user</t>
        </is>
      </c>
      <c r="M3" s="40" t="inlineStr">
        <is>
          <t>2026-07-01</t>
        </is>
      </c>
    </row>
    <row r="4" ht="26" customHeight="1">
      <c r="A4" s="43" t="inlineStr">
        <is>
          <t>operations.usage_limit.global_monthly_default</t>
        </is>
      </c>
      <c r="B4" s="37" t="inlineStr">
        <is>
          <t>240</t>
        </is>
      </c>
      <c r="C4" s="37" t="inlineStr">
        <is>
          <t>50</t>
        </is>
      </c>
      <c r="D4" s="37" t="inlineStr">
        <is>
          <t>240</t>
        </is>
      </c>
      <c r="E4" s="37" t="inlineStr">
        <is>
          <t>Default monthly global generation count limit across all users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1-10000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database.usage_tracking_table</t>
        </is>
      </c>
      <c r="L4" s="37" t="inlineStr">
        <is>
          <t>240 = 24 engagements/quarter × 10 artifact types; AmAdmin can override; aligned to SOW scope</t>
        </is>
      </c>
      <c r="M4" s="38" t="inlineStr">
        <is>
          <t>2026-07-01</t>
        </is>
      </c>
    </row>
    <row r="5" ht="26" customHeight="1">
      <c r="A5" s="42" t="inlineStr">
        <is>
          <t>operations.backup.cognito_export_schedule</t>
        </is>
      </c>
      <c r="B5" s="39" t="inlineStr">
        <is>
          <t>cron(0 2 * * ? *)</t>
        </is>
      </c>
      <c r="C5" s="39" t="inlineStr">
        <is>
          <t>cron(0 2 * * ? *)</t>
        </is>
      </c>
      <c r="D5" s="39" t="inlineStr">
        <is>
          <t>cron(0 2 * * ? *)</t>
        </is>
      </c>
      <c r="E5" s="39" t="inlineStr">
        <is>
          <t>CloudWatch Events cron expression for nightly Cognito user pool export to S3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CloudWatch Events cron expression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storage.s3.artifacts_bucket_name,security.cognito.user_pool_id</t>
        </is>
      </c>
      <c r="L5" s="39" t="inlineStr">
        <is>
          <t>Nightly at 02:00 UTC; export encrypted with amatra-s3-artifacts-cmk; ~120 users; RTO ≤30 min restore</t>
        </is>
      </c>
      <c r="M5" s="40" t="inlineStr">
        <is>
          <t>2026-07-01</t>
        </is>
      </c>
    </row>
    <row r="6" ht="26" customHeight="1">
      <c r="A6" s="43" t="inlineStr">
        <is>
          <t>operations.backup.dynamodb_pitr_window_days</t>
        </is>
      </c>
      <c r="B6" s="37" t="inlineStr">
        <is>
          <t>35</t>
        </is>
      </c>
      <c r="C6" s="37" t="inlineStr">
        <is>
          <t>7</t>
        </is>
      </c>
      <c r="D6" s="37" t="inlineStr">
        <is>
          <t>35</t>
        </is>
      </c>
      <c r="E6" s="37" t="inlineStr">
        <is>
          <t>DynamoDB PITR continuous backup window in days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1-35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database.pitr_enabled</t>
        </is>
      </c>
      <c r="L6" s="37" t="inlineStr">
        <is>
          <t>AWS maximum is 35 days; supports RPO ≤15 min target; restore tested at each phase go-live gate</t>
        </is>
      </c>
      <c r="M6" s="38" t="inlineStr">
        <is>
          <t>2026-07-01</t>
        </is>
      </c>
    </row>
    <row r="7" ht="26" customHeight="1">
      <c r="A7" s="42" t="inlineStr">
        <is>
          <t>operations.cicd.github_repo</t>
        </is>
      </c>
      <c r="B7" s="39" t="inlineStr">
        <is>
          <t>amatra/amatra-isb</t>
        </is>
      </c>
      <c r="C7" s="39" t="inlineStr">
        <is>
          <t>amatra/amatra-isb</t>
        </is>
      </c>
      <c r="D7" s="39" t="inlineStr">
        <is>
          <t>amatra/amatra-isb</t>
        </is>
      </c>
      <c r="E7" s="39" t="inlineStr">
        <is>
          <t>GitHub repository containing all Lambda source code and CloudFormation/SAM templates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GitHub org/repo format</t>
        </is>
      </c>
      <c r="I7" s="40" t="inlineStr">
        <is>
          <t>Confidential</t>
        </is>
      </c>
      <c r="J7" s="39" t="inlineStr">
        <is>
          <t>Cloud CoE</t>
        </is>
      </c>
      <c r="K7" s="39" t="inlineStr"/>
      <c r="L7" s="39" t="inlineStr">
        <is>
          <t>GitOps model; all infra changes via pull request; no direct console changes to Production</t>
        </is>
      </c>
      <c r="M7" s="40" t="inlineStr">
        <is>
          <t>2026-07-01</t>
        </is>
      </c>
    </row>
    <row r="8" ht="26" customHeight="1">
      <c r="A8" s="43" t="inlineStr">
        <is>
          <t>operations.cicd.production_approval_required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Require manual GitHub Actions approval gate before deploying to Production environment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operations.cicd.github_repo</t>
        </is>
      </c>
      <c r="L8" s="37" t="inlineStr">
        <is>
          <t>Approval action logged to CloudTrail; VP Engineering is designated approver for production deploys</t>
        </is>
      </c>
      <c r="M8" s="38" t="inlineStr">
        <is>
          <t>2026-07-01</t>
        </is>
      </c>
    </row>
    <row r="9" ht="26" customHeight="1">
      <c r="A9" s="42" t="inlineStr">
        <is>
          <t>operations.cicd.lambda_alias_prod</t>
        </is>
      </c>
      <c r="B9" s="39" t="inlineStr">
        <is>
          <t>$PROD</t>
        </is>
      </c>
      <c r="C9" s="39" t="inlineStr">
        <is>
          <t>$DEV</t>
        </is>
      </c>
      <c r="D9" s="39" t="inlineStr">
        <is>
          <t>$PROD</t>
        </is>
      </c>
      <c r="E9" s="39" t="inlineStr">
        <is>
          <t>Lambda function alias name used for production traffic routing in blue-green deployments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Non-empty string max 128 chars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compute.lambda.runtime</t>
        </is>
      </c>
      <c r="L9" s="39" t="inlineStr">
        <is>
          <t>Blue-green promotion; rollback = revert alias to prior version; target ≤30 min rollback time</t>
        </is>
      </c>
      <c r="M9" s="40" t="inlineStr">
        <is>
          <t>2026-07-01</t>
        </is>
      </c>
    </row>
    <row r="10" ht="26" customHeight="1">
      <c r="A10" s="43" t="inlineStr">
        <is>
          <t>operations.rollback.trigger_job_failure_pct</t>
        </is>
      </c>
      <c r="B10" s="37" t="inlineStr">
        <is>
          <t>20</t>
        </is>
      </c>
      <c r="C10" s="37" t="inlineStr">
        <is>
          <t>50</t>
        </is>
      </c>
      <c r="D10" s="37" t="inlineStr">
        <is>
          <t>20</t>
        </is>
      </c>
      <c r="E10" s="37" t="inlineStr">
        <is>
          <t>Async job failure rate percentage within 4 hours of cutover that triggers automatic rollback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monitoring.alarm.job_failure_rate_threshold_pct</t>
        </is>
      </c>
      <c r="L10" s="37" t="inlineStr">
        <is>
          <t>One of 4 rollback triggers per SOW cutover plan; decision authority: vendor PM + VP Engineering</t>
        </is>
      </c>
      <c r="M10" s="38" t="inlineStr">
        <is>
          <t>2026-07-01</t>
        </is>
      </c>
    </row>
    <row r="11" ht="26" customHeight="1">
      <c r="A11" s="42" t="inlineStr">
        <is>
          <t>operations.rollback.trigger_5xx_pct</t>
        </is>
      </c>
      <c r="B11" s="39" t="inlineStr">
        <is>
          <t>5</t>
        </is>
      </c>
      <c r="C11" s="39" t="inlineStr">
        <is>
          <t>10</t>
        </is>
      </c>
      <c r="D11" s="39" t="inlineStr">
        <is>
          <t>5</t>
        </is>
      </c>
      <c r="E11" s="39" t="inlineStr">
        <is>
          <t>API Gateway 5xx error rate percentage within 4 hours of cutover that triggers rollback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monitoring.alarm.api_5xx_threshold_pct</t>
        </is>
      </c>
      <c r="L11" s="39" t="inlineStr">
        <is>
          <t>Rollback target ≤30 min; Lambda alias revert via single GitHub Actions workflow step</t>
        </is>
      </c>
      <c r="M11" s="40" t="inlineStr">
        <is>
          <t>2026-07-01</t>
        </is>
      </c>
    </row>
    <row r="12" ht="26" customHeight="1">
      <c r="A12" s="43" t="inlineStr">
        <is>
          <t>operations.qa.first_pass_target_pct</t>
        </is>
      </c>
      <c r="B12" s="37" t="inlineStr">
        <is>
          <t>90</t>
        </is>
      </c>
      <c r="C12" s="37" t="inlineStr">
        <is>
          <t>80</t>
        </is>
      </c>
      <c r="D12" s="37" t="inlineStr">
        <is>
          <t>90</t>
        </is>
      </c>
      <c r="E12" s="37" t="inlineStr">
        <is>
          <t>Target QA first-pass acceptance rate percentage for generated artifacts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application.artifact_types</t>
        </is>
      </c>
      <c r="L12" s="37" t="inlineStr">
        <is>
          <t>Phase 2 QA validation layer automates scoring; artifacts below threshold flagged for human review</t>
        </is>
      </c>
      <c r="M12" s="38" t="inlineStr">
        <is>
          <t>2026-07-01</t>
        </is>
      </c>
    </row>
    <row r="13" ht="26" customHeight="1">
      <c r="A13" s="42" t="inlineStr">
        <is>
          <t>operations.hypercare.phase1_duration_weeks</t>
        </is>
      </c>
      <c r="B13" s="39" t="inlineStr">
        <is>
          <t>8</t>
        </is>
      </c>
      <c r="C13" s="39" t="inlineStr">
        <is>
          <t>0</t>
        </is>
      </c>
      <c r="D13" s="39" t="inlineStr">
        <is>
          <t>8</t>
        </is>
      </c>
      <c r="E13" s="39" t="inlineStr">
        <is>
          <t>Duration in weeks of Phase 1 hypercare support period post-MVP go-live (target: 30 Sep 2026)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1-52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>
        <is>
          <t>Business hours 09:00–18:00 CT Mon–Fri; P1 ≤2 h response; P2 next business day; Slack channel</t>
        </is>
      </c>
      <c r="M13" s="40" t="inlineStr">
        <is>
          <t>2026-07-01</t>
        </is>
      </c>
    </row>
    <row r="14" ht="26" customHeight="1">
      <c r="A14" s="43" t="inlineStr">
        <is>
          <t>operations.hypercare.phase2_duration_weeks</t>
        </is>
      </c>
      <c r="B14" s="37" t="inlineStr">
        <is>
          <t>4</t>
        </is>
      </c>
      <c r="C14" s="37" t="inlineStr">
        <is>
          <t>0</t>
        </is>
      </c>
      <c r="D14" s="37" t="inlineStr">
        <is>
          <t>4</t>
        </is>
      </c>
      <c r="E14" s="37" t="inlineStr">
        <is>
          <t>Duration in weeks of Phase 2 hypercare support period post-Phase 2 go-live (target: 15 Dec 2026)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1-52</t>
        </is>
      </c>
      <c r="I14" s="38" t="inlineStr">
        <is>
          <t>Public</t>
        </is>
      </c>
      <c r="J14" s="37" t="inlineStr">
        <is>
          <t>Operations</t>
        </is>
      </c>
      <c r="K14" s="37" t="inlineStr"/>
      <c r="L14" s="37" t="inlineStr">
        <is>
          <t>Business hours 09:00–18:00 CT Mon–Fri; P1 ≤2 h response; P2 next business day; Slack channel</t>
        </is>
      </c>
      <c r="M14" s="38" t="inlineStr">
        <is>
          <t>2026-07-01</t>
        </is>
      </c>
    </row>
  </sheetData>
  <autoFilter ref="A2:M1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2026-06-10T02:12:51Z</dcterms:modified>
  <cp:lastModifiedBy>Kishan Siram</cp:lastModifiedBy>
</cp:coreProperties>
</file>