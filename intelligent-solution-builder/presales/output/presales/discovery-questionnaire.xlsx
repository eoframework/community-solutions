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Tmpwz9A4Npl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65</v>
      </c>
      <c r="B2" s="35">
        <f>SUMPRODUCT(--(LEN(F5:F69)&gt;0))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IF('Technical Requirements'!A2="","",'Technical Requirements'!A2)</f>
        <v/>
      </c>
      <c r="B16" s="40">
        <f>IF('Technical Requirements'!B2="","",'Technical Requirements'!B2)</f>
        <v/>
      </c>
      <c r="C16" s="40">
        <f>IF('Technical Requirements'!C2="","",'Technical Requirements'!C2)</f>
        <v/>
      </c>
      <c r="D16" s="40">
        <f>IF('Technical Requirements'!D2="","",'Technical Requirements'!D2)</f>
        <v/>
      </c>
      <c r="E16" s="40">
        <f>IF('Technical Requirements'!E2="","",'Technical Requirements'!E2)</f>
        <v/>
      </c>
      <c r="F16" s="39">
        <f>IF('Technical Requirements'!F2="","",'Technical Requirements'!F2)</f>
        <v/>
      </c>
      <c r="G16" s="40">
        <f>IF('Technical Requirements'!G2="","",'Technical Requirements'!G2)</f>
        <v/>
      </c>
    </row>
    <row r="17">
      <c r="A17" s="38">
        <f>IF('Technical Requirements'!A3="","",'Technical Requirements'!A3)</f>
        <v/>
      </c>
      <c r="B17" s="38">
        <f>IF('Technical Requirements'!B3="","",'Technical Requirements'!B3)</f>
        <v/>
      </c>
      <c r="C17" s="38">
        <f>IF('Technical Requirements'!C3="","",'Technical Requirements'!C3)</f>
        <v/>
      </c>
      <c r="D17" s="38">
        <f>IF('Technical Requirements'!D3="","",'Technical Requirements'!D3)</f>
        <v/>
      </c>
      <c r="E17" s="38">
        <f>IF('Technical Requirements'!E3="","",'Technical Requirements'!E3)</f>
        <v/>
      </c>
      <c r="F17" s="39">
        <f>IF('Technical Requirements'!F3="","",'Technical Requirements'!F3)</f>
        <v/>
      </c>
      <c r="G17" s="38">
        <f>IF('Technical Requirements'!G3="","",'Technical Requirements'!G3)</f>
        <v/>
      </c>
    </row>
    <row r="18">
      <c r="A18" s="40">
        <f>IF('Technical Requirements'!A4="","",'Technical Requirements'!A4)</f>
        <v/>
      </c>
      <c r="B18" s="40">
        <f>IF('Technical Requirements'!B4="","",'Technical Requirements'!B4)</f>
        <v/>
      </c>
      <c r="C18" s="40">
        <f>IF('Technical Requirements'!C4="","",'Technical Requirements'!C4)</f>
        <v/>
      </c>
      <c r="D18" s="40">
        <f>IF('Technical Requirements'!D4="","",'Technical Requirements'!D4)</f>
        <v/>
      </c>
      <c r="E18" s="40">
        <f>IF('Technical Requirements'!E4="","",'Technical Requirements'!E4)</f>
        <v/>
      </c>
      <c r="F18" s="39">
        <f>IF('Technical Requirements'!F4="","",'Technical Requirements'!F4)</f>
        <v/>
      </c>
      <c r="G18" s="40">
        <f>IF('Technical Requirements'!G4="","",'Technical Requirements'!G4)</f>
        <v/>
      </c>
    </row>
    <row r="19">
      <c r="A19" s="38">
        <f>IF('Technical Requirements'!A5="","",'Technical Requirements'!A5)</f>
        <v/>
      </c>
      <c r="B19" s="38">
        <f>IF('Technical Requirements'!B5="","",'Technical Requirements'!B5)</f>
        <v/>
      </c>
      <c r="C19" s="38">
        <f>IF('Technical Requirements'!C5="","",'Technical Requirements'!C5)</f>
        <v/>
      </c>
      <c r="D19" s="38">
        <f>IF('Technical Requirements'!D5="","",'Technical Requirements'!D5)</f>
        <v/>
      </c>
      <c r="E19" s="38">
        <f>IF('Technical Requirements'!E5="","",'Technical Requirements'!E5)</f>
        <v/>
      </c>
      <c r="F19" s="39">
        <f>IF('Technical Requirements'!F5="","",'Technical Requirements'!F5)</f>
        <v/>
      </c>
      <c r="G19" s="38">
        <f>IF('Technical Requirements'!G5="","",'Technical Requirements'!G5)</f>
        <v/>
      </c>
    </row>
    <row r="20">
      <c r="A20" s="40">
        <f>IF('Technical Requirements'!A6="","",'Technical Requirements'!A6)</f>
        <v/>
      </c>
      <c r="B20" s="40">
        <f>IF('Technical Requirements'!B6="","",'Technical Requirements'!B6)</f>
        <v/>
      </c>
      <c r="C20" s="40">
        <f>IF('Technical Requirements'!C6="","",'Technical Requirements'!C6)</f>
        <v/>
      </c>
      <c r="D20" s="40">
        <f>IF('Technical Requirements'!D6="","",'Technical Requirements'!D6)</f>
        <v/>
      </c>
      <c r="E20" s="40">
        <f>IF('Technical Requirements'!E6="","",'Technical Requirements'!E6)</f>
        <v/>
      </c>
      <c r="F20" s="39">
        <f>IF('Technical Requirements'!F6="","",'Technical Requirements'!F6)</f>
        <v/>
      </c>
      <c r="G20" s="40">
        <f>IF('Technical Requirements'!G6="","",'Technical Requirements'!G6)</f>
        <v/>
      </c>
    </row>
    <row r="21">
      <c r="A21" s="38">
        <f>IF('Technical Requirements'!A7="","",'Technical Requirements'!A7)</f>
        <v/>
      </c>
      <c r="B21" s="38">
        <f>IF('Technical Requirements'!B7="","",'Technical Requirements'!B7)</f>
        <v/>
      </c>
      <c r="C21" s="38">
        <f>IF('Technical Requirements'!C7="","",'Technical Requirements'!C7)</f>
        <v/>
      </c>
      <c r="D21" s="38">
        <f>IF('Technical Requirements'!D7="","",'Technical Requirements'!D7)</f>
        <v/>
      </c>
      <c r="E21" s="38">
        <f>IF('Technical Requirements'!E7="","",'Technical Requirements'!E7)</f>
        <v/>
      </c>
      <c r="F21" s="39">
        <f>IF('Technical Requirements'!F7="","",'Technical Requirements'!F7)</f>
        <v/>
      </c>
      <c r="G21" s="38">
        <f>IF('Technical Requirements'!G7="","",'Technical Requirements'!G7)</f>
        <v/>
      </c>
    </row>
    <row r="22">
      <c r="A22" s="40">
        <f>IF('Technical Requirements'!A8="","",'Technical Requirements'!A8)</f>
        <v/>
      </c>
      <c r="B22" s="40">
        <f>IF('Technical Requirements'!B8="","",'Technical Requirements'!B8)</f>
        <v/>
      </c>
      <c r="C22" s="40">
        <f>IF('Technical Requirements'!C8="","",'Technical Requirements'!C8)</f>
        <v/>
      </c>
      <c r="D22" s="40">
        <f>IF('Technical Requirements'!D8="","",'Technical Requirements'!D8)</f>
        <v/>
      </c>
      <c r="E22" s="40">
        <f>IF('Technical Requirements'!E8="","",'Technical Requirements'!E8)</f>
        <v/>
      </c>
      <c r="F22" s="39">
        <f>IF('Technical Requirements'!F8="","",'Technical Requirements'!F8)</f>
        <v/>
      </c>
      <c r="G22" s="40">
        <f>IF('Technical Requirements'!G8="","",'Technical Requirements'!G8)</f>
        <v/>
      </c>
    </row>
    <row r="23">
      <c r="A23" s="38">
        <f>IF('Technical Requirements'!A9="","",'Technical Requirements'!A9)</f>
        <v/>
      </c>
      <c r="B23" s="38">
        <f>IF('Technical Requirements'!B9="","",'Technical Requirements'!B9)</f>
        <v/>
      </c>
      <c r="C23" s="38">
        <f>IF('Technical Requirements'!C9="","",'Technical Requirements'!C9)</f>
        <v/>
      </c>
      <c r="D23" s="38">
        <f>IF('Technical Requirements'!D9="","",'Technical Requirements'!D9)</f>
        <v/>
      </c>
      <c r="E23" s="38">
        <f>IF('Technical Requirements'!E9="","",'Technical Requirements'!E9)</f>
        <v/>
      </c>
      <c r="F23" s="39">
        <f>IF('Technical Requirements'!F9="","",'Technical Requirements'!F9)</f>
        <v/>
      </c>
      <c r="G23" s="38">
        <f>IF('Technical Requirements'!G9="","",'Technical Requirements'!G9)</f>
        <v/>
      </c>
    </row>
    <row r="24">
      <c r="A24" s="40">
        <f>IF('Technical Requirements'!A10="","",'Technical Requirements'!A10)</f>
        <v/>
      </c>
      <c r="B24" s="40">
        <f>IF('Technical Requirements'!B10="","",'Technical Requirements'!B10)</f>
        <v/>
      </c>
      <c r="C24" s="40">
        <f>IF('Technical Requirements'!C10="","",'Technical Requirements'!C10)</f>
        <v/>
      </c>
      <c r="D24" s="40">
        <f>IF('Technical Requirements'!D10="","",'Technical Requirements'!D10)</f>
        <v/>
      </c>
      <c r="E24" s="40">
        <f>IF('Technical Requirements'!E10="","",'Technical Requirements'!E10)</f>
        <v/>
      </c>
      <c r="F24" s="39">
        <f>IF('Technical Requirements'!F10="","",'Technical Requirements'!F10)</f>
        <v/>
      </c>
      <c r="G24" s="40">
        <f>IF('Technical Requirements'!G10="","",'Technical Requirements'!G10)</f>
        <v/>
      </c>
    </row>
    <row r="25">
      <c r="A25" s="38">
        <f>IF('Technical Requirements'!A11="","",'Technical Requirements'!A11)</f>
        <v/>
      </c>
      <c r="B25" s="38">
        <f>IF('Technical Requirements'!B11="","",'Technical Requirements'!B11)</f>
        <v/>
      </c>
      <c r="C25" s="38">
        <f>IF('Technical Requirements'!C11="","",'Technical Requirements'!C11)</f>
        <v/>
      </c>
      <c r="D25" s="38">
        <f>IF('Technical Requirements'!D11="","",'Technical Requirements'!D11)</f>
        <v/>
      </c>
      <c r="E25" s="38">
        <f>IF('Technical Requirements'!E11="","",'Technical Requirements'!E11)</f>
        <v/>
      </c>
      <c r="F25" s="39">
        <f>IF('Technical Requirements'!F11="","",'Technical Requirements'!F11)</f>
        <v/>
      </c>
      <c r="G25" s="38">
        <f>IF('Technical Requirements'!G11="","",'Technical Requirements'!G11)</f>
        <v/>
      </c>
    </row>
    <row r="26">
      <c r="A26" s="40">
        <f>IF('Technical Requirements'!A12="","",'Technical Requirements'!A12)</f>
        <v/>
      </c>
      <c r="B26" s="40">
        <f>IF('Technical Requirements'!B12="","",'Technical Requirements'!B12)</f>
        <v/>
      </c>
      <c r="C26" s="40">
        <f>IF('Technical Requirements'!C12="","",'Technical Requirements'!C12)</f>
        <v/>
      </c>
      <c r="D26" s="40">
        <f>IF('Technical Requirements'!D12="","",'Technical Requirements'!D12)</f>
        <v/>
      </c>
      <c r="E26" s="40">
        <f>IF('Technical Requirements'!E12="","",'Technical Requirements'!E12)</f>
        <v/>
      </c>
      <c r="F26" s="39">
        <f>IF('Technical Requirements'!F12="","",'Technical Requirements'!F12)</f>
        <v/>
      </c>
      <c r="G26" s="40">
        <f>IF('Technical Requirements'!G12="","",'Technical Requirements'!G12)</f>
        <v/>
      </c>
    </row>
    <row r="27">
      <c r="A27" s="38">
        <f>IF('Technical Requirements'!A13="","",'Technical Requirements'!A13)</f>
        <v/>
      </c>
      <c r="B27" s="38">
        <f>IF('Technical Requirements'!B13="","",'Technical Requirements'!B13)</f>
        <v/>
      </c>
      <c r="C27" s="38">
        <f>IF('Technical Requirements'!C13="","",'Technical Requirements'!C13)</f>
        <v/>
      </c>
      <c r="D27" s="38">
        <f>IF('Technical Requirements'!D13="","",'Technical Requirements'!D13)</f>
        <v/>
      </c>
      <c r="E27" s="38">
        <f>IF('Technical Requirements'!E13="","",'Technical Requirements'!E13)</f>
        <v/>
      </c>
      <c r="F27" s="39">
        <f>IF('Technical Requirements'!F13="","",'Technical Requirements'!F13)</f>
        <v/>
      </c>
      <c r="G27" s="38">
        <f>IF('Technical Requirements'!G13="","",'Technical Requirements'!G13)</f>
        <v/>
      </c>
    </row>
    <row r="28">
      <c r="A28" s="40">
        <f>IF('Technical Requirements'!A14="","",'Technical Requirements'!A14)</f>
        <v/>
      </c>
      <c r="B28" s="40">
        <f>IF('Technical Requirements'!B14="","",'Technical Requirements'!B14)</f>
        <v/>
      </c>
      <c r="C28" s="40">
        <f>IF('Technical Requirements'!C14="","",'Technical Requirements'!C14)</f>
        <v/>
      </c>
      <c r="D28" s="40">
        <f>IF('Technical Requirements'!D14="","",'Technical Requirements'!D14)</f>
        <v/>
      </c>
      <c r="E28" s="40">
        <f>IF('Technical Requirements'!E14="","",'Technical Requirements'!E14)</f>
        <v/>
      </c>
      <c r="F28" s="39">
        <f>IF('Technical Requirements'!F14="","",'Technical Requirements'!F14)</f>
        <v/>
      </c>
      <c r="G28" s="40">
        <f>IF('Technical Requirements'!G14="","",'Technical Requirements'!G14)</f>
        <v/>
      </c>
    </row>
    <row r="29">
      <c r="A29" s="38">
        <f>IF('Technical Requirements'!A15="","",'Technical Requirements'!A15)</f>
        <v/>
      </c>
      <c r="B29" s="38">
        <f>IF('Technical Requirements'!B15="","",'Technical Requirements'!B15)</f>
        <v/>
      </c>
      <c r="C29" s="38">
        <f>IF('Technical Requirements'!C15="","",'Technical Requirements'!C15)</f>
        <v/>
      </c>
      <c r="D29" s="38">
        <f>IF('Technical Requirements'!D15="","",'Technical Requirements'!D15)</f>
        <v/>
      </c>
      <c r="E29" s="38">
        <f>IF('Technical Requirements'!E15="","",'Technical Requirements'!E15)</f>
        <v/>
      </c>
      <c r="F29" s="39">
        <f>IF('Technical Requirements'!F15="","",'Technical Requirements'!F15)</f>
        <v/>
      </c>
      <c r="G29" s="38">
        <f>IF('Technical Requirements'!G15="","",'Technical Requirements'!G15)</f>
        <v/>
      </c>
    </row>
    <row r="30">
      <c r="A30" s="40">
        <f>IF('Technical Requirements'!A16="","",'Technical Requirements'!A16)</f>
        <v/>
      </c>
      <c r="B30" s="40">
        <f>IF('Technical Requirements'!B16="","",'Technical Requirements'!B16)</f>
        <v/>
      </c>
      <c r="C30" s="40">
        <f>IF('Technical Requirements'!C16="","",'Technical Requirements'!C16)</f>
        <v/>
      </c>
      <c r="D30" s="40">
        <f>IF('Technical Requirements'!D16="","",'Technical Requirements'!D16)</f>
        <v/>
      </c>
      <c r="E30" s="40">
        <f>IF('Technical Requirements'!E16="","",'Technical Requirements'!E16)</f>
        <v/>
      </c>
      <c r="F30" s="39">
        <f>IF('Technical Requirements'!F16="","",'Technical Requirements'!F16)</f>
        <v/>
      </c>
      <c r="G30" s="40">
        <f>IF('Technical Requirements'!G16="","",'Technical Requirements'!G16)</f>
        <v/>
      </c>
    </row>
    <row r="31">
      <c r="A31" s="38">
        <f>IF('Technical Requirements'!A17="","",'Technical Requirements'!A17)</f>
        <v/>
      </c>
      <c r="B31" s="38">
        <f>IF('Technical Requirements'!B17="","",'Technical Requirements'!B17)</f>
        <v/>
      </c>
      <c r="C31" s="38">
        <f>IF('Technical Requirements'!C17="","",'Technical Requirements'!C17)</f>
        <v/>
      </c>
      <c r="D31" s="38">
        <f>IF('Technical Requirements'!D17="","",'Technical Requirements'!D17)</f>
        <v/>
      </c>
      <c r="E31" s="38">
        <f>IF('Technical Requirements'!E17="","",'Technical Requirements'!E17)</f>
        <v/>
      </c>
      <c r="F31" s="39">
        <f>IF('Technical Requirements'!F17="","",'Technical Requirements'!F17)</f>
        <v/>
      </c>
      <c r="G31" s="38">
        <f>IF('Technical Requirements'!G17="","",'Technical Requirements'!G17)</f>
        <v/>
      </c>
    </row>
    <row r="32">
      <c r="A32" s="40">
        <f>IF('Technical Requirements'!A18="","",'Technical Requirements'!A18)</f>
        <v/>
      </c>
      <c r="B32" s="40">
        <f>IF('Technical Requirements'!B18="","",'Technical Requirements'!B18)</f>
        <v/>
      </c>
      <c r="C32" s="40">
        <f>IF('Technical Requirements'!C18="","",'Technical Requirements'!C18)</f>
        <v/>
      </c>
      <c r="D32" s="40">
        <f>IF('Technical Requirements'!D18="","",'Technical Requirements'!D18)</f>
        <v/>
      </c>
      <c r="E32" s="40">
        <f>IF('Technical Requirements'!E18="","",'Technical Requirements'!E18)</f>
        <v/>
      </c>
      <c r="F32" s="39">
        <f>IF('Technical Requirements'!F18="","",'Technical Requirements'!F18)</f>
        <v/>
      </c>
      <c r="G32" s="40">
        <f>IF('Technical Requirements'!G18="","",'Technical Requirements'!G18)</f>
        <v/>
      </c>
    </row>
    <row r="33">
      <c r="A33" s="38">
        <f>IF('Technical Requirements'!A19="","",'Technical Requirements'!A19)</f>
        <v/>
      </c>
      <c r="B33" s="38">
        <f>IF('Technical Requirements'!B19="","",'Technical Requirements'!B19)</f>
        <v/>
      </c>
      <c r="C33" s="38">
        <f>IF('Technical Requirements'!C19="","",'Technical Requirements'!C19)</f>
        <v/>
      </c>
      <c r="D33" s="38">
        <f>IF('Technical Requirements'!D19="","",'Technical Requirements'!D19)</f>
        <v/>
      </c>
      <c r="E33" s="38">
        <f>IF('Technical Requirements'!E19="","",'Technical Requirements'!E19)</f>
        <v/>
      </c>
      <c r="F33" s="39">
        <f>IF('Technical Requirements'!F19="","",'Technical Requirements'!F19)</f>
        <v/>
      </c>
      <c r="G33" s="38">
        <f>IF('Technical Requirements'!G19="","",'Technical Requirements'!G19)</f>
        <v/>
      </c>
    </row>
    <row r="34">
      <c r="A34" s="40">
        <f>IF('Technical Requirements'!A20="","",'Technical Requirements'!A20)</f>
        <v/>
      </c>
      <c r="B34" s="40">
        <f>IF('Technical Requirements'!B20="","",'Technical Requirements'!B20)</f>
        <v/>
      </c>
      <c r="C34" s="40">
        <f>IF('Technical Requirements'!C20="","",'Technical Requirements'!C20)</f>
        <v/>
      </c>
      <c r="D34" s="40">
        <f>IF('Technical Requirements'!D20="","",'Technical Requirements'!D20)</f>
        <v/>
      </c>
      <c r="E34" s="40">
        <f>IF('Technical Requirements'!E20="","",'Technical Requirements'!E20)</f>
        <v/>
      </c>
      <c r="F34" s="39">
        <f>IF('Technical Requirements'!F20="","",'Technical Requirements'!F20)</f>
        <v/>
      </c>
      <c r="G34" s="40">
        <f>IF('Technical Requirements'!G20="","",'Technical Requirements'!G20)</f>
        <v/>
      </c>
    </row>
    <row r="35">
      <c r="A35" s="38">
        <f>IF('Technical Requirements'!A21="","",'Technical Requirements'!A21)</f>
        <v/>
      </c>
      <c r="B35" s="38">
        <f>IF('Technical Requirements'!B21="","",'Technical Requirements'!B21)</f>
        <v/>
      </c>
      <c r="C35" s="38">
        <f>IF('Technical Requirements'!C21="","",'Technical Requirements'!C21)</f>
        <v/>
      </c>
      <c r="D35" s="38">
        <f>IF('Technical Requirements'!D21="","",'Technical Requirements'!D21)</f>
        <v/>
      </c>
      <c r="E35" s="38">
        <f>IF('Technical Requirements'!E21="","",'Technical Requirements'!E21)</f>
        <v/>
      </c>
      <c r="F35" s="39">
        <f>IF('Technical Requirements'!F21="","",'Technical Requirements'!F21)</f>
        <v/>
      </c>
      <c r="G35" s="38">
        <f>IF('Technical Requirements'!G21="","",'Technical Requirements'!G21)</f>
        <v/>
      </c>
    </row>
    <row r="36">
      <c r="A36" s="40">
        <f>IF('Security &amp; Compliance'!A2="","",'Security &amp; Compliance'!A2)</f>
        <v/>
      </c>
      <c r="B36" s="40">
        <f>IF('Security &amp; Compliance'!B2="","",'Security &amp; Compliance'!B2)</f>
        <v/>
      </c>
      <c r="C36" s="40">
        <f>IF('Security &amp; Compliance'!C2="","",'Security &amp; Compliance'!C2)</f>
        <v/>
      </c>
      <c r="D36" s="40">
        <f>IF('Security &amp; Compliance'!D2="","",'Security &amp; Compliance'!D2)</f>
        <v/>
      </c>
      <c r="E36" s="40">
        <f>IF('Security &amp; Compliance'!E2="","",'Security &amp; Compliance'!E2)</f>
        <v/>
      </c>
      <c r="F36" s="39">
        <f>IF('Security &amp; Compliance'!F2="","",'Security &amp; Compliance'!F2)</f>
        <v/>
      </c>
      <c r="G36" s="40">
        <f>IF('Security &amp; Compliance'!G2="","",'Security &amp; Compliance'!G2)</f>
        <v/>
      </c>
    </row>
    <row r="37">
      <c r="A37" s="38">
        <f>IF('Security &amp; Compliance'!A3="","",'Security &amp; Compliance'!A3)</f>
        <v/>
      </c>
      <c r="B37" s="38">
        <f>IF('Security &amp; Compliance'!B3="","",'Security &amp; Compliance'!B3)</f>
        <v/>
      </c>
      <c r="C37" s="38">
        <f>IF('Security &amp; Compliance'!C3="","",'Security &amp; Compliance'!C3)</f>
        <v/>
      </c>
      <c r="D37" s="38">
        <f>IF('Security &amp; Compliance'!D3="","",'Security &amp; Compliance'!D3)</f>
        <v/>
      </c>
      <c r="E37" s="38">
        <f>IF('Security &amp; Compliance'!E3="","",'Security &amp; Compliance'!E3)</f>
        <v/>
      </c>
      <c r="F37" s="39">
        <f>IF('Security &amp; Compliance'!F3="","",'Security &amp; Compliance'!F3)</f>
        <v/>
      </c>
      <c r="G37" s="38">
        <f>IF('Security &amp; Compliance'!G3="","",'Security &amp; Compliance'!G3)</f>
        <v/>
      </c>
    </row>
    <row r="38">
      <c r="A38" s="40">
        <f>IF('Security &amp; Compliance'!A4="","",'Security &amp; Compliance'!A4)</f>
        <v/>
      </c>
      <c r="B38" s="40">
        <f>IF('Security &amp; Compliance'!B4="","",'Security &amp; Compliance'!B4)</f>
        <v/>
      </c>
      <c r="C38" s="40">
        <f>IF('Security &amp; Compliance'!C4="","",'Security &amp; Compliance'!C4)</f>
        <v/>
      </c>
      <c r="D38" s="40">
        <f>IF('Security &amp; Compliance'!D4="","",'Security &amp; Compliance'!D4)</f>
        <v/>
      </c>
      <c r="E38" s="40">
        <f>IF('Security &amp; Compliance'!E4="","",'Security &amp; Compliance'!E4)</f>
        <v/>
      </c>
      <c r="F38" s="39">
        <f>IF('Security &amp; Compliance'!F4="","",'Security &amp; Compliance'!F4)</f>
        <v/>
      </c>
      <c r="G38" s="40">
        <f>IF('Security &amp; Compliance'!G4="","",'Security &amp; Compliance'!G4)</f>
        <v/>
      </c>
    </row>
    <row r="39">
      <c r="A39" s="38">
        <f>IF('Security &amp; Compliance'!A5="","",'Security &amp; Compliance'!A5)</f>
        <v/>
      </c>
      <c r="B39" s="38">
        <f>IF('Security &amp; Compliance'!B5="","",'Security &amp; Compliance'!B5)</f>
        <v/>
      </c>
      <c r="C39" s="38">
        <f>IF('Security &amp; Compliance'!C5="","",'Security &amp; Compliance'!C5)</f>
        <v/>
      </c>
      <c r="D39" s="38">
        <f>IF('Security &amp; Compliance'!D5="","",'Security &amp; Compliance'!D5)</f>
        <v/>
      </c>
      <c r="E39" s="38">
        <f>IF('Security &amp; Compliance'!E5="","",'Security &amp; Compliance'!E5)</f>
        <v/>
      </c>
      <c r="F39" s="39">
        <f>IF('Security &amp; Compliance'!F5="","",'Security &amp; Compliance'!F5)</f>
        <v/>
      </c>
      <c r="G39" s="38">
        <f>IF('Security &amp; Compliance'!G5="","",'Security &amp; Compliance'!G5)</f>
        <v/>
      </c>
    </row>
    <row r="40">
      <c r="A40" s="40">
        <f>IF('Security &amp; Compliance'!A6="","",'Security &amp; Compliance'!A6)</f>
        <v/>
      </c>
      <c r="B40" s="40">
        <f>IF('Security &amp; Compliance'!B6="","",'Security &amp; Compliance'!B6)</f>
        <v/>
      </c>
      <c r="C40" s="40">
        <f>IF('Security &amp; Compliance'!C6="","",'Security &amp; Compliance'!C6)</f>
        <v/>
      </c>
      <c r="D40" s="40">
        <f>IF('Security &amp; Compliance'!D6="","",'Security &amp; Compliance'!D6)</f>
        <v/>
      </c>
      <c r="E40" s="40">
        <f>IF('Security &amp; Compliance'!E6="","",'Security &amp; Compliance'!E6)</f>
        <v/>
      </c>
      <c r="F40" s="39">
        <f>IF('Security &amp; Compliance'!F6="","",'Security &amp; Compliance'!F6)</f>
        <v/>
      </c>
      <c r="G40" s="40">
        <f>IF('Security &amp; Compliance'!G6="","",'Security &amp; Compliance'!G6)</f>
        <v/>
      </c>
    </row>
    <row r="41">
      <c r="A41" s="38">
        <f>IF('Security &amp; Compliance'!A7="","",'Security &amp; Compliance'!A7)</f>
        <v/>
      </c>
      <c r="B41" s="38">
        <f>IF('Security &amp; Compliance'!B7="","",'Security &amp; Compliance'!B7)</f>
        <v/>
      </c>
      <c r="C41" s="38">
        <f>IF('Security &amp; Compliance'!C7="","",'Security &amp; Compliance'!C7)</f>
        <v/>
      </c>
      <c r="D41" s="38">
        <f>IF('Security &amp; Compliance'!D7="","",'Security &amp; Compliance'!D7)</f>
        <v/>
      </c>
      <c r="E41" s="38">
        <f>IF('Security &amp; Compliance'!E7="","",'Security &amp; Compliance'!E7)</f>
        <v/>
      </c>
      <c r="F41" s="39">
        <f>IF('Security &amp; Compliance'!F7="","",'Security &amp; Compliance'!F7)</f>
        <v/>
      </c>
      <c r="G41" s="38">
        <f>IF('Security &amp; Compliance'!G7="","",'Security &amp; Compliance'!G7)</f>
        <v/>
      </c>
    </row>
    <row r="42">
      <c r="A42" s="40">
        <f>IF('Security &amp; Compliance'!A8="","",'Security &amp; Compliance'!A8)</f>
        <v/>
      </c>
      <c r="B42" s="40">
        <f>IF('Security &amp; Compliance'!B8="","",'Security &amp; Compliance'!B8)</f>
        <v/>
      </c>
      <c r="C42" s="40">
        <f>IF('Security &amp; Compliance'!C8="","",'Security &amp; Compliance'!C8)</f>
        <v/>
      </c>
      <c r="D42" s="40">
        <f>IF('Security &amp; Compliance'!D8="","",'Security &amp; Compliance'!D8)</f>
        <v/>
      </c>
      <c r="E42" s="40">
        <f>IF('Security &amp; Compliance'!E8="","",'Security &amp; Compliance'!E8)</f>
        <v/>
      </c>
      <c r="F42" s="39">
        <f>IF('Security &amp; Compliance'!F8="","",'Security &amp; Compliance'!F8)</f>
        <v/>
      </c>
      <c r="G42" s="40">
        <f>IF('Security &amp; Compliance'!G8="","",'Security &amp; Compliance'!G8)</f>
        <v/>
      </c>
    </row>
    <row r="43">
      <c r="A43" s="38">
        <f>IF('Security &amp; Compliance'!A9="","",'Security &amp; Compliance'!A9)</f>
        <v/>
      </c>
      <c r="B43" s="38">
        <f>IF('Security &amp; Compliance'!B9="","",'Security &amp; Compliance'!B9)</f>
        <v/>
      </c>
      <c r="C43" s="38">
        <f>IF('Security &amp; Compliance'!C9="","",'Security &amp; Compliance'!C9)</f>
        <v/>
      </c>
      <c r="D43" s="38">
        <f>IF('Security &amp; Compliance'!D9="","",'Security &amp; Compliance'!D9)</f>
        <v/>
      </c>
      <c r="E43" s="38">
        <f>IF('Security &amp; Compliance'!E9="","",'Security &amp; Compliance'!E9)</f>
        <v/>
      </c>
      <c r="F43" s="39">
        <f>IF('Security &amp; Compliance'!F9="","",'Security &amp; Compliance'!F9)</f>
        <v/>
      </c>
      <c r="G43" s="38">
        <f>IF('Security &amp; Compliance'!G9="","",'Security &amp; Compliance'!G9)</f>
        <v/>
      </c>
    </row>
    <row r="44">
      <c r="A44" s="40">
        <f>IF('Security &amp; Compliance'!A10="","",'Security &amp; Compliance'!A10)</f>
        <v/>
      </c>
      <c r="B44" s="40">
        <f>IF('Security &amp; Compliance'!B10="","",'Security &amp; Compliance'!B10)</f>
        <v/>
      </c>
      <c r="C44" s="40">
        <f>IF('Security &amp; Compliance'!C10="","",'Security &amp; Compliance'!C10)</f>
        <v/>
      </c>
      <c r="D44" s="40">
        <f>IF('Security &amp; Compliance'!D10="","",'Security &amp; Compliance'!D10)</f>
        <v/>
      </c>
      <c r="E44" s="40">
        <f>IF('Security &amp; Compliance'!E10="","",'Security &amp; Compliance'!E10)</f>
        <v/>
      </c>
      <c r="F44" s="39">
        <f>IF('Security &amp; Compliance'!F10="","",'Security &amp; Compliance'!F10)</f>
        <v/>
      </c>
      <c r="G44" s="40">
        <f>IF('Security &amp; Compliance'!G10="","",'Security &amp; Compliance'!G10)</f>
        <v/>
      </c>
    </row>
    <row r="45">
      <c r="A45" s="38">
        <f>IF('Security &amp; Compliance'!A11="","",'Security &amp; Compliance'!A11)</f>
        <v/>
      </c>
      <c r="B45" s="38">
        <f>IF('Security &amp; Compliance'!B11="","",'Security &amp; Compliance'!B11)</f>
        <v/>
      </c>
      <c r="C45" s="38">
        <f>IF('Security &amp; Compliance'!C11="","",'Security &amp; Compliance'!C11)</f>
        <v/>
      </c>
      <c r="D45" s="38">
        <f>IF('Security &amp; Compliance'!D11="","",'Security &amp; Compliance'!D11)</f>
        <v/>
      </c>
      <c r="E45" s="38">
        <f>IF('Security &amp; Compliance'!E11="","",'Security &amp; Compliance'!E11)</f>
        <v/>
      </c>
      <c r="F45" s="39">
        <f>IF('Security &amp; Compliance'!F11="","",'Security &amp; Compliance'!F11)</f>
        <v/>
      </c>
      <c r="G45" s="38">
        <f>IF('Security &amp; Compliance'!G11="","",'Security &amp; Compliance'!G11)</f>
        <v/>
      </c>
    </row>
    <row r="46">
      <c r="A46" s="40">
        <f>IF('Security &amp; Compliance'!A12="","",'Security &amp; Compliance'!A12)</f>
        <v/>
      </c>
      <c r="B46" s="40">
        <f>IF('Security &amp; Compliance'!B12="","",'Security &amp; Compliance'!B12)</f>
        <v/>
      </c>
      <c r="C46" s="40">
        <f>IF('Security &amp; Compliance'!C12="","",'Security &amp; Compliance'!C12)</f>
        <v/>
      </c>
      <c r="D46" s="40">
        <f>IF('Security &amp; Compliance'!D12="","",'Security &amp; Compliance'!D12)</f>
        <v/>
      </c>
      <c r="E46" s="40">
        <f>IF('Security &amp; Compliance'!E12="","",'Security &amp; Compliance'!E12)</f>
        <v/>
      </c>
      <c r="F46" s="39">
        <f>IF('Security &amp; Compliance'!F12="","",'Security &amp; Compliance'!F12)</f>
        <v/>
      </c>
      <c r="G46" s="40">
        <f>IF('Security &amp; Compliance'!G12="","",'Security &amp; Compliance'!G12)</f>
        <v/>
      </c>
    </row>
    <row r="47">
      <c r="A47" s="38">
        <f>IF('Operations &amp; Support'!A2="","",'Operations &amp; Support'!A2)</f>
        <v/>
      </c>
      <c r="B47" s="38">
        <f>IF('Operations &amp; Support'!B2="","",'Operations &amp; Support'!B2)</f>
        <v/>
      </c>
      <c r="C47" s="38">
        <f>IF('Operations &amp; Support'!C2="","",'Operations &amp; Support'!C2)</f>
        <v/>
      </c>
      <c r="D47" s="38">
        <f>IF('Operations &amp; Support'!D2="","",'Operations &amp; Support'!D2)</f>
        <v/>
      </c>
      <c r="E47" s="38">
        <f>IF('Operations &amp; Support'!E2="","",'Operations &amp; Support'!E2)</f>
        <v/>
      </c>
      <c r="F47" s="39">
        <f>IF('Operations &amp; Support'!F2="","",'Operations &amp; Support'!F2)</f>
        <v/>
      </c>
      <c r="G47" s="38">
        <f>IF('Operations &amp; Support'!G2="","",'Operations &amp; Support'!G2)</f>
        <v/>
      </c>
    </row>
    <row r="48">
      <c r="A48" s="40">
        <f>IF('Operations &amp; Support'!A3="","",'Operations &amp; Support'!A3)</f>
        <v/>
      </c>
      <c r="B48" s="40">
        <f>IF('Operations &amp; Support'!B3="","",'Operations &amp; Support'!B3)</f>
        <v/>
      </c>
      <c r="C48" s="40">
        <f>IF('Operations &amp; Support'!C3="","",'Operations &amp; Support'!C3)</f>
        <v/>
      </c>
      <c r="D48" s="40">
        <f>IF('Operations &amp; Support'!D3="","",'Operations &amp; Support'!D3)</f>
        <v/>
      </c>
      <c r="E48" s="40">
        <f>IF('Operations &amp; Support'!E3="","",'Operations &amp; Support'!E3)</f>
        <v/>
      </c>
      <c r="F48" s="39">
        <f>IF('Operations &amp; Support'!F3="","",'Operations &amp; Support'!F3)</f>
        <v/>
      </c>
      <c r="G48" s="40">
        <f>IF('Operations &amp; Support'!G3="","",'Operations &amp; Support'!G3)</f>
        <v/>
      </c>
    </row>
    <row r="49">
      <c r="A49" s="38">
        <f>IF('Operations &amp; Support'!A4="","",'Operations &amp; Support'!A4)</f>
        <v/>
      </c>
      <c r="B49" s="38">
        <f>IF('Operations &amp; Support'!B4="","",'Operations &amp; Support'!B4)</f>
        <v/>
      </c>
      <c r="C49" s="38">
        <f>IF('Operations &amp; Support'!C4="","",'Operations &amp; Support'!C4)</f>
        <v/>
      </c>
      <c r="D49" s="38">
        <f>IF('Operations &amp; Support'!D4="","",'Operations &amp; Support'!D4)</f>
        <v/>
      </c>
      <c r="E49" s="38">
        <f>IF('Operations &amp; Support'!E4="","",'Operations &amp; Support'!E4)</f>
        <v/>
      </c>
      <c r="F49" s="39">
        <f>IF('Operations &amp; Support'!F4="","",'Operations &amp; Support'!F4)</f>
        <v/>
      </c>
      <c r="G49" s="38">
        <f>IF('Operations &amp; Support'!G4="","",'Operations &amp; Support'!G4)</f>
        <v/>
      </c>
    </row>
    <row r="50">
      <c r="A50" s="40">
        <f>IF('Operations &amp; Support'!A5="","",'Operations &amp; Support'!A5)</f>
        <v/>
      </c>
      <c r="B50" s="40">
        <f>IF('Operations &amp; Support'!B5="","",'Operations &amp; Support'!B5)</f>
        <v/>
      </c>
      <c r="C50" s="40">
        <f>IF('Operations &amp; Support'!C5="","",'Operations &amp; Support'!C5)</f>
        <v/>
      </c>
      <c r="D50" s="40">
        <f>IF('Operations &amp; Support'!D5="","",'Operations &amp; Support'!D5)</f>
        <v/>
      </c>
      <c r="E50" s="40">
        <f>IF('Operations &amp; Support'!E5="","",'Operations &amp; Support'!E5)</f>
        <v/>
      </c>
      <c r="F50" s="39">
        <f>IF('Operations &amp; Support'!F5="","",'Operations &amp; Support'!F5)</f>
        <v/>
      </c>
      <c r="G50" s="40">
        <f>IF('Operations &amp; Support'!G5="","",'Operations &amp; Support'!G5)</f>
        <v/>
      </c>
    </row>
    <row r="51">
      <c r="A51" s="38">
        <f>IF('Operations &amp; Support'!A6="","",'Operations &amp; Support'!A6)</f>
        <v/>
      </c>
      <c r="B51" s="38">
        <f>IF('Operations &amp; Support'!B6="","",'Operations &amp; Support'!B6)</f>
        <v/>
      </c>
      <c r="C51" s="38">
        <f>IF('Operations &amp; Support'!C6="","",'Operations &amp; Support'!C6)</f>
        <v/>
      </c>
      <c r="D51" s="38">
        <f>IF('Operations &amp; Support'!D6="","",'Operations &amp; Support'!D6)</f>
        <v/>
      </c>
      <c r="E51" s="38">
        <f>IF('Operations &amp; Support'!E6="","",'Operations &amp; Support'!E6)</f>
        <v/>
      </c>
      <c r="F51" s="39">
        <f>IF('Operations &amp; Support'!F6="","",'Operations &amp; Support'!F6)</f>
        <v/>
      </c>
      <c r="G51" s="38">
        <f>IF('Operations &amp; Support'!G6="","",'Operations &amp; Support'!G6)</f>
        <v/>
      </c>
    </row>
    <row r="52">
      <c r="A52" s="40">
        <f>IF('Operations &amp; Support'!A7="","",'Operations &amp; Support'!A7)</f>
        <v/>
      </c>
      <c r="B52" s="40">
        <f>IF('Operations &amp; Support'!B7="","",'Operations &amp; Support'!B7)</f>
        <v/>
      </c>
      <c r="C52" s="40">
        <f>IF('Operations &amp; Support'!C7="","",'Operations &amp; Support'!C7)</f>
        <v/>
      </c>
      <c r="D52" s="40">
        <f>IF('Operations &amp; Support'!D7="","",'Operations &amp; Support'!D7)</f>
        <v/>
      </c>
      <c r="E52" s="40">
        <f>IF('Operations &amp; Support'!E7="","",'Operations &amp; Support'!E7)</f>
        <v/>
      </c>
      <c r="F52" s="39">
        <f>IF('Operations &amp; Support'!F7="","",'Operations &amp; Support'!F7)</f>
        <v/>
      </c>
      <c r="G52" s="40">
        <f>IF('Operations &amp; Support'!G7="","",'Operations &amp; Support'!G7)</f>
        <v/>
      </c>
    </row>
    <row r="53">
      <c r="A53" s="38">
        <f>IF('Operations &amp; Support'!A8="","",'Operations &amp; Support'!A8)</f>
        <v/>
      </c>
      <c r="B53" s="38">
        <f>IF('Operations &amp; Support'!B8="","",'Operations &amp; Support'!B8)</f>
        <v/>
      </c>
      <c r="C53" s="38">
        <f>IF('Operations &amp; Support'!C8="","",'Operations &amp; Support'!C8)</f>
        <v/>
      </c>
      <c r="D53" s="38">
        <f>IF('Operations &amp; Support'!D8="","",'Operations &amp; Support'!D8)</f>
        <v/>
      </c>
      <c r="E53" s="38">
        <f>IF('Operations &amp; Support'!E8="","",'Operations &amp; Support'!E8)</f>
        <v/>
      </c>
      <c r="F53" s="39">
        <f>IF('Operations &amp; Support'!F8="","",'Operations &amp; Support'!F8)</f>
        <v/>
      </c>
      <c r="G53" s="38">
        <f>IF('Operations &amp; Support'!G8="","",'Operations &amp; Support'!G8)</f>
        <v/>
      </c>
    </row>
    <row r="54">
      <c r="A54" s="40">
        <f>IF('Operations &amp; Support'!A9="","",'Operations &amp; Support'!A9)</f>
        <v/>
      </c>
      <c r="B54" s="40">
        <f>IF('Operations &amp; Support'!B9="","",'Operations &amp; Support'!B9)</f>
        <v/>
      </c>
      <c r="C54" s="40">
        <f>IF('Operations &amp; Support'!C9="","",'Operations &amp; Support'!C9)</f>
        <v/>
      </c>
      <c r="D54" s="40">
        <f>IF('Operations &amp; Support'!D9="","",'Operations &amp; Support'!D9)</f>
        <v/>
      </c>
      <c r="E54" s="40">
        <f>IF('Operations &amp; Support'!E9="","",'Operations &amp; Support'!E9)</f>
        <v/>
      </c>
      <c r="F54" s="39">
        <f>IF('Operations &amp; Support'!F9="","",'Operations &amp; Support'!F9)</f>
        <v/>
      </c>
      <c r="G54" s="40">
        <f>IF('Operations &amp; Support'!G9="","",'Operations &amp; Support'!G9)</f>
        <v/>
      </c>
    </row>
    <row r="55">
      <c r="A55" s="38">
        <f>IF('Operations &amp; Support'!A10="","",'Operations &amp; Support'!A10)</f>
        <v/>
      </c>
      <c r="B55" s="38">
        <f>IF('Operations &amp; Support'!B10="","",'Operations &amp; Support'!B10)</f>
        <v/>
      </c>
      <c r="C55" s="38">
        <f>IF('Operations &amp; Support'!C10="","",'Operations &amp; Support'!C10)</f>
        <v/>
      </c>
      <c r="D55" s="38">
        <f>IF('Operations &amp; Support'!D10="","",'Operations &amp; Support'!D10)</f>
        <v/>
      </c>
      <c r="E55" s="38">
        <f>IF('Operations &amp; Support'!E10="","",'Operations &amp; Support'!E10)</f>
        <v/>
      </c>
      <c r="F55" s="39">
        <f>IF('Operations &amp; Support'!F10="","",'Operations &amp; Support'!F10)</f>
        <v/>
      </c>
      <c r="G55" s="38">
        <f>IF('Operations &amp; Support'!G10="","",'Operations &amp; Support'!G10)</f>
        <v/>
      </c>
    </row>
    <row r="56">
      <c r="A56" s="40">
        <f>IF('Implementation Planning'!A2="","",'Implementation Planning'!A2)</f>
        <v/>
      </c>
      <c r="B56" s="40">
        <f>IF('Implementation Planning'!B2="","",'Implementation Planning'!B2)</f>
        <v/>
      </c>
      <c r="C56" s="40">
        <f>IF('Implementation Planning'!C2="","",'Implementation Planning'!C2)</f>
        <v/>
      </c>
      <c r="D56" s="40">
        <f>IF('Implementation Planning'!D2="","",'Implementation Planning'!D2)</f>
        <v/>
      </c>
      <c r="E56" s="40">
        <f>IF('Implementation Planning'!E2="","",'Implementation Planning'!E2)</f>
        <v/>
      </c>
      <c r="F56" s="39">
        <f>IF('Implementation Planning'!F2="","",'Implementation Planning'!F2)</f>
        <v/>
      </c>
      <c r="G56" s="40">
        <f>IF('Implementation Planning'!G2="","",'Implementation Planning'!G2)</f>
        <v/>
      </c>
    </row>
    <row r="57">
      <c r="A57" s="38">
        <f>IF('Implementation Planning'!A3="","",'Implementation Planning'!A3)</f>
        <v/>
      </c>
      <c r="B57" s="38">
        <f>IF('Implementation Planning'!B3="","",'Implementation Planning'!B3)</f>
        <v/>
      </c>
      <c r="C57" s="38">
        <f>IF('Implementation Planning'!C3="","",'Implementation Planning'!C3)</f>
        <v/>
      </c>
      <c r="D57" s="38">
        <f>IF('Implementation Planning'!D3="","",'Implementation Planning'!D3)</f>
        <v/>
      </c>
      <c r="E57" s="38">
        <f>IF('Implementation Planning'!E3="","",'Implementation Planning'!E3)</f>
        <v/>
      </c>
      <c r="F57" s="39">
        <f>IF('Implementation Planning'!F3="","",'Implementation Planning'!F3)</f>
        <v/>
      </c>
      <c r="G57" s="38">
        <f>IF('Implementation Planning'!G3="","",'Implementation Planning'!G3)</f>
        <v/>
      </c>
    </row>
    <row r="58">
      <c r="A58" s="40">
        <f>IF('Implementation Planning'!A4="","",'Implementation Planning'!A4)</f>
        <v/>
      </c>
      <c r="B58" s="40">
        <f>IF('Implementation Planning'!B4="","",'Implementation Planning'!B4)</f>
        <v/>
      </c>
      <c r="C58" s="40">
        <f>IF('Implementation Planning'!C4="","",'Implementation Planning'!C4)</f>
        <v/>
      </c>
      <c r="D58" s="40">
        <f>IF('Implementation Planning'!D4="","",'Implementation Planning'!D4)</f>
        <v/>
      </c>
      <c r="E58" s="40">
        <f>IF('Implementation Planning'!E4="","",'Implementation Planning'!E4)</f>
        <v/>
      </c>
      <c r="F58" s="39">
        <f>IF('Implementation Planning'!F4="","",'Implementation Planning'!F4)</f>
        <v/>
      </c>
      <c r="G58" s="40">
        <f>IF('Implementation Planning'!G4="","",'Implementation Planning'!G4)</f>
        <v/>
      </c>
    </row>
    <row r="59">
      <c r="A59" s="38">
        <f>IF('Implementation Planning'!A5="","",'Implementation Planning'!A5)</f>
        <v/>
      </c>
      <c r="B59" s="38">
        <f>IF('Implementation Planning'!B5="","",'Implementation Planning'!B5)</f>
        <v/>
      </c>
      <c r="C59" s="38">
        <f>IF('Implementation Planning'!C5="","",'Implementation Planning'!C5)</f>
        <v/>
      </c>
      <c r="D59" s="38">
        <f>IF('Implementation Planning'!D5="","",'Implementation Planning'!D5)</f>
        <v/>
      </c>
      <c r="E59" s="38">
        <f>IF('Implementation Planning'!E5="","",'Implementation Planning'!E5)</f>
        <v/>
      </c>
      <c r="F59" s="39">
        <f>IF('Implementation Planning'!F5="","",'Implementation Planning'!F5)</f>
        <v/>
      </c>
      <c r="G59" s="38">
        <f>IF('Implementation Planning'!G5="","",'Implementation Planning'!G5)</f>
        <v/>
      </c>
    </row>
    <row r="60">
      <c r="A60" s="40">
        <f>IF('Implementation Planning'!A6="","",'Implementation Planning'!A6)</f>
        <v/>
      </c>
      <c r="B60" s="40">
        <f>IF('Implementation Planning'!B6="","",'Implementation Planning'!B6)</f>
        <v/>
      </c>
      <c r="C60" s="40">
        <f>IF('Implementation Planning'!C6="","",'Implementation Planning'!C6)</f>
        <v/>
      </c>
      <c r="D60" s="40">
        <f>IF('Implementation Planning'!D6="","",'Implementation Planning'!D6)</f>
        <v/>
      </c>
      <c r="E60" s="40">
        <f>IF('Implementation Planning'!E6="","",'Implementation Planning'!E6)</f>
        <v/>
      </c>
      <c r="F60" s="39">
        <f>IF('Implementation Planning'!F6="","",'Implementation Planning'!F6)</f>
        <v/>
      </c>
      <c r="G60" s="40">
        <f>IF('Implementation Planning'!G6="","",'Implementation Planning'!G6)</f>
        <v/>
      </c>
    </row>
    <row r="61">
      <c r="A61" s="38">
        <f>IF('Implementation Planning'!A7="","",'Implementation Planning'!A7)</f>
        <v/>
      </c>
      <c r="B61" s="38">
        <f>IF('Implementation Planning'!B7="","",'Implementation Planning'!B7)</f>
        <v/>
      </c>
      <c r="C61" s="38">
        <f>IF('Implementation Planning'!C7="","",'Implementation Planning'!C7)</f>
        <v/>
      </c>
      <c r="D61" s="38">
        <f>IF('Implementation Planning'!D7="","",'Implementation Planning'!D7)</f>
        <v/>
      </c>
      <c r="E61" s="38">
        <f>IF('Implementation Planning'!E7="","",'Implementation Planning'!E7)</f>
        <v/>
      </c>
      <c r="F61" s="39">
        <f>IF('Implementation Planning'!F7="","",'Implementation Planning'!F7)</f>
        <v/>
      </c>
      <c r="G61" s="38">
        <f>IF('Implementation Planning'!G7="","",'Implementation Planning'!G7)</f>
        <v/>
      </c>
    </row>
    <row r="62">
      <c r="A62" s="40">
        <f>IF('Implementation Planning'!A8="","",'Implementation Planning'!A8)</f>
        <v/>
      </c>
      <c r="B62" s="40">
        <f>IF('Implementation Planning'!B8="","",'Implementation Planning'!B8)</f>
        <v/>
      </c>
      <c r="C62" s="40">
        <f>IF('Implementation Planning'!C8="","",'Implementation Planning'!C8)</f>
        <v/>
      </c>
      <c r="D62" s="40">
        <f>IF('Implementation Planning'!D8="","",'Implementation Planning'!D8)</f>
        <v/>
      </c>
      <c r="E62" s="40">
        <f>IF('Implementation Planning'!E8="","",'Implementation Planning'!E8)</f>
        <v/>
      </c>
      <c r="F62" s="39">
        <f>IF('Implementation Planning'!F8="","",'Implementation Planning'!F8)</f>
        <v/>
      </c>
      <c r="G62" s="40">
        <f>IF('Implementation Planning'!G8="","",'Implementation Planning'!G8)</f>
        <v/>
      </c>
    </row>
    <row r="63">
      <c r="A63" s="38">
        <f>IF('Implementation Planning'!A9="","",'Implementation Planning'!A9)</f>
        <v/>
      </c>
      <c r="B63" s="38">
        <f>IF('Implementation Planning'!B9="","",'Implementation Planning'!B9)</f>
        <v/>
      </c>
      <c r="C63" s="38">
        <f>IF('Implementation Planning'!C9="","",'Implementation Planning'!C9)</f>
        <v/>
      </c>
      <c r="D63" s="38">
        <f>IF('Implementation Planning'!D9="","",'Implementation Planning'!D9)</f>
        <v/>
      </c>
      <c r="E63" s="38">
        <f>IF('Implementation Planning'!E9="","",'Implementation Planning'!E9)</f>
        <v/>
      </c>
      <c r="F63" s="39">
        <f>IF('Implementation Planning'!F9="","",'Implementation Planning'!F9)</f>
        <v/>
      </c>
      <c r="G63" s="38">
        <f>IF('Implementation Planning'!G9="","",'Implementation Planning'!G9)</f>
        <v/>
      </c>
    </row>
    <row r="64">
      <c r="A64" s="40">
        <f>IF('Implementation Planning'!A10="","",'Implementation Planning'!A10)</f>
        <v/>
      </c>
      <c r="B64" s="40">
        <f>IF('Implementation Planning'!B10="","",'Implementation Planning'!B10)</f>
        <v/>
      </c>
      <c r="C64" s="40">
        <f>IF('Implementation Planning'!C10="","",'Implementation Planning'!C10)</f>
        <v/>
      </c>
      <c r="D64" s="40">
        <f>IF('Implementation Planning'!D10="","",'Implementation Planning'!D10)</f>
        <v/>
      </c>
      <c r="E64" s="40">
        <f>IF('Implementation Planning'!E10="","",'Implementation Planning'!E10)</f>
        <v/>
      </c>
      <c r="F64" s="39">
        <f>IF('Implementation Planning'!F10="","",'Implementation Planning'!F10)</f>
        <v/>
      </c>
      <c r="G64" s="40">
        <f>IF('Implementation Planning'!G10="","",'Implementation Planning'!G10)</f>
        <v/>
      </c>
    </row>
    <row r="65">
      <c r="A65" s="38">
        <f>IF('Implementation Planning'!A11="","",'Implementation Planning'!A11)</f>
        <v/>
      </c>
      <c r="B65" s="38">
        <f>IF('Implementation Planning'!B11="","",'Implementation Planning'!B11)</f>
        <v/>
      </c>
      <c r="C65" s="38">
        <f>IF('Implementation Planning'!C11="","",'Implementation Planning'!C11)</f>
        <v/>
      </c>
      <c r="D65" s="38">
        <f>IF('Implementation Planning'!D11="","",'Implementation Planning'!D11)</f>
        <v/>
      </c>
      <c r="E65" s="38">
        <f>IF('Implementation Planning'!E11="","",'Implementation Planning'!E11)</f>
        <v/>
      </c>
      <c r="F65" s="39">
        <f>IF('Implementation Planning'!F11="","",'Implementation Planning'!F11)</f>
        <v/>
      </c>
      <c r="G65" s="38">
        <f>IF('Implementation Planning'!G11="","",'Implementation Planning'!G11)</f>
        <v/>
      </c>
    </row>
    <row r="66">
      <c r="A66" s="40">
        <f>IF('Risk &amp; Constraints'!A2="","",'Risk &amp; Constraints'!A2)</f>
        <v/>
      </c>
      <c r="B66" s="40">
        <f>IF('Risk &amp; Constraints'!B2="","",'Risk &amp; Constraints'!B2)</f>
        <v/>
      </c>
      <c r="C66" s="40">
        <f>IF('Risk &amp; Constraints'!C2="","",'Risk &amp; Constraints'!C2)</f>
        <v/>
      </c>
      <c r="D66" s="40">
        <f>IF('Risk &amp; Constraints'!D2="","",'Risk &amp; Constraints'!D2)</f>
        <v/>
      </c>
      <c r="E66" s="40">
        <f>IF('Risk &amp; Constraints'!E2="","",'Risk &amp; Constraints'!E2)</f>
        <v/>
      </c>
      <c r="F66" s="39">
        <f>IF('Risk &amp; Constraints'!F2="","",'Risk &amp; Constraints'!F2)</f>
        <v/>
      </c>
      <c r="G66" s="40">
        <f>IF('Risk &amp; Constraints'!G2="","",'Risk &amp; Constraints'!G2)</f>
        <v/>
      </c>
    </row>
    <row r="67">
      <c r="A67" s="38">
        <f>IF('Risk &amp; Constraints'!A3="","",'Risk &amp; Constraints'!A3)</f>
        <v/>
      </c>
      <c r="B67" s="38">
        <f>IF('Risk &amp; Constraints'!B3="","",'Risk &amp; Constraints'!B3)</f>
        <v/>
      </c>
      <c r="C67" s="38">
        <f>IF('Risk &amp; Constraints'!C3="","",'Risk &amp; Constraints'!C3)</f>
        <v/>
      </c>
      <c r="D67" s="38">
        <f>IF('Risk &amp; Constraints'!D3="","",'Risk &amp; Constraints'!D3)</f>
        <v/>
      </c>
      <c r="E67" s="38">
        <f>IF('Risk &amp; Constraints'!E3="","",'Risk &amp; Constraints'!E3)</f>
        <v/>
      </c>
      <c r="F67" s="39">
        <f>IF('Risk &amp; Constraints'!F3="","",'Risk &amp; Constraints'!F3)</f>
        <v/>
      </c>
      <c r="G67" s="38">
        <f>IF('Risk &amp; Constraints'!G3="","",'Risk &amp; Constraints'!G3)</f>
        <v/>
      </c>
    </row>
    <row r="68">
      <c r="A68" s="40">
        <f>IF('Risk &amp; Constraints'!A4="","",'Risk &amp; Constraints'!A4)</f>
        <v/>
      </c>
      <c r="B68" s="40">
        <f>IF('Risk &amp; Constraints'!B4="","",'Risk &amp; Constraints'!B4)</f>
        <v/>
      </c>
      <c r="C68" s="40">
        <f>IF('Risk &amp; Constraints'!C4="","",'Risk &amp; Constraints'!C4)</f>
        <v/>
      </c>
      <c r="D68" s="40">
        <f>IF('Risk &amp; Constraints'!D4="","",'Risk &amp; Constraints'!D4)</f>
        <v/>
      </c>
      <c r="E68" s="40">
        <f>IF('Risk &amp; Constraints'!E4="","",'Risk &amp; Constraints'!E4)</f>
        <v/>
      </c>
      <c r="F68" s="39">
        <f>IF('Risk &amp; Constraints'!F4="","",'Risk &amp; Constraints'!F4)</f>
        <v/>
      </c>
      <c r="G68" s="40">
        <f>IF('Risk &amp; Constraints'!G4="","",'Risk &amp; Constraints'!G4)</f>
        <v/>
      </c>
    </row>
    <row r="69">
      <c r="A69" s="38">
        <f>IF('Risk &amp; Constraints'!A5="","",'Risk &amp; Constraints'!A5)</f>
        <v/>
      </c>
      <c r="B69" s="38">
        <f>IF('Risk &amp; Constraints'!B5="","",'Risk &amp; Constraints'!B5)</f>
        <v/>
      </c>
      <c r="C69" s="38">
        <f>IF('Risk &amp; Constraints'!C5="","",'Risk &amp; Constraints'!C5)</f>
        <v/>
      </c>
      <c r="D69" s="38">
        <f>IF('Risk &amp; Constraints'!D5="","",'Risk &amp; Constraints'!D5)</f>
        <v/>
      </c>
      <c r="E69" s="38">
        <f>IF('Risk &amp; Constraints'!E5="","",'Risk &amp; Constraints'!E5)</f>
        <v/>
      </c>
      <c r="F69" s="39">
        <f>IF('Risk &amp; Constraints'!F5="","",'Risk &amp; Constraints'!F5)</f>
        <v/>
      </c>
      <c r="G69" s="38">
        <f>IF('Risk &amp; Constraints'!G5="","",'Risk &amp; Constraints'!G5)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primary business challenges driving the Intelligent Solution Builder initiative?</t>
        </is>
      </c>
      <c r="E2" s="40" t="inlineStr">
        <is>
          <t>Describe the top 3–5 pain points (e.g. manual effort, inconsistent quality, low throughput)</t>
        </is>
      </c>
      <c r="F2" s="39" t="n"/>
      <c r="G2" s="40" t="inlineStr">
        <is>
          <t>Core drivers shape solution scope and prioritisation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many active pre-sales engagements does Amatra currently manage per quarter?</t>
        </is>
      </c>
      <c r="E3" s="38" t="inlineStr">
        <is>
          <t>Baseline metric to measure throughput improvement; current target is ~8 per quarter</t>
        </is>
      </c>
      <c r="F3" s="39" t="n"/>
      <c r="G3" s="38" t="inlineStr">
        <is>
          <t>Throughput baseline for success measurement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are the measurable success criteria for this platform?</t>
        </is>
      </c>
      <c r="E4" s="40" t="inlineStr">
        <is>
          <t>e.g. turnaround time ≤2 days, ≥24 engagements/quarter, 40% hour reduction, 99.9% uptime, ≥90% first-review QA pass rate</t>
        </is>
      </c>
      <c r="F4" s="39" t="n"/>
      <c r="G4" s="40" t="inlineStr">
        <is>
          <t>Drives acceptance testing and KPI dashboards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How will first-review QA pass rate be measured and by whom?</t>
        </is>
      </c>
      <c r="E5" s="38" t="inlineStr">
        <is>
          <t>Define review process, reviewer roles, and scoring methodology</t>
        </is>
      </c>
      <c r="F5" s="39" t="n"/>
      <c r="G5" s="38" t="inlineStr">
        <is>
          <t>Needed to instrument quality feedback loop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Stakeholders</t>
        </is>
      </c>
      <c r="D6" s="40" t="inlineStr">
        <is>
          <t>Who are the primary day-to-day users of the platform and what are their technical skill levels?</t>
        </is>
      </c>
      <c r="E6" s="40" t="inlineStr">
        <is>
          <t>Pre-sales consultants, delivery consultants, sales team — include headcount and AWS familiarity</t>
        </is>
      </c>
      <c r="F6" s="39" t="n"/>
      <c r="G6" s="40" t="inlineStr">
        <is>
          <t>Drives UX complexity and training scope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Stakeholders</t>
        </is>
      </c>
      <c r="D7" s="38" t="inlineStr">
        <is>
          <t>Who has authority to approve go/no-go for each build phase?</t>
        </is>
      </c>
      <c r="E7" s="38" t="inlineStr">
        <is>
          <t>Name roles and approval thresholds for budget and scope changes</t>
        </is>
      </c>
      <c r="F7" s="39" t="n"/>
      <c r="G7" s="38" t="inlineStr">
        <is>
          <t>Governance and escalation path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Timeline</t>
        </is>
      </c>
      <c r="D8" s="40" t="inlineStr">
        <is>
          <t>Is the Phase 1 MVP deadline of 2026-09-30 fixed or flex?</t>
        </is>
      </c>
      <c r="E8" s="40" t="inlineStr">
        <is>
          <t>Identify hard vs. aspirational deadlines and any linked business events</t>
        </is>
      </c>
      <c r="F8" s="39" t="n"/>
      <c r="G8" s="40" t="inlineStr">
        <is>
          <t>Hard deadline tied to flagship client renewal in Jan 2027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Timeline</t>
        </is>
      </c>
      <c r="D9" s="38" t="inlineStr">
        <is>
          <t>What is the criticality of the 2027-01-31 client renewal deadline?</t>
        </is>
      </c>
      <c r="E9" s="38" t="inlineStr">
        <is>
          <t>Describe the revenue or contractual risk if the platform is not live before that date</t>
        </is>
      </c>
      <c r="F9" s="39" t="n"/>
      <c r="G9" s="38" t="inlineStr">
        <is>
          <t>Single biggest external forcing function for the programme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Budget</t>
        </is>
      </c>
      <c r="D10" s="40" t="inlineStr">
        <is>
          <t>Is the $300K–$450K build budget inclusive of AWS infrastructure, licensing, and professional services?</t>
        </is>
      </c>
      <c r="E10" s="40" t="inlineStr">
        <is>
          <t>Clarify CapEx vs. OpEx split and any ring-fenced contingency reserve</t>
        </is>
      </c>
      <c r="F10" s="39" t="n"/>
      <c r="G10" s="40" t="inlineStr">
        <is>
          <t>Right-sizes scope and determines feasibility of phased delivery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Budget</t>
        </is>
      </c>
      <c r="D11" s="38" t="inlineStr">
        <is>
          <t>What approval process governs budget changes above a defined threshold?</t>
        </is>
      </c>
      <c r="E11" s="38" t="inlineStr">
        <is>
          <t>Identify threshold amount, approvers, and lead time required</t>
        </is>
      </c>
      <c r="F11" s="39" t="n"/>
      <c r="G11" s="38" t="inlineStr">
        <is>
          <t>Risk management and change control process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ROI &amp; Value</t>
        </is>
      </c>
      <c r="D12" s="40" t="inlineStr">
        <is>
          <t>What consulting hours per engagement are currently spent on artifact creation?</t>
        </is>
      </c>
      <c r="E12" s="40" t="inlineStr">
        <is>
          <t>Estimate hours by role (solutions architect, consultant, reviewer) to quantify the 40% reduction target</t>
        </is>
      </c>
      <c r="F12" s="39" t="n"/>
      <c r="G12" s="40" t="inlineStr">
        <is>
          <t>Baseline for ROI calculation and cost justification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What is the current state of the legacy internal monolith running on the single EC2 instance?</t>
        </is>
      </c>
      <c r="E2" s="40" t="inlineStr">
        <is>
          <t>Include OS, runtime, application stack, data it holds, and planned retirement date</t>
        </is>
      </c>
      <c r="F2" s="39" t="n"/>
      <c r="G2" s="40" t="inlineStr">
        <is>
          <t>Migration risk and retirement sequencing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Which artifact types and templates currently exist in Google Workspace?</t>
        </is>
      </c>
      <c r="E3" s="38" t="inlineStr">
        <is>
          <t>List all document types (discovery questionnaire, SOW, solution briefing, design doc, Terraform, etc.) and their formats</t>
        </is>
      </c>
      <c r="F3" s="39" t="n"/>
      <c r="G3" s="38" t="inlineStr">
        <is>
          <t>Scope of template migration into the new pipeline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Cloud Platform</t>
        </is>
      </c>
      <c r="D4" s="40" t="inlineStr">
        <is>
          <t>Is us-west-2 the only required AWS region, or are multi-region or DR regions needed?</t>
        </is>
      </c>
      <c r="E4" s="40" t="inlineStr">
        <is>
          <t>Confirm primary region and any secondary/DR region requirements</t>
        </is>
      </c>
      <c r="F4" s="39" t="n"/>
      <c r="G4" s="40" t="inlineStr">
        <is>
          <t>Architectural scope and data residency compliance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AWS Footprint</t>
        </is>
      </c>
      <c r="D5" s="38" t="inlineStr">
        <is>
          <t>What existing AWS accounts and AWS Organizations structure does Amatra have today?</t>
        </is>
      </c>
      <c r="E5" s="38" t="inlineStr">
        <is>
          <t>Number of accounts, OU structure, Control Tower usage, existing SCPs</t>
        </is>
      </c>
      <c r="F5" s="39" t="n"/>
      <c r="G5" s="38" t="inlineStr">
        <is>
          <t>Landing zone and account strategy for new platform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AWS Footprint</t>
        </is>
      </c>
      <c r="D6" s="40" t="inlineStr">
        <is>
          <t>Are there existing AWS programmes (MAP credits, EDP, APN) that apply to this project?</t>
        </is>
      </c>
      <c r="E6" s="40" t="inlineStr">
        <is>
          <t>Identify any committed spend agreements or credit pools available</t>
        </is>
      </c>
      <c r="F6" s="39" t="n"/>
      <c r="G6" s="40" t="inlineStr">
        <is>
          <t>Cost planning and procurement strategy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Compute &amp; Orchestration</t>
        </is>
      </c>
      <c r="D7" s="38" t="inlineStr">
        <is>
          <t>What is the expected maximum duration of a single artifact-generation job?</t>
        </is>
      </c>
      <c r="E7" s="38" t="inlineStr">
        <is>
          <t>Confirm the 30–60 min range; identify p95 and worst-case durations</t>
        </is>
      </c>
      <c r="F7" s="39" t="n"/>
      <c r="G7" s="38" t="inlineStr">
        <is>
          <t>Lambda timeout limits (15 min max) may require Step Functions or ECS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Compute &amp; Orchestration</t>
        </is>
      </c>
      <c r="D8" s="40" t="inlineStr">
        <is>
          <t>Should long-running generation jobs use AWS Step Functions, ECS/Fargate, or another pattern?</t>
        </is>
      </c>
      <c r="E8" s="40" t="inlineStr">
        <is>
          <t>Evaluate against Lambda 15-minute limit; async polling vs. WebSocket push-back to client</t>
        </is>
      </c>
      <c r="F8" s="39" t="n"/>
      <c r="G8" s="40" t="inlineStr">
        <is>
          <t>Architectural decision with cost and complexity implications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AI &amp; LLM</t>
        </is>
      </c>
      <c r="D9" s="38" t="inlineStr">
        <is>
          <t>Which Amazon Bedrock Claude model(s) are targeted (e.g. Claude 3.5 Sonnet, Claude 3 Haiku)?</t>
        </is>
      </c>
      <c r="E9" s="38" t="inlineStr">
        <is>
          <t>Specify model IDs and whether on-demand or provisioned throughput is required</t>
        </is>
      </c>
      <c r="F9" s="39" t="n"/>
      <c r="G9" s="38" t="inlineStr">
        <is>
          <t>Model selection drives cost, latency, and quality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AI &amp; LLM</t>
        </is>
      </c>
      <c r="D10" s="40" t="inlineStr">
        <is>
          <t>What is the expected number of Bedrock API calls (tokens in/out) per engagement?</t>
        </is>
      </c>
      <c r="E10" s="40" t="inlineStr">
        <is>
          <t>Estimate input and output token volumes per artifact type and per engagement</t>
        </is>
      </c>
      <c r="F10" s="39" t="n"/>
      <c r="G10" s="40" t="inlineStr">
        <is>
          <t>Primary cost driver; needed for pricing model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AI &amp; LLM</t>
        </is>
      </c>
      <c r="D11" s="38" t="inlineStr">
        <is>
          <t>Are there prompt templates or system prompts already defined, or will these be developed from scratch?</t>
        </is>
      </c>
      <c r="E11" s="38" t="inlineStr">
        <is>
          <t>Include existing examples or style guides for generated artifacts</t>
        </is>
      </c>
      <c r="F11" s="39" t="n"/>
      <c r="G11" s="38" t="inlineStr">
        <is>
          <t>Development scope and quality baseline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Data &amp; Storage</t>
        </is>
      </c>
      <c r="D12" s="40" t="inlineStr">
        <is>
          <t>What is the expected volume of client briefs and generated artifacts stored per month?</t>
        </is>
      </c>
      <c r="E12" s="40" t="inlineStr">
        <is>
          <t>Estimate file count, average sizes, and total monthly S3 storage growth</t>
        </is>
      </c>
      <c r="F12" s="39" t="n"/>
      <c r="G12" s="40" t="inlineStr">
        <is>
          <t>S3 storage tier selection and lifecycle policy design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Data &amp; Storage</t>
        </is>
      </c>
      <c r="D13" s="38" t="inlineStr">
        <is>
          <t>What is the retention policy for generated artifacts and client data?</t>
        </is>
      </c>
      <c r="E13" s="38" t="inlineStr">
        <is>
          <t>e.g. 7 years for SOW, 90 days for drafts — include any regulatory drivers</t>
        </is>
      </c>
      <c r="F13" s="39" t="n"/>
      <c r="G13" s="38" t="inlineStr">
        <is>
          <t>S3 lifecycle rules, DynamoDB TTL, and compliance obligations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API &amp; Integration</t>
        </is>
      </c>
      <c r="D14" s="40" t="inlineStr">
        <is>
          <t>What clients or systems will call the REST API (API Gateway)?</t>
        </is>
      </c>
      <c r="E14" s="40" t="inlineStr">
        <is>
          <t>Internal web app, CLI, CRM integration (Salesforce?), or external partners</t>
        </is>
      </c>
      <c r="F14" s="39" t="n"/>
      <c r="G14" s="40" t="inlineStr">
        <is>
          <t>API design, throttling, and auth scope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Integration</t>
        </is>
      </c>
      <c r="D15" s="38" t="inlineStr">
        <is>
          <t>Does the platform need to integrate with Salesforce CRM or any proposal management tool?</t>
        </is>
      </c>
      <c r="E15" s="38" t="inlineStr">
        <is>
          <t>Describe any opportunity-to-artifact workflow or data sync requirements</t>
        </is>
      </c>
      <c r="F15" s="39" t="n"/>
      <c r="G15" s="38" t="inlineStr">
        <is>
          <t>Integration complexity and Phase 2 scope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Performance</t>
        </is>
      </c>
      <c r="D16" s="40" t="inlineStr">
        <is>
          <t>What response-time SLA is required for synchronous API endpoints (e.g. brief submission)?</t>
        </is>
      </c>
      <c r="E16" s="40" t="inlineStr">
        <is>
          <t>e.g. &lt;2 s for submission acknowledgment; async poll/callback for generation completion</t>
        </is>
      </c>
      <c r="F16" s="39" t="n"/>
      <c r="G16" s="40" t="inlineStr">
        <is>
          <t>API Gateway and Lambda cold-start tuning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Performance</t>
        </is>
      </c>
      <c r="D17" s="38" t="inlineStr">
        <is>
          <t>What is the expected peak concurrent user count and peak concurrent generation jobs?</t>
        </is>
      </c>
      <c r="E17" s="38" t="inlineStr">
        <is>
          <t>Provide average and peak (e.g. end-of-quarter proposal rush)</t>
        </is>
      </c>
      <c r="F17" s="39" t="n"/>
      <c r="G17" s="38" t="inlineStr">
        <is>
          <t>Lambda concurrency limits and DynamoDB capacity planning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Identity &amp; Auth</t>
        </is>
      </c>
      <c r="D18" s="40" t="inlineStr">
        <is>
          <t>What is the Okta-to-Cognito migration plan — bulk import, phased cut-over, or parallel run?</t>
        </is>
      </c>
      <c r="E18" s="40" t="inlineStr">
        <is>
          <t>Identify user population size, attribute mapping needs, and federation requirements</t>
        </is>
      </c>
      <c r="F18" s="39" t="n"/>
      <c r="G18" s="40" t="inlineStr">
        <is>
          <t>Scopes identity migration effort and risk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Identity &amp; Auth</t>
        </is>
      </c>
      <c r="D19" s="38" t="inlineStr">
        <is>
          <t>Will Cognito federate with Okta via SAML/OIDC during a transition period?</t>
        </is>
      </c>
      <c r="E19" s="38" t="inlineStr">
        <is>
          <t>Determine if Okta remains IdP with Cognito as SP, or full migration</t>
        </is>
      </c>
      <c r="F19" s="39" t="n"/>
      <c r="G19" s="38" t="inlineStr">
        <is>
          <t>Identity architecture decision affecting security and UX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Usage Controls</t>
        </is>
      </c>
      <c r="D20" s="40" t="inlineStr">
        <is>
          <t>How are per-user and global monthly usage limits defined and enforced?</t>
        </is>
      </c>
      <c r="E20" s="40" t="inlineStr">
        <is>
          <t>Describe limit types (API calls, tokens, jobs), reset cadence, and admin override process</t>
        </is>
      </c>
      <c r="F20" s="39" t="n"/>
      <c r="G20" s="40" t="inlineStr">
        <is>
          <t>DynamoDB usage tracking schema and Lambda enforcement logic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Terraform &amp; DevOps</t>
        </is>
      </c>
      <c r="D21" s="38" t="inlineStr">
        <is>
          <t>What IaC tooling is currently used and what is the target Terraform version?</t>
        </is>
      </c>
      <c r="E21" s="38" t="inlineStr">
        <is>
          <t>Include any existing CI/CD pipelines (CodePipeline, GitHub Actions, GitLab) and state backend preferences</t>
        </is>
      </c>
      <c r="F21" s="39" t="n"/>
      <c r="G21" s="38" t="inlineStr">
        <is>
          <t>Phase 2 Terraform automation scope and toolchain 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Has Amatra's SOC 2 Type II scope been defined — does the new platform fall within scope?</t>
        </is>
      </c>
      <c r="E2" s="40" t="inlineStr">
        <is>
          <t>Confirm whether the Intelligent Solution Builder is in-scope for the existing or new SOC 2 audit</t>
        </is>
      </c>
      <c r="F2" s="39" t="n"/>
      <c r="G2" s="40" t="inlineStr">
        <is>
          <t>Security controls, audit logging, and penetration testing requirements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Compliance Frameworks</t>
        </is>
      </c>
      <c r="D3" s="38" t="inlineStr">
        <is>
          <t>What GDPR obligations apply to client data stored in this platform?</t>
        </is>
      </c>
      <c r="E3" s="38" t="inlineStr">
        <is>
          <t>Identify data subjects, processing purposes, and any EU/UK data subject data that may be in client briefs</t>
        </is>
      </c>
      <c r="F3" s="39" t="n"/>
      <c r="G3" s="38" t="inlineStr">
        <is>
          <t>Data handling policies, DPA agreements, and right-to-erasure workflows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Data Classification</t>
        </is>
      </c>
      <c r="D4" s="40" t="inlineStr">
        <is>
          <t>How should generated artifacts and client brief content be classified?</t>
        </is>
      </c>
      <c r="E4" s="40" t="inlineStr">
        <is>
          <t>e.g. Confidential, Restricted — include classification schema in use</t>
        </is>
      </c>
      <c r="F4" s="39" t="n"/>
      <c r="G4" s="40" t="inlineStr">
        <is>
          <t>Encryption tier selection and access control granularity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Data Residency</t>
        </is>
      </c>
      <c r="D5" s="38" t="inlineStr">
        <is>
          <t>Is United States data residency sufficient, or are specific AWS regions required per client contract?</t>
        </is>
      </c>
      <c r="E5" s="38" t="inlineStr">
        <is>
          <t>Confirm us-west-2 meets all contractual and regulatory obligations</t>
        </is>
      </c>
      <c r="F5" s="39" t="n"/>
      <c r="G5" s="38" t="inlineStr">
        <is>
          <t>Region lock-in and any future multi-region requirements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Authentication</t>
        </is>
      </c>
      <c r="D6" s="40" t="inlineStr">
        <is>
          <t>What MFA policy is required for platform users?</t>
        </is>
      </c>
      <c r="E6" s="40" t="inlineStr">
        <is>
          <t>e.g. TOTP, hardware key, Cognito built-in MFA — include admin vs. standard user differentiation</t>
        </is>
      </c>
      <c r="F6" s="39" t="n"/>
      <c r="G6" s="40" t="inlineStr">
        <is>
          <t>Cognito MFA configuration and user pool policy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Encryption</t>
        </is>
      </c>
      <c r="D7" s="38" t="inlineStr">
        <is>
          <t>What encryption requirements apply to data at rest in S3 and DynamoDB?</t>
        </is>
      </c>
      <c r="E7" s="38" t="inlineStr">
        <is>
          <t>SSE-S3, SSE-KMS (AWS-managed vs. CMK), and key rotation cadence</t>
        </is>
      </c>
      <c r="F7" s="39" t="n"/>
      <c r="G7" s="38" t="inlineStr">
        <is>
          <t>KMS CMK management adds operational overhead and cost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Encryption</t>
        </is>
      </c>
      <c r="D8" s="40" t="inlineStr">
        <is>
          <t>What TLS version and cipher requirements apply to API Gateway and all service endpoints?</t>
        </is>
      </c>
      <c r="E8" s="40" t="inlineStr">
        <is>
          <t>Minimum TLS version (1.2 or 1.3) and any approved cipher suites</t>
        </is>
      </c>
      <c r="F8" s="39" t="n"/>
      <c r="G8" s="40" t="inlineStr">
        <is>
          <t>API Gateway security policy configuration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Access Control</t>
        </is>
      </c>
      <c r="D9" s="38" t="inlineStr">
        <is>
          <t>What IAM strategy governs Lambda execution roles and cross-service permissions?</t>
        </is>
      </c>
      <c r="E9" s="38" t="inlineStr">
        <is>
          <t>Least-privilege roles per function, permission boundaries, or AWS Organizations SCPs</t>
        </is>
      </c>
      <c r="F9" s="39" t="n"/>
      <c r="G9" s="38" t="inlineStr">
        <is>
          <t>Security posture and blast-radius containment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Audit Logging</t>
        </is>
      </c>
      <c r="D10" s="40" t="inlineStr">
        <is>
          <t>What audit logging requirements must be met (CloudTrail, CloudWatch Logs, S3 access logs)?</t>
        </is>
      </c>
      <c r="E10" s="40" t="inlineStr">
        <is>
          <t>Log retention periods, immutability (WORM), SIEM integration requirements</t>
        </is>
      </c>
      <c r="F10" s="39" t="n"/>
      <c r="G10" s="40" t="inlineStr">
        <is>
          <t>Compliance evidence for SOC 2 and incident response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Vulnerability Management</t>
        </is>
      </c>
      <c r="D11" s="38" t="inlineStr">
        <is>
          <t>What is the patch and vulnerability management cadence for Lambda runtimes and container images?</t>
        </is>
      </c>
      <c r="E11" s="38" t="inlineStr">
        <is>
          <t>e.g. monthly patching SLA, Inspector integration, dependency scanning in CI/CD</t>
        </is>
      </c>
      <c r="F11" s="39" t="n"/>
      <c r="G11" s="38" t="inlineStr">
        <is>
          <t>Ongoing security hygiene obligations</t>
        </is>
      </c>
    </row>
    <row r="12">
      <c r="A12" s="40" t="inlineStr">
        <is>
          <t>SEC-011</t>
        </is>
      </c>
      <c r="B12" s="40" t="inlineStr">
        <is>
          <t>Security &amp; Compliance</t>
        </is>
      </c>
      <c r="C12" s="40" t="inlineStr">
        <is>
          <t>Network Security</t>
        </is>
      </c>
      <c r="D12" s="40" t="inlineStr">
        <is>
          <t>Are there network-level controls required — VPC deployment, PrivateLink, WAF on API Gateway?</t>
        </is>
      </c>
      <c r="E12" s="40" t="inlineStr">
        <is>
          <t>Describe egress/ingress policies, IP allowlisting, and DDoS mitigation needs</t>
        </is>
      </c>
      <c r="F12" s="39" t="n"/>
      <c r="G12" s="40" t="inlineStr">
        <is>
          <t>Architecture decision; VPC adds cost and complexity for serverless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Recovery Time Objective (RTO) for the platform?</t>
        </is>
      </c>
      <c r="E2" s="40" t="inlineStr">
        <is>
          <t>Maximum acceptable downtime — e.g. &lt;1 hour, &lt;4 hours, &lt;24 hours</t>
        </is>
      </c>
      <c r="F2" s="39" t="n"/>
      <c r="G2" s="40" t="inlineStr">
        <is>
          <t>Determines multi-AZ vs. multi-region active-active architecture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Recovery Point Objective (RPO) for artifact and usage data?</t>
        </is>
      </c>
      <c r="E3" s="38" t="inlineStr">
        <is>
          <t>Maximum acceptable data loss — e.g. zero, &lt;15 minutes, &lt;1 hour</t>
        </is>
      </c>
      <c r="F3" s="39" t="n"/>
      <c r="G3" s="38" t="inlineStr">
        <is>
          <t>DynamoDB backup strategy: point-in-time recovery vs. on-demand snapshots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</t>
        </is>
      </c>
      <c r="D4" s="40" t="inlineStr">
        <is>
          <t>What monitoring and alerting platform is in use today (CloudWatch, Datadog, PagerDuty, etc.)?</t>
        </is>
      </c>
      <c r="E4" s="40" t="inlineStr">
        <is>
          <t>Identify existing tooling and any contractual commitments to avoid duplication</t>
        </is>
      </c>
      <c r="F4" s="39" t="n"/>
      <c r="G4" s="40" t="inlineStr">
        <is>
          <t>Integration scope for operational dashboards and on-call alerting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Monitoring</t>
        </is>
      </c>
      <c r="D5" s="38" t="inlineStr">
        <is>
          <t>What metrics and alarms are critical for the platform (error rates, LLM latency, cost anomalies)?</t>
        </is>
      </c>
      <c r="E5" s="38" t="inlineStr">
        <is>
          <t>List top 5–10 KPIs for the operations team</t>
        </is>
      </c>
      <c r="F5" s="39" t="n"/>
      <c r="G5" s="38" t="inlineStr">
        <is>
          <t>CloudWatch dashboard and alarm design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Support Coverage</t>
        </is>
      </c>
      <c r="D6" s="40" t="inlineStr">
        <is>
          <t>What support model is required — business-hours (8x5), extended (24x5), or 24x7?</t>
        </is>
      </c>
      <c r="E6" s="40" t="inlineStr">
        <is>
          <t>Identify SLA tiers for P1/P2/P3 incidents</t>
        </is>
      </c>
      <c r="F6" s="39" t="n"/>
      <c r="G6" s="40" t="inlineStr">
        <is>
          <t>Support staffing, on-call rotation, and AWS Support plan tier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Capacity Planning</t>
        </is>
      </c>
      <c r="D7" s="38" t="inlineStr">
        <is>
          <t>How should the platform scale to handle a 3× increase in concurrent engagements?</t>
        </is>
      </c>
      <c r="E7" s="38" t="inlineStr">
        <is>
          <t>Confirm Lambda reserved concurrency targets and DynamoDB auto-scaling thresholds</t>
        </is>
      </c>
      <c r="F7" s="39" t="n"/>
      <c r="G7" s="38" t="inlineStr">
        <is>
          <t>Capacity headroom and cost scaling model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Cost Management</t>
        </is>
      </c>
      <c r="D8" s="40" t="inlineStr">
        <is>
          <t>What AWS cost governance controls are required (budgets, alerts, tagging policy)?</t>
        </is>
      </c>
      <c r="E8" s="40" t="inlineStr">
        <is>
          <t>Describe tag taxonomy, budget alert thresholds, and cost centre allocation</t>
        </is>
      </c>
      <c r="F8" s="39" t="n"/>
      <c r="G8" s="40" t="inlineStr">
        <is>
          <t>FinOps hygiene and showback/chargeback requirements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Maintenance</t>
        </is>
      </c>
      <c r="D9" s="38" t="inlineStr">
        <is>
          <t>What maintenance windows are available for deployments and patching?</t>
        </is>
      </c>
      <c r="E9" s="38" t="inlineStr">
        <is>
          <t>Days/times when brief service interruptions are acceptable</t>
        </is>
      </c>
      <c r="F9" s="39" t="n"/>
      <c r="G9" s="38" t="inlineStr">
        <is>
          <t>CI/CD pipeline scheduling and blue/green deployment design</t>
        </is>
      </c>
    </row>
    <row r="10">
      <c r="A10" s="40" t="inlineStr">
        <is>
          <t>OPS-009</t>
        </is>
      </c>
      <c r="B10" s="40" t="inlineStr">
        <is>
          <t>Operations &amp; Support</t>
        </is>
      </c>
      <c r="C10" s="40" t="inlineStr">
        <is>
          <t>Training</t>
        </is>
      </c>
      <c r="D10" s="40" t="inlineStr">
        <is>
          <t>What operational run-book and training documentation is required for the platform team?</t>
        </is>
      </c>
      <c r="E10" s="40" t="inlineStr">
        <is>
          <t>Identify audience (internal DevOps, external MSP) and format requirements</t>
        </is>
      </c>
      <c r="F10" s="39" t="n"/>
      <c r="G10" s="40" t="inlineStr">
        <is>
          <t>Knowledge transfer scope and go-live readiness criteria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Is this a greenfield build or does any legacy EC2 monolith functionality need to be migrated?</t>
        </is>
      </c>
      <c r="E2" s="40" t="inlineStr">
        <is>
          <t>Confirm scope of monolith retirement and any data migration required before platform launch</t>
        </is>
      </c>
      <c r="F2" s="39" t="n"/>
      <c r="G2" s="40" t="inlineStr">
        <is>
          <t>Sequencing of legacy retirement vs. new platform go-live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Migration Approach</t>
        </is>
      </c>
      <c r="D3" s="38" t="inlineStr">
        <is>
          <t>How will existing Word/Excel/PowerPoint artifact templates be ingested into the automated pipeline?</t>
        </is>
      </c>
      <c r="E3" s="38" t="inlineStr">
        <is>
          <t>Describe template count, format, and any required fidelity checks</t>
        </is>
      </c>
      <c r="F3" s="39" t="n"/>
      <c r="G3" s="38" t="inlineStr">
        <is>
          <t>Template migration is on the critical path for Phase 1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Phasing</t>
        </is>
      </c>
      <c r="D4" s="40" t="inlineStr">
        <is>
          <t>What is the prioritised list of artifact types for Phase 1 MVP?</t>
        </is>
      </c>
      <c r="E4" s="40" t="inlineStr">
        <is>
          <t>e.g. discovery questionnaire, solution briefing, SOW first; design doc and Terraform in Phase 2</t>
        </is>
      </c>
      <c r="F4" s="39" t="n"/>
      <c r="G4" s="40" t="inlineStr">
        <is>
          <t>Scope boundary between Phase 1 and Phase 2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Phasing</t>
        </is>
      </c>
      <c r="D5" s="38" t="inlineStr">
        <is>
          <t>What functionality must be deferred to Phase 2 (2026-12-15) or GA (Q1 2027)?</t>
        </is>
      </c>
      <c r="E5" s="38" t="inlineStr">
        <is>
          <t>Identify must-have vs. nice-to-have features for each phase boundary</t>
        </is>
      </c>
      <c r="F5" s="39" t="n"/>
      <c r="G5" s="38" t="inlineStr">
        <is>
          <t>MVP scope control to meet the 2026-09-30 deadline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 Availability</t>
        </is>
      </c>
      <c r="D6" s="40" t="inlineStr">
        <is>
          <t>What internal engineering resources (FTEs) will Amatra dedicate to this project?</t>
        </is>
      </c>
      <c r="E6" s="40" t="inlineStr">
        <is>
          <t>Roles, seniority levels, and % time commitment for the VP of Engineering's team</t>
        </is>
      </c>
      <c r="F6" s="39" t="n"/>
      <c r="G6" s="40" t="inlineStr">
        <is>
          <t>Project plan feasibility and staffing gap analysis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Resource Availability</t>
        </is>
      </c>
      <c r="D7" s="38" t="inlineStr">
        <is>
          <t>Will Amatra use an external implementation partner, AWS ProServe, or build fully in-house?</t>
        </is>
      </c>
      <c r="E7" s="38" t="inlineStr">
        <is>
          <t>Describe procurement approach and any preferred vendors already shortlisted</t>
        </is>
      </c>
      <c r="F7" s="39" t="n"/>
      <c r="G7" s="38" t="inlineStr">
        <is>
          <t>Build vs. buy vs. partner decision and commercial structure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Testing &amp; QA</t>
        </is>
      </c>
      <c r="D8" s="40" t="inlineStr">
        <is>
          <t>What is the QA and acceptance testing strategy for generated artifacts?</t>
        </is>
      </c>
      <c r="E8" s="40" t="inlineStr">
        <is>
          <t>Describe who reviews outputs, acceptance criteria, and any automated quality scoring</t>
        </is>
      </c>
      <c r="F8" s="39" t="n"/>
      <c r="G8" s="40" t="inlineStr">
        <is>
          <t>Drives the internal QA feedback loop (target ≥90% first-review pass rate)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Testing &amp; QA</t>
        </is>
      </c>
      <c r="D9" s="38" t="inlineStr">
        <is>
          <t>What environments are required (dev, staging, prod) and how are they isolated?</t>
        </is>
      </c>
      <c r="E9" s="38" t="inlineStr">
        <is>
          <t>Separate AWS accounts, VPCs, or environment-level isolation approach</t>
        </is>
      </c>
      <c r="F9" s="39" t="n"/>
      <c r="G9" s="38" t="inlineStr">
        <is>
          <t>Environment strategy and CI/CD pipeline design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Change Management</t>
        </is>
      </c>
      <c r="D10" s="40" t="inlineStr">
        <is>
          <t>How will pre-sales consultants be onboarded and trained on the new platform?</t>
        </is>
      </c>
      <c r="E10" s="40" t="inlineStr">
        <is>
          <t>Number of users, training format (live, self-serve), and change champions</t>
        </is>
      </c>
      <c r="F10" s="39" t="n"/>
      <c r="G10" s="40" t="inlineStr">
        <is>
          <t>Adoption risk and training plan scope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Go-Live Readiness</t>
        </is>
      </c>
      <c r="D11" s="38" t="inlineStr">
        <is>
          <t>What go-live readiness criteria must be met before each phase launch?</t>
        </is>
      </c>
      <c r="E11" s="38" t="inlineStr">
        <is>
          <t>e.g. security sign-off, UAT completion, runbook approval, on-call rotation in place</t>
        </is>
      </c>
      <c r="F11" s="39" t="n"/>
      <c r="G11" s="38" t="inlineStr">
        <is>
          <t>Gate criteria for Phase 1, Phase 2, and GA launches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Project Risks</t>
        </is>
      </c>
      <c r="D2" s="40" t="inlineStr">
        <is>
          <t>What are the top 3 risks that could cause the Phase 1 deadline (2026-09-30) to slip?</t>
        </is>
      </c>
      <c r="E2" s="40" t="inlineStr">
        <is>
          <t>Consider LLM quality, identity migration, template conversion, staffing, or vendor delays</t>
        </is>
      </c>
      <c r="F2" s="39" t="n"/>
      <c r="G2" s="40" t="inlineStr">
        <is>
          <t>Risk register seed — mitigation strategies to be defined in SOW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Dependencies</t>
        </is>
      </c>
      <c r="D3" s="38" t="inlineStr">
        <is>
          <t>Are there third-party dependencies (Okta contracts, AWS Bedrock model availability, procurement lead times) that could block the programme?</t>
        </is>
      </c>
      <c r="E3" s="38" t="inlineStr">
        <is>
          <t>List external dependencies and their owners</t>
        </is>
      </c>
      <c r="F3" s="39" t="n"/>
      <c r="G3" s="38" t="inlineStr">
        <is>
          <t>Critical path and contingency planning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Constraints</t>
        </is>
      </c>
      <c r="D4" s="40" t="inlineStr">
        <is>
          <t>What technical or organisational constraints must the solution work within?</t>
        </is>
      </c>
      <c r="E4" s="40" t="inlineStr">
        <is>
          <t>e.g. existing AWS account structure, Okta contract end date, security review lead times, change freeze periods</t>
        </is>
      </c>
      <c r="F4" s="39" t="n"/>
      <c r="G4" s="40" t="inlineStr">
        <is>
          <t>Solution design boundaries and scheduling constraints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Assumptions</t>
        </is>
      </c>
      <c r="D5" s="38" t="inlineStr">
        <is>
          <t>What assumptions is Amatra making that require validation before the project begins?</t>
        </is>
      </c>
      <c r="E5" s="38" t="inlineStr">
        <is>
          <t>e.g. Bedrock model quality meets artifact standards, existing templates are machine-readable, Cognito supports all Okta attributes</t>
        </is>
      </c>
      <c r="F5" s="39" t="n"/>
      <c r="G5" s="38" t="inlineStr">
        <is>
          <t>Assumption log — unvalidated assumptions become project risks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2026-06-10T00:01:38Z</dcterms:modified>
  <cp:lastModifiedBy>Kishan Siram</cp:lastModifiedBy>
</cp:coreProperties>
</file>