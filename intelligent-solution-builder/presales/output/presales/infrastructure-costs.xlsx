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Guidelines'!$A$2:$F$11</definedName>
    <definedName name="_xlnm._FilterDatabase" localSheetId="2" hidden="1">'Infrastructure Costs'!$A$2:$K$23</definedName>
    <definedName name="_xlnm._FilterDatabase" localSheetId="3" hidden="1">'Credits'!$A$2:$D$11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Tmpwz9A4Npl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Active Engagements per Quarter</t>
        </is>
      </c>
      <c r="C3" s="38" t="inlineStr">
        <is>
          <t>Up to 10</t>
        </is>
      </c>
      <c r="D3" s="38" t="inlineStr">
        <is>
          <t>10-30 engagements</t>
        </is>
      </c>
      <c r="E3" s="38" t="inlineStr">
        <is>
          <t>30+ engagements</t>
        </is>
      </c>
      <c r="F3" s="37" t="inlineStr">
        <is>
          <t>Number of concurrent solution-builder engagements</t>
        </is>
      </c>
    </row>
    <row r="4" ht="26" customHeight="1">
      <c r="A4" s="39" t="inlineStr">
        <is>
          <t>Cloud Services</t>
        </is>
      </c>
      <c r="B4" s="40" t="inlineStr">
        <is>
          <t>Concurrent Generation Jobs</t>
        </is>
      </c>
      <c r="C4" s="41" t="inlineStr">
        <is>
          <t>1-3 jobs</t>
        </is>
      </c>
      <c r="D4" s="41" t="inlineStr">
        <is>
          <t>4-12 jobs</t>
        </is>
      </c>
      <c r="E4" s="41" t="inlineStr">
        <is>
          <t>12+ jobs</t>
        </is>
      </c>
      <c r="F4" s="40" t="inlineStr">
        <is>
          <t>Simultaneous async Bedrock/Lambda generation pipelines</t>
        </is>
      </c>
    </row>
    <row r="5" ht="26" customHeight="1">
      <c r="A5" s="36" t="inlineStr">
        <is>
          <t>Cloud Services</t>
        </is>
      </c>
      <c r="B5" s="37" t="inlineStr">
        <is>
          <t>Lambda Invocations per Month</t>
        </is>
      </c>
      <c r="C5" s="38" t="inlineStr">
        <is>
          <t>&lt;1M</t>
        </is>
      </c>
      <c r="D5" s="38" t="inlineStr">
        <is>
          <t>1M-5M</t>
        </is>
      </c>
      <c r="E5" s="38" t="inlineStr">
        <is>
          <t>5M+/month</t>
        </is>
      </c>
      <c r="F5" s="37" t="inlineStr">
        <is>
          <t>API + orchestration function invocations</t>
        </is>
      </c>
    </row>
    <row r="6" ht="26" customHeight="1">
      <c r="A6" s="39" t="inlineStr">
        <is>
          <t>Cloud Services</t>
        </is>
      </c>
      <c r="B6" s="40" t="inlineStr">
        <is>
          <t>Bedrock Token Volume</t>
        </is>
      </c>
      <c r="C6" s="41" t="inlineStr">
        <is>
          <t>&lt;5M tokens/month</t>
        </is>
      </c>
      <c r="D6" s="41" t="inlineStr">
        <is>
          <t>5M-25M tokens/month</t>
        </is>
      </c>
      <c r="E6" s="41" t="inlineStr">
        <is>
          <t>25M+ tokens/month</t>
        </is>
      </c>
      <c r="F6" s="40" t="inlineStr">
        <is>
          <t>Claude model inference tokens (input + output)</t>
        </is>
      </c>
    </row>
    <row r="7" ht="26" customHeight="1">
      <c r="A7" s="36" t="inlineStr">
        <is>
          <t>Cloud Services</t>
        </is>
      </c>
      <c r="B7" s="37" t="inlineStr">
        <is>
          <t>DynamoDB Request Units</t>
        </is>
      </c>
      <c r="C7" s="38" t="inlineStr">
        <is>
          <t>&lt;5M RCU+WCU/month</t>
        </is>
      </c>
      <c r="D7" s="38" t="inlineStr">
        <is>
          <t>5M-20M RCU+WCU/month</t>
        </is>
      </c>
      <c r="E7" s="38" t="inlineStr">
        <is>
          <t>20M+/month</t>
        </is>
      </c>
      <c r="F7" s="37" t="inlineStr">
        <is>
          <t>Solution and usage state read/write capacity</t>
        </is>
      </c>
    </row>
    <row r="8" ht="26" customHeight="1">
      <c r="A8" s="39" t="inlineStr">
        <is>
          <t>Cloud Services</t>
        </is>
      </c>
      <c r="B8" s="40" t="inlineStr">
        <is>
          <t>S3 Storage Volume</t>
        </is>
      </c>
      <c r="C8" s="41" t="inlineStr">
        <is>
          <t>&lt;50 GB</t>
        </is>
      </c>
      <c r="D8" s="41" t="inlineStr">
        <is>
          <t>50-250 GB</t>
        </is>
      </c>
      <c r="E8" s="41" t="inlineStr">
        <is>
          <t>250+ GB</t>
        </is>
      </c>
      <c r="F8" s="40" t="inlineStr">
        <is>
          <t>Artifact storage across all engagements</t>
        </is>
      </c>
    </row>
    <row r="9" ht="26" customHeight="1">
      <c r="A9" s="36" t="inlineStr">
        <is>
          <t>Software Licenses</t>
        </is>
      </c>
      <c r="B9" s="37" t="inlineStr">
        <is>
          <t>Platform Users</t>
        </is>
      </c>
      <c r="C9" s="38" t="inlineStr">
        <is>
          <t>Up to 25 users</t>
        </is>
      </c>
      <c r="D9" s="38" t="inlineStr">
        <is>
          <t>25-75 users</t>
        </is>
      </c>
      <c r="E9" s="38" t="inlineStr">
        <is>
          <t>75+ users</t>
        </is>
      </c>
      <c r="F9" s="37" t="inlineStr">
        <is>
          <t>Internal pre-sales and delivery consultants</t>
        </is>
      </c>
    </row>
    <row r="10" ht="26" customHeight="1">
      <c r="A10" s="39" t="inlineStr">
        <is>
          <t>Connectivity</t>
        </is>
      </c>
      <c r="B10" s="40" t="inlineStr">
        <is>
          <t>API Gateway Requests</t>
        </is>
      </c>
      <c r="C10" s="41" t="inlineStr">
        <is>
          <t>&lt;5M calls/month</t>
        </is>
      </c>
      <c r="D10" s="41" t="inlineStr">
        <is>
          <t>5M-20M calls/month</t>
        </is>
      </c>
      <c r="E10" s="41" t="inlineStr">
        <is>
          <t>20M+/month</t>
        </is>
      </c>
      <c r="F10" s="40" t="inlineStr">
        <is>
          <t>REST API throughput</t>
        </is>
      </c>
    </row>
    <row r="11" ht="26" customHeight="1">
      <c r="A11" s="36" t="inlineStr">
        <is>
          <t>Support &amp; Maintenance</t>
        </is>
      </c>
      <c r="B11" s="37" t="inlineStr">
        <is>
          <t>AWS Support Plan</t>
        </is>
      </c>
      <c r="C11" s="38" t="inlineStr">
        <is>
          <t>Developer</t>
        </is>
      </c>
      <c r="D11" s="38" t="inlineStr">
        <is>
          <t>Business</t>
        </is>
      </c>
      <c r="E11" s="38" t="inlineStr">
        <is>
          <t>Enterprise</t>
        </is>
      </c>
      <c r="F11" s="37" t="inlineStr">
        <is>
          <t>AWS support tier aligned to SLA requirement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AWS Lambda</t>
        </is>
      </c>
      <c r="C3" s="43" t="inlineStr">
        <is>
          <t>Serverless compute for API handlers and async orchestration; ~2M invocations/month at 512 MB avg 3s duration</t>
        </is>
      </c>
      <c r="D3" s="44" t="n">
        <v>1</v>
      </c>
      <c r="E3" s="43" t="inlineStr">
        <is>
          <t>Service/Month</t>
        </is>
      </c>
      <c r="F3" s="45" t="n">
        <v>200</v>
      </c>
      <c r="G3" s="45" t="n">
        <v>2400</v>
      </c>
      <c r="H3" s="44" t="n">
        <v>2400</v>
      </c>
      <c r="I3" s="44" t="n">
        <v>2400</v>
      </c>
      <c r="J3" s="44" t="n">
        <v>7200</v>
      </c>
      <c r="K3" s="43" t="inlineStr">
        <is>
          <t>Pricing per calculator (lambda us-east-1 proxy for us-west-2)</t>
        </is>
      </c>
    </row>
    <row r="4" ht="26" customHeight="1">
      <c r="A4" s="46" t="inlineStr">
        <is>
          <t>Cloud Services</t>
        </is>
      </c>
      <c r="B4" s="47" t="inlineStr">
        <is>
          <t>Amazon API Gateway</t>
        </is>
      </c>
      <c r="C4" s="47" t="inlineStr">
        <is>
          <t>REST API fronting all Lambda functions; ~3M requests/month including WebSocket for async job status</t>
        </is>
      </c>
      <c r="D4" s="48" t="n">
        <v>1</v>
      </c>
      <c r="E4" s="47" t="inlineStr">
        <is>
          <t>Service/Month</t>
        </is>
      </c>
      <c r="F4" s="49" t="n">
        <v>105</v>
      </c>
      <c r="G4" s="49" t="n">
        <v>1260</v>
      </c>
      <c r="H4" s="48" t="n">
        <v>1260</v>
      </c>
      <c r="I4" s="48" t="n">
        <v>1260</v>
      </c>
      <c r="J4" s="48" t="n">
        <v>3780</v>
      </c>
      <c r="K4" s="47" t="inlineStr">
        <is>
          <t>HTTP API tier at $1.00/million requests + connection fees</t>
        </is>
      </c>
    </row>
    <row r="5" ht="26" customHeight="1">
      <c r="A5" s="42" t="inlineStr">
        <is>
          <t>Cloud Services</t>
        </is>
      </c>
      <c r="B5" s="43" t="inlineStr">
        <is>
          <t>Amazon Bedrock</t>
        </is>
      </c>
      <c r="C5" s="43" t="inlineStr">
        <is>
          <t>Claude 3 Sonnet/Haiku inference for artifact generation; ~10M input tokens and 5M output tokens/month</t>
        </is>
      </c>
      <c r="D5" s="44" t="n">
        <v>1</v>
      </c>
      <c r="E5" s="43" t="inlineStr">
        <is>
          <t>Service/Month</t>
        </is>
      </c>
      <c r="F5" s="45" t="n">
        <v>825</v>
      </c>
      <c r="G5" s="45" t="n">
        <v>9900</v>
      </c>
      <c r="H5" s="44" t="n">
        <v>9900</v>
      </c>
      <c r="I5" s="44" t="n">
        <v>9900</v>
      </c>
      <c r="J5" s="44" t="n">
        <v>29700</v>
      </c>
      <c r="K5" s="43" t="inlineStr">
        <is>
          <t>Claude 3 Sonnet: $3/M input + $15/M output tokens (AWS public pricing)</t>
        </is>
      </c>
    </row>
    <row r="6" ht="26" customHeight="1">
      <c r="A6" s="46" t="inlineStr">
        <is>
          <t>Cloud Services</t>
        </is>
      </c>
      <c r="B6" s="47" t="inlineStr">
        <is>
          <t>Amazon DynamoDB</t>
        </is>
      </c>
      <c r="C6" s="47" t="inlineStr">
        <is>
          <t>On-demand capacity for solution state and per-user usage tracking; ~2M reads and 500K writes/month</t>
        </is>
      </c>
      <c r="D6" s="48" t="n">
        <v>1</v>
      </c>
      <c r="E6" s="47" t="inlineStr">
        <is>
          <t>Service/Month</t>
        </is>
      </c>
      <c r="F6" s="49" t="n">
        <v>25</v>
      </c>
      <c r="G6" s="49" t="n">
        <v>300</v>
      </c>
      <c r="H6" s="48" t="n">
        <v>300</v>
      </c>
      <c r="I6" s="48" t="n">
        <v>300</v>
      </c>
      <c r="J6" s="48" t="n">
        <v>900</v>
      </c>
      <c r="K6" s="47" t="inlineStr">
        <is>
          <t>Pricing per calculator (dynamodb us-east-1 proxy for us-west-2)</t>
        </is>
      </c>
    </row>
    <row r="7" ht="26" customHeight="1">
      <c r="A7" s="42" t="inlineStr">
        <is>
          <t>Cloud Services</t>
        </is>
      </c>
      <c r="B7" s="43" t="inlineStr">
        <is>
          <t>Amazon S3</t>
        </is>
      </c>
      <c r="C7" s="43" t="inlineStr">
        <is>
          <t>Artifact storage for PDFs/DOCX/PPTX and input briefs; 100 GB stored + 50K GET and 10K PUT/month</t>
        </is>
      </c>
      <c r="D7" s="44" t="n">
        <v>500</v>
      </c>
      <c r="E7" s="43" t="inlineStr">
        <is>
          <t>GB/Month</t>
        </is>
      </c>
      <c r="F7" s="45" t="n">
        <v>0.023</v>
      </c>
      <c r="G7" s="45" t="n">
        <v>138</v>
      </c>
      <c r="H7" s="44" t="n">
        <v>138</v>
      </c>
      <c r="I7" s="44" t="n">
        <v>138</v>
      </c>
      <c r="J7" s="44" t="n">
        <v>414</v>
      </c>
      <c r="K7" s="43" t="inlineStr">
        <is>
          <t>Pricing per calculator (s3 us-east-1 proxy); $0.023/GB standard tier</t>
        </is>
      </c>
    </row>
    <row r="8" ht="26" customHeight="1">
      <c r="A8" s="46" t="inlineStr">
        <is>
          <t>Cloud Services</t>
        </is>
      </c>
      <c r="B8" s="47" t="inlineStr">
        <is>
          <t>Amazon Cognito</t>
        </is>
      </c>
      <c r="C8" s="47" t="inlineStr">
        <is>
          <t>User pool for ~50 internal users; admin group governance; Okta identity migration included</t>
        </is>
      </c>
      <c r="D8" s="48" t="n">
        <v>1</v>
      </c>
      <c r="E8" s="47" t="inlineStr">
        <is>
          <t>Service/Month</t>
        </is>
      </c>
      <c r="F8" s="49" t="n">
        <v>5.5</v>
      </c>
      <c r="G8" s="49" t="n">
        <v>66</v>
      </c>
      <c r="H8" s="48" t="n">
        <v>66</v>
      </c>
      <c r="I8" s="48" t="n">
        <v>66</v>
      </c>
      <c r="J8" s="48" t="n">
        <v>198</v>
      </c>
      <c r="K8" s="47" t="inlineStr">
        <is>
          <t>First 50K MAUs free; nominal charge for advanced security features</t>
        </is>
      </c>
    </row>
    <row r="9" ht="26" customHeight="1">
      <c r="A9" s="42" t="inlineStr">
        <is>
          <t>Cloud Services</t>
        </is>
      </c>
      <c r="B9" s="43" t="inlineStr">
        <is>
          <t>Amazon SQS</t>
        </is>
      </c>
      <c r="C9" s="43" t="inlineStr">
        <is>
          <t>Async job queues for 30-60 min generation pipelines; decouples API from Bedrock invocations</t>
        </is>
      </c>
      <c r="D9" s="44" t="n">
        <v>1</v>
      </c>
      <c r="E9" s="43" t="inlineStr">
        <is>
          <t>Service/Month</t>
        </is>
      </c>
      <c r="F9" s="45" t="n">
        <v>8</v>
      </c>
      <c r="G9" s="45" t="n">
        <v>96</v>
      </c>
      <c r="H9" s="44" t="n">
        <v>96</v>
      </c>
      <c r="I9" s="44" t="n">
        <v>96</v>
      </c>
      <c r="J9" s="44" t="n">
        <v>288</v>
      </c>
      <c r="K9" s="43" t="inlineStr">
        <is>
          <t>Standard queue ~500K messages/month; $0.40/million after free tier</t>
        </is>
      </c>
    </row>
    <row r="10" ht="26" customHeight="1">
      <c r="A10" s="46" t="inlineStr">
        <is>
          <t>Cloud Services</t>
        </is>
      </c>
      <c r="B10" s="47" t="inlineStr">
        <is>
          <t>Amazon CloudWatch</t>
        </is>
      </c>
      <c r="C10" s="47" t="inlineStr">
        <is>
          <t>Metrics, logs, alarms and dashboards for all Lambda/API Gateway/Bedrock usage; 20 GB log ingestion/month</t>
        </is>
      </c>
      <c r="D10" s="48" t="n">
        <v>1</v>
      </c>
      <c r="E10" s="47" t="inlineStr">
        <is>
          <t>Service/Month</t>
        </is>
      </c>
      <c r="F10" s="49" t="n">
        <v>85</v>
      </c>
      <c r="G10" s="49" t="n">
        <v>1020</v>
      </c>
      <c r="H10" s="48" t="n">
        <v>1020</v>
      </c>
      <c r="I10" s="48" t="n">
        <v>1020</v>
      </c>
      <c r="J10" s="48" t="n">
        <v>3060</v>
      </c>
      <c r="K10" s="47" t="inlineStr">
        <is>
          <t>$0.50/GB ingestion + $0.03/GB storage + dashboards and alarms</t>
        </is>
      </c>
    </row>
    <row r="11" ht="26" customHeight="1">
      <c r="A11" s="42" t="inlineStr">
        <is>
          <t>Cloud Services</t>
        </is>
      </c>
      <c r="B11" s="43" t="inlineStr">
        <is>
          <t>AWS WAF</t>
        </is>
      </c>
      <c r="C11" s="43" t="inlineStr">
        <is>
          <t>Web Application Firewall on API Gateway; rate limiting and managed rule groups for SOC 2 compliance</t>
        </is>
      </c>
      <c r="D11" s="44" t="n">
        <v>1</v>
      </c>
      <c r="E11" s="43" t="inlineStr">
        <is>
          <t>Service/Month</t>
        </is>
      </c>
      <c r="F11" s="45" t="n">
        <v>35</v>
      </c>
      <c r="G11" s="45" t="n">
        <v>420</v>
      </c>
      <c r="H11" s="44" t="n">
        <v>420</v>
      </c>
      <c r="I11" s="44" t="n">
        <v>420</v>
      </c>
      <c r="J11" s="44" t="n">
        <v>1260</v>
      </c>
      <c r="K11" s="43" t="inlineStr">
        <is>
          <t>$5/WebACL + $1/rule/month + $0.60/M requests</t>
        </is>
      </c>
    </row>
    <row r="12" ht="26" customHeight="1">
      <c r="A12" s="46" t="inlineStr">
        <is>
          <t>Cloud Services</t>
        </is>
      </c>
      <c r="B12" s="47" t="inlineStr">
        <is>
          <t>AWS Secrets Manager</t>
        </is>
      </c>
      <c r="C12" s="47" t="inlineStr">
        <is>
          <t>Secrets for API keys and DB credentials and third-party integrations; ~10 secrets with rotation</t>
        </is>
      </c>
      <c r="D12" s="48" t="n">
        <v>10</v>
      </c>
      <c r="E12" s="47" t="inlineStr">
        <is>
          <t>Secret/Month</t>
        </is>
      </c>
      <c r="F12" s="49" t="n">
        <v>0.4</v>
      </c>
      <c r="G12" s="49" t="n">
        <v>48</v>
      </c>
      <c r="H12" s="48" t="n">
        <v>48</v>
      </c>
      <c r="I12" s="48" t="n">
        <v>48</v>
      </c>
      <c r="J12" s="48" t="n">
        <v>144</v>
      </c>
      <c r="K12" s="47" t="inlineStr">
        <is>
          <t>$0.40/secret/month after free tier</t>
        </is>
      </c>
    </row>
    <row r="13" ht="26" customHeight="1">
      <c r="A13" s="42" t="inlineStr">
        <is>
          <t>Cloud Services</t>
        </is>
      </c>
      <c r="B13" s="43" t="inlineStr">
        <is>
          <t>AWS CloudTrail</t>
        </is>
      </c>
      <c r="C13" s="43" t="inlineStr">
        <is>
          <t>Organisation-level audit trail for SOC 2 Type II; all API calls recorded to S3</t>
        </is>
      </c>
      <c r="D13" s="44" t="n">
        <v>1</v>
      </c>
      <c r="E13" s="43" t="inlineStr">
        <is>
          <t>Service/Month</t>
        </is>
      </c>
      <c r="F13" s="45" t="n">
        <v>10</v>
      </c>
      <c r="G13" s="45" t="n">
        <v>120</v>
      </c>
      <c r="H13" s="44" t="n">
        <v>120</v>
      </c>
      <c r="I13" s="44" t="n">
        <v>120</v>
      </c>
      <c r="J13" s="44" t="n">
        <v>360</v>
      </c>
      <c r="K13" s="43" t="inlineStr">
        <is>
          <t>Management events free; data events $0.10/100K + S3 storage</t>
        </is>
      </c>
    </row>
    <row r="14" ht="26" customHeight="1">
      <c r="A14" s="46" t="inlineStr">
        <is>
          <t>Cloud Services</t>
        </is>
      </c>
      <c r="B14" s="47" t="inlineStr">
        <is>
          <t>Amazon Route 53</t>
        </is>
      </c>
      <c r="C14" s="47" t="inlineStr">
        <is>
          <t>DNS hosting for platform domain; health checks for API Gateway endpoints</t>
        </is>
      </c>
      <c r="D14" s="48" t="n">
        <v>1</v>
      </c>
      <c r="E14" s="47" t="inlineStr">
        <is>
          <t>Service/Month</t>
        </is>
      </c>
      <c r="F14" s="49" t="n">
        <v>6</v>
      </c>
      <c r="G14" s="49" t="n">
        <v>72</v>
      </c>
      <c r="H14" s="48" t="n">
        <v>72</v>
      </c>
      <c r="I14" s="48" t="n">
        <v>72</v>
      </c>
      <c r="J14" s="48" t="n">
        <v>216</v>
      </c>
      <c r="K14" s="47" t="inlineStr">
        <is>
          <t>$0.50/hosted zone + health checks</t>
        </is>
      </c>
    </row>
    <row r="15" ht="26" customHeight="1">
      <c r="A15" s="42" t="inlineStr">
        <is>
          <t>Cloud Services</t>
        </is>
      </c>
      <c r="B15" s="43" t="inlineStr">
        <is>
          <t>AWS Certificate Manager</t>
        </is>
      </c>
      <c r="C15" s="43" t="inlineStr">
        <is>
          <t>TLS/SSL certificates for API Gateway custom domain with auto-renewal</t>
        </is>
      </c>
      <c r="D15" s="44" t="n">
        <v>1</v>
      </c>
      <c r="E15" s="43" t="inlineStr">
        <is>
          <t>Service/Month</t>
        </is>
      </c>
      <c r="F15" s="45" t="n">
        <v>0</v>
      </c>
      <c r="G15" s="45" t="n">
        <v>0</v>
      </c>
      <c r="H15" s="44" t="n">
        <v>0</v>
      </c>
      <c r="I15" s="44" t="n">
        <v>0</v>
      </c>
      <c r="J15" s="44" t="n">
        <v>0</v>
      </c>
      <c r="K15" s="43" t="inlineStr">
        <is>
          <t>Free for ACM-managed certificates on AWS services</t>
        </is>
      </c>
    </row>
    <row r="16" ht="26" customHeight="1">
      <c r="A16" s="46" t="inlineStr">
        <is>
          <t>Cloud Services</t>
        </is>
      </c>
      <c r="B16" s="47" t="inlineStr">
        <is>
          <t>Data Transfer Out</t>
        </is>
      </c>
      <c r="C16" s="47" t="inlineStr">
        <is>
          <t>Artifact downloads and API responses; ~200 GB/month egress to clients and users</t>
        </is>
      </c>
      <c r="D16" s="48" t="n">
        <v>200</v>
      </c>
      <c r="E16" s="47" t="inlineStr">
        <is>
          <t>GB/Month</t>
        </is>
      </c>
      <c r="F16" s="49" t="n">
        <v>0.09</v>
      </c>
      <c r="G16" s="49" t="n">
        <v>2160</v>
      </c>
      <c r="H16" s="48" t="n">
        <v>2160</v>
      </c>
      <c r="I16" s="48" t="n">
        <v>2160</v>
      </c>
      <c r="J16" s="48" t="n">
        <v>6480</v>
      </c>
      <c r="K16" s="47" t="inlineStr">
        <is>
          <t>$0.09/GB first 10 TB/month (us-west-2)</t>
        </is>
      </c>
    </row>
    <row r="17" ht="26" customHeight="1">
      <c r="A17" s="42" t="inlineStr">
        <is>
          <t>Software Licenses</t>
        </is>
      </c>
      <c r="B17" s="43" t="inlineStr">
        <is>
          <t>Okta Wind-Down</t>
        </is>
      </c>
      <c r="C17" s="43" t="inlineStr">
        <is>
          <t>Existing Okta subscription during Cognito migration; 3-month overlap transition period</t>
        </is>
      </c>
      <c r="D17" s="44" t="n">
        <v>1</v>
      </c>
      <c r="E17" s="43" t="inlineStr">
        <is>
          <t>Service/Month</t>
        </is>
      </c>
      <c r="F17" s="45" t="n">
        <v>250</v>
      </c>
      <c r="G17" s="45" t="n">
        <v>750</v>
      </c>
      <c r="H17" s="44" t="n">
        <v>0</v>
      </c>
      <c r="I17" s="44" t="n">
        <v>0</v>
      </c>
      <c r="J17" s="44" t="n">
        <v>750</v>
      </c>
      <c r="K17" s="43" t="inlineStr">
        <is>
          <t>Year 1 only (transition cost); migrated to Cognito by end of Phase 1</t>
        </is>
      </c>
    </row>
    <row r="18" ht="26" customHeight="1">
      <c r="A18" s="46" t="inlineStr">
        <is>
          <t>Software Licenses</t>
        </is>
      </c>
      <c r="B18" s="47" t="inlineStr">
        <is>
          <t>GitHub Actions CI-CD</t>
        </is>
      </c>
      <c r="C18" s="47" t="inlineStr">
        <is>
          <t>CI/CD pipeline for platform IaC and Lambda deployments; GitHub Team plan for engineering team</t>
        </is>
      </c>
      <c r="D18" s="48" t="n">
        <v>1</v>
      </c>
      <c r="E18" s="47" t="inlineStr">
        <is>
          <t>Service/Month</t>
        </is>
      </c>
      <c r="F18" s="49" t="n">
        <v>44</v>
      </c>
      <c r="G18" s="49" t="n">
        <v>528</v>
      </c>
      <c r="H18" s="48" t="n">
        <v>528</v>
      </c>
      <c r="I18" s="48" t="n">
        <v>528</v>
      </c>
      <c r="J18" s="48" t="n">
        <v>1584</v>
      </c>
      <c r="K18" s="47" t="inlineStr">
        <is>
          <t>GitHub Team ~$4/user/month x 11 engineers</t>
        </is>
      </c>
    </row>
    <row r="19" ht="26" customHeight="1">
      <c r="A19" s="42" t="inlineStr">
        <is>
          <t>Software Licenses</t>
        </is>
      </c>
      <c r="B19" s="43" t="inlineStr">
        <is>
          <t>Datadog APM</t>
        </is>
      </c>
      <c r="C19" s="43" t="inlineStr">
        <is>
          <t>Application performance monitoring for Lambda cold starts and Bedrock latency; 10 hosts</t>
        </is>
      </c>
      <c r="D19" s="44" t="n">
        <v>10</v>
      </c>
      <c r="E19" s="43" t="inlineStr">
        <is>
          <t>Host/Month</t>
        </is>
      </c>
      <c r="F19" s="45" t="n">
        <v>23</v>
      </c>
      <c r="G19" s="45" t="n">
        <v>2760</v>
      </c>
      <c r="H19" s="44" t="n">
        <v>2760</v>
      </c>
      <c r="I19" s="44" t="n">
        <v>2760</v>
      </c>
      <c r="J19" s="44" t="n">
        <v>8280</v>
      </c>
      <c r="K19" s="43" t="inlineStr">
        <is>
          <t>Datadog Pro $23/host/month; observability beyond CloudWatch</t>
        </is>
      </c>
    </row>
    <row r="20" ht="26" customHeight="1">
      <c r="A20" s="46" t="inlineStr">
        <is>
          <t>Connectivity</t>
        </is>
      </c>
      <c r="B20" s="47" t="inlineStr">
        <is>
          <t>API Gateway Data Transfer</t>
        </is>
      </c>
      <c r="C20" s="47" t="inlineStr">
        <is>
          <t>Intra-region data transfer between API Gateway and Lambda included in AWS free tier for intra-AZ</t>
        </is>
      </c>
      <c r="D20" s="48" t="n">
        <v>1</v>
      </c>
      <c r="E20" s="47" t="inlineStr">
        <is>
          <t>Service/Month</t>
        </is>
      </c>
      <c r="F20" s="49" t="n">
        <v>0</v>
      </c>
      <c r="G20" s="49" t="n">
        <v>0</v>
      </c>
      <c r="H20" s="48" t="n">
        <v>0</v>
      </c>
      <c r="I20" s="48" t="n">
        <v>0</v>
      </c>
      <c r="J20" s="48" t="n">
        <v>0</v>
      </c>
      <c r="K20" s="47" t="inlineStr">
        <is>
          <t>Intra-region Lambda to API Gateway transfer is free</t>
        </is>
      </c>
    </row>
    <row r="21" ht="26" customHeight="1">
      <c r="A21" s="42" t="inlineStr">
        <is>
          <t>Support &amp; Maintenance</t>
        </is>
      </c>
      <c r="B21" s="43" t="inlineStr">
        <is>
          <t>AWS Business Support</t>
        </is>
      </c>
      <c r="C21" s="43" t="inlineStr">
        <is>
          <t>Business support plan for 1-hour critical response; required for 99.9% uptime SLA</t>
        </is>
      </c>
      <c r="D21" s="44" t="n">
        <v>1</v>
      </c>
      <c r="E21" s="43" t="inlineStr">
        <is>
          <t>Service/Month</t>
        </is>
      </c>
      <c r="F21" s="45" t="n">
        <v>345</v>
      </c>
      <c r="G21" s="45" t="n">
        <v>4140</v>
      </c>
      <c r="H21" s="44" t="n">
        <v>4140</v>
      </c>
      <c r="I21" s="44" t="n">
        <v>4140</v>
      </c>
      <c r="J21" s="44" t="n">
        <v>12420</v>
      </c>
      <c r="K21" s="43" t="inlineStr">
        <is>
          <t>Estimated at 10% of ~$3450/month AWS spend; Business tier</t>
        </is>
      </c>
    </row>
    <row r="22" ht="26" customHeight="1">
      <c r="A22" s="46" t="inlineStr">
        <is>
          <t>Facilities</t>
        </is>
      </c>
      <c r="B22" s="47" t="inlineStr">
        <is>
          <t>Cloud Facilities</t>
        </is>
      </c>
      <c r="C22" s="47" t="inlineStr">
        <is>
          <t>No physical data center — fully serverless cloud-native architecture</t>
        </is>
      </c>
      <c r="D22" s="48" t="n">
        <v>1</v>
      </c>
      <c r="E22" s="47" t="inlineStr">
        <is>
          <t>Service/Month</t>
        </is>
      </c>
      <c r="F22" s="49" t="n">
        <v>0</v>
      </c>
      <c r="G22" s="49" t="n">
        <v>0</v>
      </c>
      <c r="H22" s="48" t="n">
        <v>0</v>
      </c>
      <c r="I22" s="48" t="n">
        <v>0</v>
      </c>
      <c r="J22" s="48" t="n">
        <v>0</v>
      </c>
      <c r="K22" s="47" t="inlineStr">
        <is>
          <t>Cloud-only solution; no co-lo or data center costs</t>
        </is>
      </c>
    </row>
    <row r="23" ht="26" customHeight="1">
      <c r="A23" s="50" t="inlineStr">
        <is>
          <t>TOTAL</t>
        </is>
      </c>
      <c r="B23" s="51" t="n"/>
      <c r="C23" s="51" t="n"/>
      <c r="D23" s="51" t="n"/>
      <c r="E23" s="51" t="n"/>
      <c r="F23" s="51" t="n"/>
      <c r="G23" s="52">
        <f>SUM(G3:G22)</f>
        <v/>
      </c>
      <c r="H23" s="52">
        <f>SUM(H3:H22)</f>
        <v/>
      </c>
      <c r="I23" s="52">
        <f>SUM(I3:I22)</f>
        <v/>
      </c>
      <c r="J23" s="52">
        <f>SUM(J3:J22)</f>
        <v/>
      </c>
      <c r="K23" s="51" t="n"/>
    </row>
  </sheetData>
  <autoFilter ref="A2:K2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— fully serverless cloud-native solution</t>
        </is>
      </c>
    </row>
    <row r="4" ht="26" customHeight="1">
      <c r="A4" s="46" t="inlineStr">
        <is>
          <t>Cloud Services</t>
        </is>
      </c>
      <c r="B4" s="47" t="inlineStr">
        <is>
          <t>AWS Activate Credit</t>
        </is>
      </c>
      <c r="C4" s="49" t="n">
        <v>0</v>
      </c>
      <c r="D4" s="47" t="inlineStr">
        <is>
          <t>Amatra is an established company (~$18M ARR); not eligible for Activate startup credits</t>
        </is>
      </c>
    </row>
    <row r="5" ht="26" customHeight="1">
      <c r="A5" s="42" t="inlineStr">
        <is>
          <t>Cloud Services</t>
        </is>
      </c>
      <c r="B5" s="43" t="inlineStr">
        <is>
          <t>AWS MAP Credit</t>
        </is>
      </c>
      <c r="C5" s="45" t="n">
        <v>-5000</v>
      </c>
      <c r="D5" s="43" t="inlineStr">
        <is>
          <t>AWS Migration Acceleration Program credit applicable for Okta-to-Cognito identity migration workstream</t>
        </is>
      </c>
    </row>
    <row r="6" ht="26" customHeight="1">
      <c r="A6" s="46" t="inlineStr">
        <is>
          <t>Cloud Services</t>
        </is>
      </c>
      <c r="B6" s="47" t="inlineStr">
        <is>
          <t>AWS Partner Network Credit</t>
        </is>
      </c>
      <c r="C6" s="49" t="n">
        <v>-3000</v>
      </c>
      <c r="D6" s="47" t="inlineStr">
        <is>
          <t>APN partner credit toward Bedrock and Lambda consumption in Year 1</t>
        </is>
      </c>
    </row>
    <row r="7" ht="26" customHeight="1">
      <c r="A7" s="42" t="inlineStr">
        <is>
          <t>Cloud Services</t>
        </is>
      </c>
      <c r="B7" s="43" t="inlineStr">
        <is>
          <t>Reserved Capacity Savings</t>
        </is>
      </c>
      <c r="C7" s="45" t="n">
        <v>0</v>
      </c>
      <c r="D7" s="43" t="inlineStr">
        <is>
          <t>Serverless Lambda and DynamoDB on-demand — no reserved capacity applicable; Bedrock has no RI model</t>
        </is>
      </c>
    </row>
    <row r="8" ht="26" customHeight="1">
      <c r="A8" s="46" t="inlineStr">
        <is>
          <t>Software Licenses</t>
        </is>
      </c>
      <c r="B8" s="47" t="inlineStr">
        <is>
          <t>GitHub Partner Credit</t>
        </is>
      </c>
      <c r="C8" s="49" t="n">
        <v>0</v>
      </c>
      <c r="D8" s="47" t="inlineStr">
        <is>
          <t>No GitHub partner program credit available at this time</t>
        </is>
      </c>
    </row>
    <row r="9" ht="26" customHeight="1">
      <c r="A9" s="42" t="inlineStr">
        <is>
          <t>Connectivity</t>
        </is>
      </c>
      <c r="B9" s="43" t="inlineStr">
        <is>
          <t>Network Credit</t>
        </is>
      </c>
      <c r="C9" s="45" t="n">
        <v>0</v>
      </c>
      <c r="D9" s="43" t="inlineStr">
        <is>
          <t>No connectivity credits — all traffic is intra-AWS or standard internet egress</t>
        </is>
      </c>
    </row>
    <row r="10" ht="26" customHeight="1">
      <c r="A10" s="46" t="inlineStr">
        <is>
          <t>Support &amp; Maintenance</t>
        </is>
      </c>
      <c r="B10" s="47" t="inlineStr">
        <is>
          <t>AWS Support Discount</t>
        </is>
      </c>
      <c r="C10" s="49" t="n">
        <v>0</v>
      </c>
      <c r="D10" s="47" t="inlineStr">
        <is>
          <t>No support plan discounts — Business Support billed at standard rate</t>
        </is>
      </c>
    </row>
    <row r="11" ht="26" customHeight="1">
      <c r="A11" s="42" t="inlineStr">
        <is>
          <t>Facilities</t>
        </is>
      </c>
      <c r="B11" s="43" t="inlineStr">
        <is>
          <t>Facilities Credit</t>
        </is>
      </c>
      <c r="C11" s="45" t="n">
        <v>0</v>
      </c>
      <c r="D11" s="43" t="inlineStr">
        <is>
          <t>No facilities costs (cloud-only solution)</t>
        </is>
      </c>
    </row>
  </sheetData>
  <autoFilter ref="A2:D1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2026-06-10T00:01:38Z</dcterms:modified>
  <cp:lastModifiedBy>Kishan Siram</cp:lastModifiedBy>
</cp:coreProperties>
</file>