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  <sheet xmlns:r="http://schemas.openxmlformats.org/officeDocument/2006/relationships" name="Credits" sheetId="5" state="visible" r:id="rId5"/>
  </sheets>
  <definedNames>
    <definedName name="_xlnm._FilterDatabase" localSheetId="1" hidden="1">'Scope Assumptions'!$A$2:$G$12</definedName>
    <definedName name="_xlnm._FilterDatabase" localSheetId="2" hidden="1">'Estimate Settings'!$A$2:$D$9</definedName>
    <definedName name="_xlnm._FilterDatabase" localSheetId="3" hidden="1">'LOE'!$A$2:$K$69</definedName>
    <definedName name="_xlnm._FilterDatabase" localSheetId="4" hidden="1">'Credits'!$A$2:$C$7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$#,##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FF0000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4" fillId="11" borderId="5" applyAlignment="1" pivotButton="0" quotePrefix="0" xfId="0">
      <alignment horizontal="left" vertical="center" wrapText="1" indent="1"/>
    </xf>
    <xf numFmtId="0" fontId="2" fillId="11" borderId="5" applyAlignment="1" pivotButton="0" quotePrefix="0" xfId="0">
      <alignment horizontal="left" vertical="center" wrapText="1" indent="1"/>
    </xf>
    <xf numFmtId="165" fontId="2" fillId="4" borderId="5" applyAlignment="1" pivotButton="0" quotePrefix="0" xfId="0">
      <alignment horizontal="center" vertical="center" wrapText="1"/>
    </xf>
    <xf numFmtId="165" fontId="2" fillId="11" borderId="5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center" vertical="center" wrapText="1"/>
    </xf>
    <xf numFmtId="166" fontId="17" fillId="4" borderId="5" applyAlignment="1" pivotButton="0" quotePrefix="0" xfId="0">
      <alignment horizontal="right" vertical="center" wrapText="1"/>
    </xf>
    <xf numFmtId="0" fontId="18" fillId="11" borderId="5" applyAlignment="1" pivotButton="0" quotePrefix="0" xfId="0">
      <alignment horizontal="left" vertical="center" wrapText="1" indent="1"/>
    </xf>
    <xf numFmtId="0" fontId="17" fillId="11" borderId="5" applyAlignment="1" pivotButton="0" quotePrefix="0" xfId="0">
      <alignment horizontal="left" vertical="center" wrapText="1" indent="1"/>
    </xf>
    <xf numFmtId="3" fontId="17" fillId="11" borderId="5" applyAlignment="1" pivotButton="0" quotePrefix="0" xfId="0">
      <alignment horizontal="right" vertical="center" wrapText="1"/>
    </xf>
    <xf numFmtId="165" fontId="17" fillId="11" borderId="5" applyAlignment="1" pivotButton="0" quotePrefix="0" xfId="0">
      <alignment horizontal="center" vertical="center" wrapText="1"/>
    </xf>
    <xf numFmtId="166" fontId="17" fillId="11" borderId="5" applyAlignment="1" pivotButton="0" quotePrefix="0" xfId="0">
      <alignment horizontal="right" vertical="center" wrapText="1"/>
    </xf>
    <xf numFmtId="0" fontId="17" fillId="4" borderId="5" applyAlignment="1" pivotButton="0" quotePrefix="0" xfId="0">
      <alignment horizontal="right" vertical="center" wrapText="1"/>
    </xf>
    <xf numFmtId="0" fontId="17" fillId="11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 wrapText="1"/>
    </xf>
    <xf numFmtId="0" fontId="19" fillId="5" borderId="5" applyAlignment="1" pivotButton="0" quotePrefix="0" xfId="0">
      <alignment horizontal="right" vertical="center" wrapText="1"/>
    </xf>
    <xf numFmtId="166" fontId="2" fillId="4" borderId="5" applyAlignment="1" pivotButton="0" quotePrefix="0" xfId="0">
      <alignment horizontal="right" vertical="center" wrapText="1"/>
    </xf>
    <xf numFmtId="166" fontId="2" fillId="11" borderId="5" applyAlignment="1" pivotButton="0" quotePrefix="0" xfId="0">
      <alignment horizontal="right" vertical="center" wrapText="1"/>
    </xf>
    <xf numFmtId="0" fontId="4" fillId="5" borderId="5" applyAlignment="1" pivotButton="0" quotePrefix="0" xfId="0">
      <alignment horizontal="left" vertical="center" wrapText="1"/>
    </xf>
    <xf numFmtId="166" fontId="4" fillId="5" borderId="5" applyAlignment="1" pivotButton="0" quotePrefix="0" xfId="0">
      <alignment horizontal="right" vertical="center" wrapText="1"/>
    </xf>
    <xf numFmtId="0" fontId="4" fillId="5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Level of Effort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10, 2026</t>
        </is>
      </c>
    </row>
    <row r="6" ht="18" customHeight="1">
      <c r="B6" s="2" t="inlineStr">
        <is>
          <t>Solution:</t>
        </is>
      </c>
      <c r="C6" s="3" t="inlineStr">
        <is>
          <t>Tmpwz9A4Npl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25" customWidth="1" min="4" max="4"/>
    <col width="25" customWidth="1" min="5" max="5"/>
    <col width="30" customWidth="1" min="6" max="6"/>
    <col width="40" customWidth="1" min="7" max="7"/>
  </cols>
  <sheetData>
    <row r="1" ht="32" customHeight="1">
      <c r="A1" s="34" t="inlineStr">
        <is>
          <t>SCOPE ASSUMPTIONS</t>
        </is>
      </c>
    </row>
    <row r="2" ht="32" customHeight="1">
      <c r="A2" s="35" t="inlineStr">
        <is>
          <t>Category</t>
        </is>
      </c>
      <c r="B2" s="35" t="inlineStr">
        <is>
          <t>Baseline Assumption</t>
        </is>
      </c>
      <c r="C2" s="35" t="inlineStr">
        <is>
          <t>Current Scope</t>
        </is>
      </c>
      <c r="D2" s="35" t="inlineStr">
        <is>
          <t>Small (1x)</t>
        </is>
      </c>
      <c r="E2" s="35" t="inlineStr">
        <is>
          <t>Medium (2x)</t>
        </is>
      </c>
      <c r="F2" s="35" t="inlineStr">
        <is>
          <t>Large (3x)</t>
        </is>
      </c>
      <c r="G2" s="35" t="inlineStr">
        <is>
          <t>Notes</t>
        </is>
      </c>
    </row>
    <row r="3" ht="26" customHeight="1">
      <c r="A3" s="36" t="inlineStr">
        <is>
          <t>Users / Stakeholders</t>
        </is>
      </c>
      <c r="B3" s="37" t="inlineStr">
        <is>
          <t>Single business unit (~50 users)</t>
        </is>
      </c>
      <c r="C3" s="38" t="inlineStr">
        <is>
          <t>~120 employees — pre-sales + delivery + sales teams as primary users</t>
        </is>
      </c>
      <c r="D3" s="37" t="inlineStr">
        <is>
          <t>Up to 50 internal users</t>
        </is>
      </c>
      <c r="E3" s="37" t="inlineStr">
        <is>
          <t>50-200 internal users</t>
        </is>
      </c>
      <c r="F3" s="37" t="inlineStr">
        <is>
          <t>200+ internal users</t>
        </is>
      </c>
      <c r="G3" s="37" t="inlineStr">
        <is>
          <t>Amatra has ~120 employees; all pre-sales consultants are day-1 users</t>
        </is>
      </c>
    </row>
    <row r="4" ht="26" customHeight="1">
      <c r="A4" s="39" t="inlineStr">
        <is>
          <t>AWS Services in Scope</t>
        </is>
      </c>
      <c r="B4" s="40" t="inlineStr">
        <is>
          <t>Core compute + storage only</t>
        </is>
      </c>
      <c r="C4" s="38" t="inlineStr">
        <is>
          <t>Bedrock, Lambda, API Gateway, DynamoDB, S3, Cognito — 6 named services</t>
        </is>
      </c>
      <c r="D4" s="40" t="inlineStr">
        <is>
          <t>1-3 AWS services</t>
        </is>
      </c>
      <c r="E4" s="40" t="inlineStr">
        <is>
          <t>4-6 AWS services</t>
        </is>
      </c>
      <c r="F4" s="40" t="inlineStr">
        <is>
          <t>7+ AWS services</t>
        </is>
      </c>
      <c r="G4" s="40" t="inlineStr">
        <is>
          <t>Claude model integration via Bedrock adds AI/ML complexity</t>
        </is>
      </c>
    </row>
    <row r="5" ht="26" customHeight="1">
      <c r="A5" s="36" t="inlineStr">
        <is>
          <t>Regions / Geographies</t>
        </is>
      </c>
      <c r="B5" s="37" t="inlineStr">
        <is>
          <t>Single AWS region (us-east-1)</t>
        </is>
      </c>
      <c r="C5" s="38" t="inlineStr">
        <is>
          <t>Single region: us-west-2 (all customer data resident in US)</t>
        </is>
      </c>
      <c r="D5" s="37" t="inlineStr">
        <is>
          <t>1 region</t>
        </is>
      </c>
      <c r="E5" s="37" t="inlineStr">
        <is>
          <t>2 regions</t>
        </is>
      </c>
      <c r="F5" s="37" t="inlineStr">
        <is>
          <t>3+ regions</t>
        </is>
      </c>
      <c r="G5" s="37" t="inlineStr">
        <is>
          <t>us-west-2 mandated; no multi-region failover in scope for MVP</t>
        </is>
      </c>
    </row>
    <row r="6" ht="26" customHeight="1">
      <c r="A6" s="39" t="inlineStr">
        <is>
          <t>Integration Points</t>
        </is>
      </c>
      <c r="B6" s="40" t="inlineStr">
        <is>
          <t>No external system integrations</t>
        </is>
      </c>
      <c r="C6" s="38" t="inlineStr">
        <is>
          <t>Okta to Cognito identity migration; Google Workspace doc import; Word/Excel/PPT template pipeline</t>
        </is>
      </c>
      <c r="D6" s="40" t="inlineStr">
        <is>
          <t>0 integrations</t>
        </is>
      </c>
      <c r="E6" s="40" t="inlineStr">
        <is>
          <t>1-3 integrations</t>
        </is>
      </c>
      <c r="F6" s="40" t="inlineStr">
        <is>
          <t>4+ integrations</t>
        </is>
      </c>
      <c r="G6" s="40" t="inlineStr">
        <is>
          <t>Okta migration and legacy template carry-over are critical-path integrations</t>
        </is>
      </c>
    </row>
    <row r="7" ht="26" customHeight="1">
      <c r="A7" s="36" t="inlineStr">
        <is>
          <t>Environments</t>
        </is>
      </c>
      <c r="B7" s="37" t="inlineStr">
        <is>
          <t>Dev + Prod only</t>
        </is>
      </c>
      <c r="C7" s="38" t="inlineStr">
        <is>
          <t>Dev / Staging / Prod (3 environments)</t>
        </is>
      </c>
      <c r="D7" s="37" t="inlineStr">
        <is>
          <t>Dev + Prod</t>
        </is>
      </c>
      <c r="E7" s="37" t="inlineStr">
        <is>
          <t>Dev + Staging + Prod</t>
        </is>
      </c>
      <c r="F7" s="37" t="inlineStr">
        <is>
          <t>Dev + Staging + Prod + DR</t>
        </is>
      </c>
      <c r="G7" s="37" t="inlineStr">
        <is>
          <t>Staging required for QA gating before each phase go-live</t>
        </is>
      </c>
    </row>
    <row r="8" ht="26" customHeight="1">
      <c r="A8" s="39" t="inlineStr">
        <is>
          <t>Artifact Types Generated</t>
        </is>
      </c>
      <c r="B8" s="40" t="inlineStr">
        <is>
          <t>Single artifact type</t>
        </is>
      </c>
      <c r="C8" s="38" t="inlineStr">
        <is>
          <t>7 artifact types: discovery questionnaire + solution briefing + SoW + infra costs + detailed design + implementation guide + Terraform automation</t>
        </is>
      </c>
      <c r="D8" s="40" t="inlineStr">
        <is>
          <t>1-2 artifact types</t>
        </is>
      </c>
      <c r="E8" s="40" t="inlineStr">
        <is>
          <t>3-5 artifact types</t>
        </is>
      </c>
      <c r="F8" s="40" t="inlineStr">
        <is>
          <t>6+ artifact types</t>
        </is>
      </c>
      <c r="G8" s="40" t="inlineStr">
        <is>
          <t>Full automation pipeline spans pre-sales and delivery phases</t>
        </is>
      </c>
    </row>
    <row r="9" ht="26" customHeight="1">
      <c r="A9" s="36" t="inlineStr">
        <is>
          <t>Compliance Frameworks</t>
        </is>
      </c>
      <c r="B9" s="37" t="inlineStr">
        <is>
          <t>No formal compliance requirements</t>
        </is>
      </c>
      <c r="C9" s="38" t="inlineStr">
        <is>
          <t>SOC 2 Type II + GDPR-aligned data handling + US data residency</t>
        </is>
      </c>
      <c r="D9" s="37" t="inlineStr">
        <is>
          <t>None</t>
        </is>
      </c>
      <c r="E9" s="37" t="inlineStr">
        <is>
          <t>SOC 2 Type II only</t>
        </is>
      </c>
      <c r="F9" s="37" t="inlineStr">
        <is>
          <t>SOC 2 Type II + GDPR + data residency controls</t>
        </is>
      </c>
      <c r="G9" s="37" t="inlineStr">
        <is>
          <t>Security &amp; Compliance Lead must sign off; adds controls design and audit evidence</t>
        </is>
      </c>
    </row>
    <row r="10" ht="26" customHeight="1">
      <c r="A10" s="39" t="inlineStr">
        <is>
          <t>Async Job Duration</t>
        </is>
      </c>
      <c r="B10" s="40" t="inlineStr">
        <is>
          <t>Synchronous API calls only</t>
        </is>
      </c>
      <c r="C10" s="38" t="inlineStr">
        <is>
          <t>Long-running generation jobs: 30-60 min per engagement; must not drop</t>
        </is>
      </c>
      <c r="D10" s="40" t="inlineStr">
        <is>
          <t>Synchronous (&lt; 30 s)</t>
        </is>
      </c>
      <c r="E10" s="40" t="inlineStr">
        <is>
          <t>Short async (&lt; 5 min)</t>
        </is>
      </c>
      <c r="F10" s="40" t="inlineStr">
        <is>
          <t>Long async (30-60 min)</t>
        </is>
      </c>
      <c r="G10" s="40" t="inlineStr">
        <is>
          <t>Requires durable async orchestration (Step Functions or SQS + Lambda chaining)</t>
        </is>
      </c>
    </row>
    <row r="11" ht="26" customHeight="1">
      <c r="A11" s="36" t="inlineStr">
        <is>
          <t>Legacy Artifact Templates</t>
        </is>
      </c>
      <c r="B11" s="37" t="inlineStr">
        <is>
          <t>No existing templates to migrate</t>
        </is>
      </c>
      <c r="C11" s="38" t="inlineStr">
        <is>
          <t>Word/Excel/PowerPoint templates in Google Workspace; Okta user records to migrate</t>
        </is>
      </c>
      <c r="D11" s="37" t="inlineStr">
        <is>
          <t>No migration</t>
        </is>
      </c>
      <c r="E11" s="37" t="inlineStr">
        <is>
          <t>Template migration only</t>
        </is>
      </c>
      <c r="F11" s="37" t="inlineStr">
        <is>
          <t>Template + identity migration</t>
        </is>
      </c>
      <c r="G11" s="37" t="inlineStr">
        <is>
          <t>Template parsing and pipeline integration adds significant implementation scope</t>
        </is>
      </c>
    </row>
    <row r="12" ht="26" customHeight="1">
      <c r="A12" s="39" t="inlineStr">
        <is>
          <t>Availability / SLA Target</t>
        </is>
      </c>
      <c r="B12" s="40" t="inlineStr">
        <is>
          <t>Best-effort (no SLA)</t>
        </is>
      </c>
      <c r="C12" s="38" t="inlineStr">
        <is>
          <t>99.9% platform availability; artifacts pass QA on first review &gt;= 90% of the time</t>
        </is>
      </c>
      <c r="D12" s="40" t="inlineStr">
        <is>
          <t>Best-effort</t>
        </is>
      </c>
      <c r="E12" s="40" t="inlineStr">
        <is>
          <t>99.5% uptime</t>
        </is>
      </c>
      <c r="F12" s="40" t="inlineStr">
        <is>
          <t>99.9% uptime + QA &gt;= 90% first-pass</t>
        </is>
      </c>
      <c r="G12" s="40" t="inlineStr">
        <is>
          <t>High availability and quality gates drive additional testing and monitoring scope</t>
        </is>
      </c>
    </row>
  </sheetData>
  <autoFilter ref="A2:G12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80" customWidth="1" min="4" max="4"/>
  </cols>
  <sheetData>
    <row r="1" ht="32" customHeight="1">
      <c r="A1" s="34" t="inlineStr">
        <is>
          <t>ESTIMATE SETTINGS</t>
        </is>
      </c>
    </row>
    <row r="2" ht="32" customHeight="1">
      <c r="A2" s="35" t="inlineStr">
        <is>
          <t>Phase</t>
        </is>
      </c>
      <c r="B2" s="35" t="inlineStr">
        <is>
          <t>Variable Name</t>
        </is>
      </c>
      <c r="C2" s="35" t="inlineStr">
        <is>
          <t>Multiplier</t>
        </is>
      </c>
      <c r="D2" s="35" t="inlineStr">
        <is>
          <t>Description / Applies To Tasks</t>
        </is>
      </c>
    </row>
    <row r="3" ht="26" customHeight="1">
      <c r="A3" s="36" t="inlineStr">
        <is>
          <t>Discovery</t>
        </is>
      </c>
      <c r="B3" s="37" t="inlineStr">
        <is>
          <t>discovery_factor</t>
        </is>
      </c>
      <c r="C3" s="41" t="n">
        <v>1</v>
      </c>
      <c r="D3" s="37" t="inlineStr">
        <is>
          <t>Baseline multiplier for stakeholder interviews and current-state review across all discovery tasks</t>
        </is>
      </c>
    </row>
    <row r="4" ht="26" customHeight="1">
      <c r="A4" s="39" t="inlineStr">
        <is>
          <t>Planning &amp; Design</t>
        </is>
      </c>
      <c r="B4" s="40" t="inlineStr">
        <is>
          <t>planning_factor</t>
        </is>
      </c>
      <c r="C4" s="42" t="n">
        <v>1.2</v>
      </c>
      <c r="D4" s="40" t="inlineStr">
        <is>
          <t>Elevated multiplier reflecting complex AWS serverless architecture with AI/ML integration and compliance requirements</t>
        </is>
      </c>
    </row>
    <row r="5" ht="26" customHeight="1">
      <c r="A5" s="36" t="inlineStr">
        <is>
          <t>Development &amp; Implementation</t>
        </is>
      </c>
      <c r="B5" s="37" t="inlineStr">
        <is>
          <t>development_factor</t>
        </is>
      </c>
      <c r="C5" s="41" t="n">
        <v>1.3</v>
      </c>
      <c r="D5" s="37" t="inlineStr">
        <is>
          <t>Higher multiplier for large-scope greenfield build spanning 6 AWS services and 7 artifact-type pipelines</t>
        </is>
      </c>
    </row>
    <row r="6" ht="26" customHeight="1">
      <c r="A6" s="39" t="inlineStr">
        <is>
          <t>Testing &amp; Validation</t>
        </is>
      </c>
      <c r="B6" s="40" t="inlineStr">
        <is>
          <t>testing_factor</t>
        </is>
      </c>
      <c r="C6" s="42" t="n">
        <v>1.2</v>
      </c>
      <c r="D6" s="40" t="inlineStr">
        <is>
          <t>Elevated for rigorous QA gating (&gt;= 90% first-pass rate SLA) plus security and compliance validation</t>
        </is>
      </c>
    </row>
    <row r="7" ht="26" customHeight="1">
      <c r="A7" s="36" t="inlineStr">
        <is>
          <t>Deployment</t>
        </is>
      </c>
      <c r="B7" s="37" t="inlineStr">
        <is>
          <t>deployment_factor</t>
        </is>
      </c>
      <c r="C7" s="41" t="n">
        <v>1</v>
      </c>
      <c r="D7" s="37" t="inlineStr">
        <is>
          <t>Standard multiplier for production rollout; phased delivery (Phase 1 MVP by 2026-09-30; Phase 2 by 2026-12-15)</t>
        </is>
      </c>
    </row>
    <row r="8" ht="26" customHeight="1">
      <c r="A8" s="39" t="inlineStr">
        <is>
          <t>Training &amp; Enablement</t>
        </is>
      </c>
      <c r="B8" s="40" t="inlineStr">
        <is>
          <t>training_factor</t>
        </is>
      </c>
      <c r="C8" s="42" t="n">
        <v>1</v>
      </c>
      <c r="D8" s="40" t="inlineStr">
        <is>
          <t>Standard multiplier for knowledge transfer to pre-sales consultants and delivery teams</t>
        </is>
      </c>
    </row>
    <row r="9" ht="26" customHeight="1">
      <c r="A9" s="36" t="inlineStr">
        <is>
          <t>Management</t>
        </is>
      </c>
      <c r="B9" s="37" t="inlineStr">
        <is>
          <t>management_factor</t>
        </is>
      </c>
      <c r="C9" s="41" t="n">
        <v>1</v>
      </c>
      <c r="D9" s="37" t="inlineStr">
        <is>
          <t>Standard multiplier for project management and technical leadership overhead (10% of engineering hours)</t>
        </is>
      </c>
    </row>
    <row r="11" ht="20" customHeight="1">
      <c r="A11" s="43" t="inlineStr">
        <is>
          <t>EO Sales Engineer Updates Multipliers Based on Customer Scope</t>
        </is>
      </c>
    </row>
  </sheetData>
  <autoFilter ref="A2:D9"/>
  <mergeCells count="2">
    <mergeCell ref="A1:D1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15" customWidth="1" min="4" max="4"/>
    <col width="12" customWidth="1" min="5" max="5"/>
    <col width="14" customWidth="1" min="6" max="6"/>
    <col width="12" customWidth="1" min="7" max="7"/>
    <col width="12" customWidth="1" min="8" max="8"/>
    <col width="15" customWidth="1" min="9" max="9"/>
    <col width="25" customWidth="1" min="10" max="10"/>
    <col width="40" customWidth="1" min="11" max="11"/>
  </cols>
  <sheetData>
    <row r="1" ht="32" customHeight="1">
      <c r="A1" s="34" t="inlineStr">
        <is>
          <t>LEVEL OF EFFORT</t>
        </is>
      </c>
    </row>
    <row r="2" ht="32" customHeight="1">
      <c r="A2" s="35" t="inlineStr">
        <is>
          <t>Phase</t>
        </is>
      </c>
      <c r="B2" s="35" t="inlineStr">
        <is>
          <t>Work Package</t>
        </is>
      </c>
      <c r="C2" s="35" t="inlineStr">
        <is>
          <t>Task Description</t>
        </is>
      </c>
      <c r="D2" s="35" t="inlineStr">
        <is>
          <t>Resource Type</t>
        </is>
      </c>
      <c r="E2" s="35" t="inlineStr">
        <is>
          <t>Base Hours</t>
        </is>
      </c>
      <c r="F2" s="35" t="inlineStr">
        <is>
          <t>Effort Multiplier</t>
        </is>
      </c>
      <c r="G2" s="35" t="inlineStr">
        <is>
          <t>Actual Hours</t>
        </is>
      </c>
      <c r="H2" s="35" t="inlineStr">
        <is>
          <t>Rate</t>
        </is>
      </c>
      <c r="I2" s="35" t="inlineStr">
        <is>
          <t>Cost Estimate</t>
        </is>
      </c>
      <c r="J2" s="35" t="inlineStr">
        <is>
          <t>Dependencies</t>
        </is>
      </c>
      <c r="K2" s="35" t="inlineStr">
        <is>
          <t>Notes</t>
        </is>
      </c>
    </row>
    <row r="3" ht="26" customHeight="1">
      <c r="A3" s="44" t="inlineStr">
        <is>
          <t>Discovery</t>
        </is>
      </c>
      <c r="B3" s="45" t="inlineStr">
        <is>
          <t>Project Kickoff</t>
        </is>
      </c>
      <c r="C3" s="45" t="inlineStr">
        <is>
          <t>Kickoff meeting with CTO (Exec Sponsor) and VP Engineering to align on scope and success criteria</t>
        </is>
      </c>
      <c r="D3" s="45" t="inlineStr">
        <is>
          <t>Project Manager</t>
        </is>
      </c>
      <c r="E3" s="46" t="n">
        <v>8</v>
      </c>
      <c r="F3" s="47" t="n">
        <v>1</v>
      </c>
      <c r="G3" s="46" t="n">
        <v>8</v>
      </c>
      <c r="H3" s="48" t="n">
        <v>175</v>
      </c>
      <c r="I3" s="48" t="n">
        <v>1400</v>
      </c>
      <c r="J3" s="45" t="inlineStr"/>
      <c r="K3" s="45" t="inlineStr">
        <is>
          <t>Week 1 activity</t>
        </is>
      </c>
    </row>
    <row r="4" ht="26" customHeight="1">
      <c r="A4" s="49" t="inlineStr">
        <is>
          <t>Discovery</t>
        </is>
      </c>
      <c r="B4" s="50" t="inlineStr">
        <is>
          <t>Project Kickoff</t>
        </is>
      </c>
      <c r="C4" s="50" t="inlineStr">
        <is>
          <t>Kickoff technical deep-dive with Head of Solutions and Security &amp; Compliance Lead</t>
        </is>
      </c>
      <c r="D4" s="50" t="inlineStr">
        <is>
          <t>Solution Architect</t>
        </is>
      </c>
      <c r="E4" s="51" t="n">
        <v>8</v>
      </c>
      <c r="F4" s="52" t="n">
        <v>1</v>
      </c>
      <c r="G4" s="51" t="n">
        <v>8</v>
      </c>
      <c r="H4" s="53" t="n">
        <v>225</v>
      </c>
      <c r="I4" s="53" t="n">
        <v>1800</v>
      </c>
      <c r="J4" s="50" t="inlineStr"/>
      <c r="K4" s="50" t="inlineStr">
        <is>
          <t>Parallel to PM kickoff session</t>
        </is>
      </c>
    </row>
    <row r="5" ht="26" customHeight="1">
      <c r="A5" s="44" t="inlineStr">
        <is>
          <t>Discovery</t>
        </is>
      </c>
      <c r="B5" s="45" t="inlineStr">
        <is>
          <t>Current State Assessment</t>
        </is>
      </c>
      <c r="C5" s="45" t="inlineStr">
        <is>
          <t>Document current manual artifact workflow (3-week cycle) and identify bottlenecks across pre-sales and delivery teams</t>
        </is>
      </c>
      <c r="D5" s="45" t="inlineStr">
        <is>
          <t>Solutions Engineer</t>
        </is>
      </c>
      <c r="E5" s="46" t="n">
        <v>24</v>
      </c>
      <c r="F5" s="47" t="n">
        <v>1</v>
      </c>
      <c r="G5" s="46" t="n">
        <v>24</v>
      </c>
      <c r="H5" s="48" t="n">
        <v>200</v>
      </c>
      <c r="I5" s="48" t="n">
        <v>4800</v>
      </c>
      <c r="J5" s="45" t="inlineStr"/>
      <c r="K5" s="45" t="inlineStr">
        <is>
          <t>Interview pre-sales consultants and delivery team</t>
        </is>
      </c>
    </row>
    <row r="6" ht="26" customHeight="1">
      <c r="A6" s="49" t="inlineStr">
        <is>
          <t>Discovery</t>
        </is>
      </c>
      <c r="B6" s="50" t="inlineStr">
        <is>
          <t>Current State Assessment</t>
        </is>
      </c>
      <c r="C6" s="50" t="inlineStr">
        <is>
          <t>Inventory existing Word/Excel/PowerPoint templates and Google Workspace artifacts and document structure and variability</t>
        </is>
      </c>
      <c r="D6" s="50" t="inlineStr">
        <is>
          <t>Solutions Engineer</t>
        </is>
      </c>
      <c r="E6" s="51" t="n">
        <v>16</v>
      </c>
      <c r="F6" s="52" t="n">
        <v>1</v>
      </c>
      <c r="G6" s="51" t="n">
        <v>16</v>
      </c>
      <c r="H6" s="53" t="n">
        <v>200</v>
      </c>
      <c r="I6" s="53" t="n">
        <v>3200</v>
      </c>
      <c r="J6" s="50" t="inlineStr"/>
      <c r="K6" s="50" t="inlineStr">
        <is>
          <t>Required for template migration scope</t>
        </is>
      </c>
    </row>
    <row r="7" ht="26" customHeight="1">
      <c r="A7" s="44" t="inlineStr">
        <is>
          <t>Discovery</t>
        </is>
      </c>
      <c r="B7" s="45" t="inlineStr">
        <is>
          <t>Requirements Gathering</t>
        </is>
      </c>
      <c r="C7" s="45" t="inlineStr">
        <is>
          <t>Conduct structured interviews with Head of Solutions to define artifact quality standards and QA criteria</t>
        </is>
      </c>
      <c r="D7" s="45" t="inlineStr">
        <is>
          <t>Solution Architect</t>
        </is>
      </c>
      <c r="E7" s="46" t="n">
        <v>24</v>
      </c>
      <c r="F7" s="47" t="n">
        <v>1</v>
      </c>
      <c r="G7" s="46" t="n">
        <v>24</v>
      </c>
      <c r="H7" s="48" t="n">
        <v>225</v>
      </c>
      <c r="I7" s="48" t="n">
        <v>5400</v>
      </c>
      <c r="J7" s="45" t="inlineStr"/>
      <c r="K7" s="45" t="inlineStr">
        <is>
          <t>Critical for &gt;= 90% first-pass QA SLA definition</t>
        </is>
      </c>
    </row>
    <row r="8" ht="26" customHeight="1">
      <c r="A8" s="49" t="inlineStr">
        <is>
          <t>Discovery</t>
        </is>
      </c>
      <c r="B8" s="50" t="inlineStr">
        <is>
          <t>Requirements Gathering</t>
        </is>
      </c>
      <c r="C8" s="50" t="inlineStr">
        <is>
          <t>Gather technical requirements for async job orchestration (30-60 min) and per-user/global usage limits and admin governance</t>
        </is>
      </c>
      <c r="D8" s="50" t="inlineStr">
        <is>
          <t>Solution Architect</t>
        </is>
      </c>
      <c r="E8" s="51" t="n">
        <v>16</v>
      </c>
      <c r="F8" s="52" t="n">
        <v>1</v>
      </c>
      <c r="G8" s="51" t="n">
        <v>16</v>
      </c>
      <c r="H8" s="53" t="n">
        <v>225</v>
      </c>
      <c r="I8" s="53" t="n">
        <v>3600</v>
      </c>
      <c r="J8" s="50" t="inlineStr"/>
      <c r="K8" s="50" t="inlineStr">
        <is>
          <t>CTO + VP Eng input required</t>
        </is>
      </c>
    </row>
    <row r="9" ht="26" customHeight="1">
      <c r="A9" s="44" t="inlineStr">
        <is>
          <t>Discovery</t>
        </is>
      </c>
      <c r="B9" s="45" t="inlineStr">
        <is>
          <t>Requirements Gathering</t>
        </is>
      </c>
      <c r="C9" s="45" t="inlineStr">
        <is>
          <t>Define Okta to Cognito migration requirements and document user groups and admin governance model</t>
        </is>
      </c>
      <c r="D9" s="45" t="inlineStr">
        <is>
          <t>Solutions Engineer</t>
        </is>
      </c>
      <c r="E9" s="46" t="n">
        <v>16</v>
      </c>
      <c r="F9" s="47" t="n">
        <v>1</v>
      </c>
      <c r="G9" s="46" t="n">
        <v>16</v>
      </c>
      <c r="H9" s="48" t="n">
        <v>200</v>
      </c>
      <c r="I9" s="48" t="n">
        <v>3200</v>
      </c>
      <c r="J9" s="45" t="inlineStr"/>
      <c r="K9" s="45" t="inlineStr">
        <is>
          <t>Security &amp; Compliance Lead involvement</t>
        </is>
      </c>
    </row>
    <row r="10" ht="26" customHeight="1">
      <c r="A10" s="49" t="inlineStr">
        <is>
          <t>Discovery</t>
        </is>
      </c>
      <c r="B10" s="50" t="inlineStr">
        <is>
          <t>Gap Analysis</t>
        </is>
      </c>
      <c r="C10" s="50" t="inlineStr">
        <is>
          <t>Identify gaps between current manual process and target automated platform capabilities</t>
        </is>
      </c>
      <c r="D10" s="50" t="inlineStr">
        <is>
          <t>Solution Architect</t>
        </is>
      </c>
      <c r="E10" s="51" t="n">
        <v>16</v>
      </c>
      <c r="F10" s="52" t="n">
        <v>1</v>
      </c>
      <c r="G10" s="51" t="n">
        <v>16</v>
      </c>
      <c r="H10" s="53" t="n">
        <v>225</v>
      </c>
      <c r="I10" s="53" t="n">
        <v>3600</v>
      </c>
      <c r="J10" s="50" t="inlineStr">
        <is>
          <t>Current State Assessment</t>
        </is>
      </c>
      <c r="K10" s="50" t="inlineStr">
        <is>
          <t>Output feeds Planning phase</t>
        </is>
      </c>
    </row>
    <row r="11" ht="26" customHeight="1">
      <c r="A11" s="44" t="inlineStr">
        <is>
          <t>Discovery</t>
        </is>
      </c>
      <c r="B11" s="45" t="inlineStr">
        <is>
          <t>Cloud Readiness Assessment</t>
        </is>
      </c>
      <c r="C11" s="45" t="inlineStr">
        <is>
          <t>Assess AWS account structure and evaluate Bedrock model availability in us-west-2 and Claude model selection</t>
        </is>
      </c>
      <c r="D11" s="45" t="inlineStr">
        <is>
          <t>Cloud Engineer</t>
        </is>
      </c>
      <c r="E11" s="46" t="n">
        <v>16</v>
      </c>
      <c r="F11" s="47" t="n">
        <v>1</v>
      </c>
      <c r="G11" s="46" t="n">
        <v>16</v>
      </c>
      <c r="H11" s="48" t="n">
        <v>200</v>
      </c>
      <c r="I11" s="48" t="n">
        <v>3200</v>
      </c>
      <c r="J11" s="45" t="inlineStr"/>
      <c r="K11" s="45" t="inlineStr">
        <is>
          <t>Verify Bedrock Claude regional availability</t>
        </is>
      </c>
    </row>
    <row r="12" ht="26" customHeight="1">
      <c r="A12" s="49" t="inlineStr">
        <is>
          <t>Discovery</t>
        </is>
      </c>
      <c r="B12" s="50" t="inlineStr">
        <is>
          <t>AI/ML Data Assessment</t>
        </is>
      </c>
      <c r="C12" s="50" t="inlineStr">
        <is>
          <t>Evaluate sample client briefs and existing artifacts to establish Bedrock prompt engineering baseline and quality benchmarks</t>
        </is>
      </c>
      <c r="D12" s="50" t="inlineStr">
        <is>
          <t>ML/AI Engineer</t>
        </is>
      </c>
      <c r="E12" s="51" t="n">
        <v>24</v>
      </c>
      <c r="F12" s="52" t="n">
        <v>1</v>
      </c>
      <c r="G12" s="51" t="n">
        <v>24</v>
      </c>
      <c r="H12" s="53" t="n">
        <v>275</v>
      </c>
      <c r="I12" s="53" t="n">
        <v>6600</v>
      </c>
      <c r="J12" s="50" t="inlineStr"/>
      <c r="K12" s="50" t="inlineStr">
        <is>
          <t>Sample set of 10-20 historical engagements</t>
        </is>
      </c>
    </row>
    <row r="13" ht="26" customHeight="1">
      <c r="A13" s="44" t="inlineStr">
        <is>
          <t>Discovery</t>
        </is>
      </c>
      <c r="B13" s="45" t="inlineStr">
        <is>
          <t>Compliance Assessment</t>
        </is>
      </c>
      <c r="C13" s="45" t="inlineStr">
        <is>
          <t>Conduct SOC 2 Type II scoping exercise and identify GDPR data flows and US data residency controls required</t>
        </is>
      </c>
      <c r="D13" s="45" t="inlineStr">
        <is>
          <t>Security Engineer</t>
        </is>
      </c>
      <c r="E13" s="46" t="n">
        <v>24</v>
      </c>
      <c r="F13" s="47" t="n">
        <v>1</v>
      </c>
      <c r="G13" s="46" t="n">
        <v>24</v>
      </c>
      <c r="H13" s="48" t="n">
        <v>225</v>
      </c>
      <c r="I13" s="48" t="n">
        <v>5400</v>
      </c>
      <c r="J13" s="45" t="inlineStr"/>
      <c r="K13" s="45" t="inlineStr">
        <is>
          <t>Security &amp; Compliance Lead to co-lead</t>
        </is>
      </c>
    </row>
    <row r="14" ht="26" customHeight="1">
      <c r="A14" s="49" t="inlineStr">
        <is>
          <t>Discovery</t>
        </is>
      </c>
      <c r="B14" s="50" t="inlineStr">
        <is>
          <t>Risk Assessment</t>
        </is>
      </c>
      <c r="C14" s="50" t="inlineStr">
        <is>
          <t>Identify top risks (async job reliability; AI output quality; Okta migration data loss; SOC 2 timeline) and mitigation strategies</t>
        </is>
      </c>
      <c r="D14" s="50" t="inlineStr">
        <is>
          <t>Project Manager</t>
        </is>
      </c>
      <c r="E14" s="51" t="n">
        <v>8</v>
      </c>
      <c r="F14" s="52" t="n">
        <v>1</v>
      </c>
      <c r="G14" s="51" t="n">
        <v>8</v>
      </c>
      <c r="H14" s="53" t="n">
        <v>175</v>
      </c>
      <c r="I14" s="53" t="n">
        <v>1400</v>
      </c>
      <c r="J14" s="50" t="inlineStr"/>
      <c r="K14" s="50" t="inlineStr">
        <is>
          <t>Output: risk register</t>
        </is>
      </c>
    </row>
    <row r="15" ht="26" customHeight="1">
      <c r="A15" s="44" t="inlineStr">
        <is>
          <t>Discovery</t>
        </is>
      </c>
      <c r="B15" s="45" t="inlineStr">
        <is>
          <t>Assessment Report</t>
        </is>
      </c>
      <c r="C15" s="45" t="inlineStr">
        <is>
          <t>Document all findings and architecture recommendations and phased delivery roadmap (Phase 1 MVP + Phase 2 + GA)</t>
        </is>
      </c>
      <c r="D15" s="45" t="inlineStr">
        <is>
          <t>Technical Writer</t>
        </is>
      </c>
      <c r="E15" s="46" t="n">
        <v>16</v>
      </c>
      <c r="F15" s="47" t="n">
        <v>1</v>
      </c>
      <c r="G15" s="46" t="n">
        <v>16</v>
      </c>
      <c r="H15" s="48" t="n">
        <v>125</v>
      </c>
      <c r="I15" s="48" t="n">
        <v>2000</v>
      </c>
      <c r="J15" s="45" t="inlineStr">
        <is>
          <t>All Discovery tasks</t>
        </is>
      </c>
      <c r="K15" s="45" t="inlineStr">
        <is>
          <t>Delivered to CTO for phase gate approval</t>
        </is>
      </c>
    </row>
    <row r="16" ht="26" customHeight="1">
      <c r="A16" s="49" t="inlineStr">
        <is>
          <t>Planning &amp; Design</t>
        </is>
      </c>
      <c r="B16" s="50" t="inlineStr">
        <is>
          <t>Detailed Architecture Design</t>
        </is>
      </c>
      <c r="C16" s="50" t="inlineStr">
        <is>
          <t>Design end-to-end serverless architecture (Bedrock, Lambda, API Gateway, DynamoDB, S3, Cognito) and produce architecture decision records</t>
        </is>
      </c>
      <c r="D16" s="50" t="inlineStr">
        <is>
          <t>Solution Architect</t>
        </is>
      </c>
      <c r="E16" s="51" t="n">
        <v>40</v>
      </c>
      <c r="F16" s="52" t="n">
        <v>1.2</v>
      </c>
      <c r="G16" s="51" t="n">
        <v>48</v>
      </c>
      <c r="H16" s="53" t="n">
        <v>225</v>
      </c>
      <c r="I16" s="53" t="n">
        <v>10800</v>
      </c>
      <c r="J16" s="50" t="inlineStr">
        <is>
          <t>Assessment Report</t>
        </is>
      </c>
      <c r="K16" s="50" t="inlineStr">
        <is>
          <t>Primary design deliverable</t>
        </is>
      </c>
    </row>
    <row r="17" ht="26" customHeight="1">
      <c r="A17" s="44" t="inlineStr">
        <is>
          <t>Planning &amp; Design</t>
        </is>
      </c>
      <c r="B17" s="45" t="inlineStr">
        <is>
          <t>AWS Landing Zone Setup</t>
        </is>
      </c>
      <c r="C17" s="45" t="inlineStr">
        <is>
          <t>Configure AWS account structure with IAM roles/policies and enable CloudTrail and AWS Config for SOC 2 audit trail in us-west-2</t>
        </is>
      </c>
      <c r="D17" s="45" t="inlineStr">
        <is>
          <t>Cloud Engineer</t>
        </is>
      </c>
      <c r="E17" s="46" t="n">
        <v>32</v>
      </c>
      <c r="F17" s="47" t="n">
        <v>1.2</v>
      </c>
      <c r="G17" s="46" t="n">
        <v>38</v>
      </c>
      <c r="H17" s="48" t="n">
        <v>200</v>
      </c>
      <c r="I17" s="48" t="n">
        <v>7600</v>
      </c>
      <c r="J17" s="45" t="inlineStr">
        <is>
          <t>Detailed Architecture Design</t>
        </is>
      </c>
      <c r="K17" s="45" t="inlineStr">
        <is>
          <t>Foundation for all environments</t>
        </is>
      </c>
    </row>
    <row r="18" ht="26" customHeight="1">
      <c r="A18" s="49" t="inlineStr">
        <is>
          <t>Planning &amp; Design</t>
        </is>
      </c>
      <c r="B18" s="50" t="inlineStr">
        <is>
          <t>Async Orchestration Design</t>
        </is>
      </c>
      <c r="C18" s="50" t="inlineStr">
        <is>
          <t>Design durable async job architecture for 30-60 min generation jobs; evaluate Step Functions vs SQS+Lambda chaining and document state machine</t>
        </is>
      </c>
      <c r="D18" s="50" t="inlineStr">
        <is>
          <t>Solution Architect</t>
        </is>
      </c>
      <c r="E18" s="51" t="n">
        <v>24</v>
      </c>
      <c r="F18" s="52" t="n">
        <v>1.2</v>
      </c>
      <c r="G18" s="51" t="n">
        <v>29</v>
      </c>
      <c r="H18" s="53" t="n">
        <v>225</v>
      </c>
      <c r="I18" s="53" t="n">
        <v>6525</v>
      </c>
      <c r="J18" s="50" t="inlineStr">
        <is>
          <t>Detailed Architecture Design</t>
        </is>
      </c>
      <c r="K18" s="50" t="inlineStr">
        <is>
          <t>Critical path — all generation workflows depend on this</t>
        </is>
      </c>
    </row>
    <row r="19" ht="26" customHeight="1">
      <c r="A19" s="44" t="inlineStr">
        <is>
          <t>Planning &amp; Design</t>
        </is>
      </c>
      <c r="B19" s="45" t="inlineStr">
        <is>
          <t>Bedrock / AI Integration Design</t>
        </is>
      </c>
      <c r="C19" s="45" t="inlineStr">
        <is>
          <t>Design prompt engineering framework for 7 artifact types and define Claude model parameters and token budgets per artifact</t>
        </is>
      </c>
      <c r="D19" s="45" t="inlineStr">
        <is>
          <t>ML/AI Engineer</t>
        </is>
      </c>
      <c r="E19" s="46" t="n">
        <v>40</v>
      </c>
      <c r="F19" s="47" t="n">
        <v>1.2</v>
      </c>
      <c r="G19" s="46" t="n">
        <v>48</v>
      </c>
      <c r="H19" s="48" t="n">
        <v>275</v>
      </c>
      <c r="I19" s="48" t="n">
        <v>13200</v>
      </c>
      <c r="J19" s="45" t="inlineStr">
        <is>
          <t>Detailed Architecture Design</t>
        </is>
      </c>
      <c r="K19" s="45" t="inlineStr">
        <is>
          <t>Drives implementation of Bedrock invocation layer</t>
        </is>
      </c>
    </row>
    <row r="20" ht="26" customHeight="1">
      <c r="A20" s="49" t="inlineStr">
        <is>
          <t>Planning &amp; Design</t>
        </is>
      </c>
      <c r="B20" s="50" t="inlineStr">
        <is>
          <t>Data Model Design</t>
        </is>
      </c>
      <c r="C20" s="50" t="inlineStr">
        <is>
          <t>Design DynamoDB table schemas for solution state and usage tracking and design S3 object key taxonomy for artifact storage</t>
        </is>
      </c>
      <c r="D20" s="50" t="inlineStr">
        <is>
          <t>Solution Architect</t>
        </is>
      </c>
      <c r="E20" s="51" t="n">
        <v>24</v>
      </c>
      <c r="F20" s="52" t="n">
        <v>1.2</v>
      </c>
      <c r="G20" s="51" t="n">
        <v>29</v>
      </c>
      <c r="H20" s="53" t="n">
        <v>225</v>
      </c>
      <c r="I20" s="53" t="n">
        <v>6525</v>
      </c>
      <c r="J20" s="50" t="inlineStr">
        <is>
          <t>Detailed Architecture Design</t>
        </is>
      </c>
      <c r="K20" s="50" t="inlineStr">
        <is>
          <t>Supports per-user and global usage limit enforcement</t>
        </is>
      </c>
    </row>
    <row r="21" ht="26" customHeight="1">
      <c r="A21" s="44" t="inlineStr">
        <is>
          <t>Planning &amp; Design</t>
        </is>
      </c>
      <c r="B21" s="45" t="inlineStr">
        <is>
          <t>Security Baseline Design</t>
        </is>
      </c>
      <c r="C21" s="45" t="inlineStr">
        <is>
          <t>Design IAM least-privilege policies and KMS key management for S3/DynamoDB encryption and WAF rules for API Gateway</t>
        </is>
      </c>
      <c r="D21" s="45" t="inlineStr">
        <is>
          <t>Security Engineer</t>
        </is>
      </c>
      <c r="E21" s="46" t="n">
        <v>32</v>
      </c>
      <c r="F21" s="47" t="n">
        <v>1.2</v>
      </c>
      <c r="G21" s="46" t="n">
        <v>38</v>
      </c>
      <c r="H21" s="48" t="n">
        <v>225</v>
      </c>
      <c r="I21" s="48" t="n">
        <v>8550</v>
      </c>
      <c r="J21" s="45" t="inlineStr">
        <is>
          <t>Detailed Architecture Design</t>
        </is>
      </c>
      <c r="K21" s="45" t="inlineStr">
        <is>
          <t>SOC 2 control mapping required</t>
        </is>
      </c>
    </row>
    <row r="22" ht="26" customHeight="1">
      <c r="A22" s="49" t="inlineStr">
        <is>
          <t>Planning &amp; Design</t>
        </is>
      </c>
      <c r="B22" s="50" t="inlineStr">
        <is>
          <t>Identity &amp; Access Design</t>
        </is>
      </c>
      <c r="C22" s="50" t="inlineStr">
        <is>
          <t>Design Cognito user pool configuration and plan Okta to Cognito migration approach and define admin group and governance controls</t>
        </is>
      </c>
      <c r="D22" s="50" t="inlineStr">
        <is>
          <t>Security Engineer</t>
        </is>
      </c>
      <c r="E22" s="51" t="n">
        <v>24</v>
      </c>
      <c r="F22" s="52" t="n">
        <v>1.2</v>
      </c>
      <c r="G22" s="51" t="n">
        <v>29</v>
      </c>
      <c r="H22" s="53" t="n">
        <v>225</v>
      </c>
      <c r="I22" s="53" t="n">
        <v>6525</v>
      </c>
      <c r="J22" s="50" t="inlineStr">
        <is>
          <t>AWS Landing Zone Setup</t>
        </is>
      </c>
      <c r="K22" s="50" t="inlineStr">
        <is>
          <t>Okta migration design critical for auth continuity</t>
        </is>
      </c>
    </row>
    <row r="23" ht="26" customHeight="1">
      <c r="A23" s="44" t="inlineStr">
        <is>
          <t>Planning &amp; Design</t>
        </is>
      </c>
      <c r="B23" s="45" t="inlineStr">
        <is>
          <t>CI/CD Pipeline Design</t>
        </is>
      </c>
      <c r="C23" s="45" t="inlineStr">
        <is>
          <t>Design GitHub Actions / AWS CodePipeline CI/CD for multi-environment deployment with automated testing gates</t>
        </is>
      </c>
      <c r="D23" s="45" t="inlineStr">
        <is>
          <t>DevOps Engineer</t>
        </is>
      </c>
      <c r="E23" s="46" t="n">
        <v>24</v>
      </c>
      <c r="F23" s="47" t="n">
        <v>1.2</v>
      </c>
      <c r="G23" s="46" t="n">
        <v>29</v>
      </c>
      <c r="H23" s="48" t="n">
        <v>200</v>
      </c>
      <c r="I23" s="48" t="n">
        <v>5800</v>
      </c>
      <c r="J23" s="45" t="inlineStr">
        <is>
          <t>AWS Landing Zone Setup</t>
        </is>
      </c>
      <c r="K23" s="45" t="inlineStr">
        <is>
          <t>Enables consistent phased delivery</t>
        </is>
      </c>
    </row>
    <row r="24" ht="26" customHeight="1">
      <c r="A24" s="49" t="inlineStr">
        <is>
          <t>Planning &amp; Design</t>
        </is>
      </c>
      <c r="B24" s="50" t="inlineStr">
        <is>
          <t>Monitoring &amp; Observability Design</t>
        </is>
      </c>
      <c r="C24" s="50" t="inlineStr">
        <is>
          <t>Design CloudWatch dashboards and define alarms for async job failures and SLA monitoring for 99.9% availability and QA pass-rate tracking</t>
        </is>
      </c>
      <c r="D24" s="50" t="inlineStr">
        <is>
          <t>Cloud Engineer</t>
        </is>
      </c>
      <c r="E24" s="51" t="n">
        <v>16</v>
      </c>
      <c r="F24" s="52" t="n">
        <v>1.2</v>
      </c>
      <c r="G24" s="51" t="n">
        <v>19</v>
      </c>
      <c r="H24" s="53" t="n">
        <v>200</v>
      </c>
      <c r="I24" s="53" t="n">
        <v>3800</v>
      </c>
      <c r="J24" s="50" t="inlineStr">
        <is>
          <t>Detailed Architecture Design</t>
        </is>
      </c>
      <c r="K24" s="50" t="inlineStr">
        <is>
          <t>Feeds operational runbooks</t>
        </is>
      </c>
    </row>
    <row r="25" ht="26" customHeight="1">
      <c r="A25" s="44" t="inlineStr">
        <is>
          <t>Planning &amp; Design</t>
        </is>
      </c>
      <c r="B25" s="45" t="inlineStr">
        <is>
          <t>Artifact Template Pipeline Design</t>
        </is>
      </c>
      <c r="C25" s="45" t="inlineStr">
        <is>
          <t>Design ingestion pipeline for Word/Excel/PPT legacy templates into automated generation workflow and define template schema</t>
        </is>
      </c>
      <c r="D25" s="45" t="inlineStr">
        <is>
          <t>Solutions Engineer</t>
        </is>
      </c>
      <c r="E25" s="46" t="n">
        <v>24</v>
      </c>
      <c r="F25" s="47" t="n">
        <v>1.2</v>
      </c>
      <c r="G25" s="46" t="n">
        <v>29</v>
      </c>
      <c r="H25" s="48" t="n">
        <v>200</v>
      </c>
      <c r="I25" s="48" t="n">
        <v>5800</v>
      </c>
      <c r="J25" s="45" t="inlineStr">
        <is>
          <t>Bedrock / AI Integration Design</t>
        </is>
      </c>
      <c r="K25" s="45" t="inlineStr">
        <is>
          <t>Preserves existing Amatra branding and format standards</t>
        </is>
      </c>
    </row>
    <row r="26" ht="26" customHeight="1">
      <c r="A26" s="49" t="inlineStr">
        <is>
          <t>Planning &amp; Design</t>
        </is>
      </c>
      <c r="B26" s="50" t="inlineStr">
        <is>
          <t>Design Documentation</t>
        </is>
      </c>
      <c r="C26" s="50" t="inlineStr">
        <is>
          <t>Produce as-designed architecture diagrams and architecture decision records and data-flow and sequence diagrams</t>
        </is>
      </c>
      <c r="D26" s="50" t="inlineStr">
        <is>
          <t>Technical Writer</t>
        </is>
      </c>
      <c r="E26" s="51" t="n">
        <v>24</v>
      </c>
      <c r="F26" s="52" t="n">
        <v>1.2</v>
      </c>
      <c r="G26" s="51" t="n">
        <v>29</v>
      </c>
      <c r="H26" s="53" t="n">
        <v>125</v>
      </c>
      <c r="I26" s="53" t="n">
        <v>3625</v>
      </c>
      <c r="J26" s="50" t="inlineStr">
        <is>
          <t>All Planning tasks</t>
        </is>
      </c>
      <c r="K26" s="50" t="inlineStr">
        <is>
          <t>Delivered to VP Engineering for sign-off</t>
        </is>
      </c>
    </row>
    <row r="27" ht="26" customHeight="1">
      <c r="A27" s="44" t="inlineStr">
        <is>
          <t>Development &amp; Implementation</t>
        </is>
      </c>
      <c r="B27" s="45" t="inlineStr">
        <is>
          <t>Bedrock Integration Layer</t>
        </is>
      </c>
      <c r="C27" s="45" t="inlineStr">
        <is>
          <t>Implement Lambda functions for Bedrock Claude API invocation and prompt templates for all 7 artifact types and error handling and retries</t>
        </is>
      </c>
      <c r="D27" s="45" t="inlineStr">
        <is>
          <t>ML/AI Engineer</t>
        </is>
      </c>
      <c r="E27" s="46" t="n">
        <v>80</v>
      </c>
      <c r="F27" s="47" t="n">
        <v>1.3</v>
      </c>
      <c r="G27" s="46" t="n">
        <v>104</v>
      </c>
      <c r="H27" s="48" t="n">
        <v>275</v>
      </c>
      <c r="I27" s="48" t="n">
        <v>28600</v>
      </c>
      <c r="J27" s="45" t="inlineStr">
        <is>
          <t>Bedrock / AI Integration Design</t>
        </is>
      </c>
      <c r="K27" s="45" t="inlineStr">
        <is>
          <t>Core AI generation capability</t>
        </is>
      </c>
    </row>
    <row r="28" ht="26" customHeight="1">
      <c r="A28" s="49" t="inlineStr">
        <is>
          <t>Development &amp; Implementation</t>
        </is>
      </c>
      <c r="B28" s="50" t="inlineStr">
        <is>
          <t>Async Job Orchestration</t>
        </is>
      </c>
      <c r="C28" s="50" t="inlineStr">
        <is>
          <t>Implement Step Functions state machine for durable 30-60 min generation jobs with status polling and webhook notifications</t>
        </is>
      </c>
      <c r="D28" s="50" t="inlineStr">
        <is>
          <t>Solutions Engineer</t>
        </is>
      </c>
      <c r="E28" s="51" t="n">
        <v>64</v>
      </c>
      <c r="F28" s="52" t="n">
        <v>1.3</v>
      </c>
      <c r="G28" s="51" t="n">
        <v>83</v>
      </c>
      <c r="H28" s="53" t="n">
        <v>200</v>
      </c>
      <c r="I28" s="53" t="n">
        <v>16600</v>
      </c>
      <c r="J28" s="50" t="inlineStr">
        <is>
          <t>Async Orchestration Design</t>
        </is>
      </c>
      <c r="K28" s="50" t="inlineStr">
        <is>
          <t>Must handle job failures and retries without data loss</t>
        </is>
      </c>
    </row>
    <row r="29" ht="26" customHeight="1">
      <c r="A29" s="44" t="inlineStr">
        <is>
          <t>Development &amp; Implementation</t>
        </is>
      </c>
      <c r="B29" s="45" t="inlineStr">
        <is>
          <t>API Gateway &amp; Lambda API Layer</t>
        </is>
      </c>
      <c r="C29" s="45" t="inlineStr">
        <is>
          <t>Implement REST API via API Gateway + Lambda for all platform endpoints (submit brief / poll status / retrieve artifacts / admin controls)</t>
        </is>
      </c>
      <c r="D29" s="45" t="inlineStr">
        <is>
          <t>Solutions Engineer</t>
        </is>
      </c>
      <c r="E29" s="46" t="n">
        <v>48</v>
      </c>
      <c r="F29" s="47" t="n">
        <v>1.3</v>
      </c>
      <c r="G29" s="46" t="n">
        <v>62</v>
      </c>
      <c r="H29" s="48" t="n">
        <v>200</v>
      </c>
      <c r="I29" s="48" t="n">
        <v>12400</v>
      </c>
      <c r="J29" s="45" t="inlineStr">
        <is>
          <t>Async Orchestration Design</t>
        </is>
      </c>
      <c r="K29" s="45" t="inlineStr">
        <is>
          <t>Supports Sales team portal integration</t>
        </is>
      </c>
    </row>
    <row r="30" ht="26" customHeight="1">
      <c r="A30" s="49" t="inlineStr">
        <is>
          <t>Development &amp; Implementation</t>
        </is>
      </c>
      <c r="B30" s="50" t="inlineStr">
        <is>
          <t>DynamoDB State &amp; Usage Layer</t>
        </is>
      </c>
      <c r="C30" s="50" t="inlineStr">
        <is>
          <t>Implement DynamoDB tables for solution state tracking and per-user/global monthly usage limits and admin enforcement logic</t>
        </is>
      </c>
      <c r="D30" s="50" t="inlineStr">
        <is>
          <t>Cloud Engineer</t>
        </is>
      </c>
      <c r="E30" s="51" t="n">
        <v>40</v>
      </c>
      <c r="F30" s="52" t="n">
        <v>1.3</v>
      </c>
      <c r="G30" s="51" t="n">
        <v>52</v>
      </c>
      <c r="H30" s="53" t="n">
        <v>200</v>
      </c>
      <c r="I30" s="53" t="n">
        <v>10400</v>
      </c>
      <c r="J30" s="50" t="inlineStr">
        <is>
          <t>Data Model Design</t>
        </is>
      </c>
      <c r="K30" s="50" t="inlineStr">
        <is>
          <t>Usage cap enforcement required for go-live</t>
        </is>
      </c>
    </row>
    <row r="31" ht="26" customHeight="1">
      <c r="A31" s="44" t="inlineStr">
        <is>
          <t>Development &amp; Implementation</t>
        </is>
      </c>
      <c r="B31" s="45" t="inlineStr">
        <is>
          <t>S3 Artifact Storage Layer</t>
        </is>
      </c>
      <c r="C31" s="45" t="inlineStr">
        <is>
          <t>Implement S3 bucket policies and presigned URL generation for artifact delivery and lifecycle rules for retention management</t>
        </is>
      </c>
      <c r="D31" s="45" t="inlineStr">
        <is>
          <t>Cloud Engineer</t>
        </is>
      </c>
      <c r="E31" s="46" t="n">
        <v>32</v>
      </c>
      <c r="F31" s="47" t="n">
        <v>1.3</v>
      </c>
      <c r="G31" s="46" t="n">
        <v>42</v>
      </c>
      <c r="H31" s="48" t="n">
        <v>200</v>
      </c>
      <c r="I31" s="48" t="n">
        <v>8400</v>
      </c>
      <c r="J31" s="45" t="inlineStr">
        <is>
          <t>AWS Landing Zone Setup</t>
        </is>
      </c>
      <c r="K31" s="45" t="inlineStr">
        <is>
          <t>All generated artifacts stored in S3</t>
        </is>
      </c>
    </row>
    <row r="32" ht="26" customHeight="1">
      <c r="A32" s="49" t="inlineStr">
        <is>
          <t>Development &amp; Implementation</t>
        </is>
      </c>
      <c r="B32" s="50" t="inlineStr">
        <is>
          <t>Cognito Authentication &amp; Admin</t>
        </is>
      </c>
      <c r="C32" s="50" t="inlineStr">
        <is>
          <t>Configure Cognito user pool and implement admin group and governance controls and integrate with API Gateway authorizer</t>
        </is>
      </c>
      <c r="D32" s="50" t="inlineStr">
        <is>
          <t>Security Engineer</t>
        </is>
      </c>
      <c r="E32" s="51" t="n">
        <v>32</v>
      </c>
      <c r="F32" s="52" t="n">
        <v>1.3</v>
      </c>
      <c r="G32" s="51" t="n">
        <v>42</v>
      </c>
      <c r="H32" s="53" t="n">
        <v>225</v>
      </c>
      <c r="I32" s="53" t="n">
        <v>9450</v>
      </c>
      <c r="J32" s="50" t="inlineStr">
        <is>
          <t>Identity &amp; Access Design</t>
        </is>
      </c>
      <c r="K32" s="50" t="inlineStr">
        <is>
          <t>Replaces Okta as identity provider</t>
        </is>
      </c>
    </row>
    <row r="33" ht="26" customHeight="1">
      <c r="A33" s="44" t="inlineStr">
        <is>
          <t>Development &amp; Implementation</t>
        </is>
      </c>
      <c r="B33" s="45" t="inlineStr">
        <is>
          <t>Okta to Cognito User Migration</t>
        </is>
      </c>
      <c r="C33" s="45" t="inlineStr">
        <is>
          <t>Execute user record migration from Okta to Cognito and validate all accounts and update application auth endpoints</t>
        </is>
      </c>
      <c r="D33" s="45" t="inlineStr">
        <is>
          <t>Solutions Engineer</t>
        </is>
      </c>
      <c r="E33" s="46" t="n">
        <v>40</v>
      </c>
      <c r="F33" s="47" t="n">
        <v>1.3</v>
      </c>
      <c r="G33" s="46" t="n">
        <v>52</v>
      </c>
      <c r="H33" s="48" t="n">
        <v>200</v>
      </c>
      <c r="I33" s="48" t="n">
        <v>10400</v>
      </c>
      <c r="J33" s="45" t="inlineStr">
        <is>
          <t>Cognito Authentication &amp; Admin</t>
        </is>
      </c>
      <c r="K33" s="45" t="inlineStr">
        <is>
          <t>Zero-downtime migration required; rollback plan needed</t>
        </is>
      </c>
    </row>
    <row r="34" ht="26" customHeight="1">
      <c r="A34" s="49" t="inlineStr">
        <is>
          <t>Development &amp; Implementation</t>
        </is>
      </c>
      <c r="B34" s="50" t="inlineStr">
        <is>
          <t>Artifact Template Pipeline</t>
        </is>
      </c>
      <c r="C34" s="50" t="inlineStr">
        <is>
          <t>Build ingestion and parsing pipeline for Word/Excel/PPT templates and integrate with Bedrock generation prompts for format-consistent output</t>
        </is>
      </c>
      <c r="D34" s="50" t="inlineStr">
        <is>
          <t>Solutions Engineer</t>
        </is>
      </c>
      <c r="E34" s="51" t="n">
        <v>56</v>
      </c>
      <c r="F34" s="52" t="n">
        <v>1.3</v>
      </c>
      <c r="G34" s="51" t="n">
        <v>73</v>
      </c>
      <c r="H34" s="53" t="n">
        <v>200</v>
      </c>
      <c r="I34" s="53" t="n">
        <v>14600</v>
      </c>
      <c r="J34" s="50" t="inlineStr">
        <is>
          <t>Artifact Template Pipeline Design</t>
        </is>
      </c>
      <c r="K34" s="50" t="inlineStr">
        <is>
          <t>7 artifact types across 3 format families</t>
        </is>
      </c>
    </row>
    <row r="35" ht="26" customHeight="1">
      <c r="A35" s="44" t="inlineStr">
        <is>
          <t>Development &amp; Implementation</t>
        </is>
      </c>
      <c r="B35" s="45" t="inlineStr">
        <is>
          <t>Pre-Sales Artifact Pipeline Phase 1</t>
        </is>
      </c>
      <c r="C35" s="45" t="inlineStr">
        <is>
          <t>Implement generation pipeline for Phase 1 artifacts: discovery questionnaire + solution briefing + SoW + infra cost model</t>
        </is>
      </c>
      <c r="D35" s="45" t="inlineStr">
        <is>
          <t>ML/AI Engineer</t>
        </is>
      </c>
      <c r="E35" s="46" t="n">
        <v>64</v>
      </c>
      <c r="F35" s="47" t="n">
        <v>1.3</v>
      </c>
      <c r="G35" s="46" t="n">
        <v>83</v>
      </c>
      <c r="H35" s="48" t="n">
        <v>275</v>
      </c>
      <c r="I35" s="48" t="n">
        <v>22825</v>
      </c>
      <c r="J35" s="45" t="inlineStr">
        <is>
          <t>Bedrock Integration Layer</t>
        </is>
      </c>
      <c r="K35" s="45" t="inlineStr">
        <is>
          <t>Target: delivered by 2026-09-30</t>
        </is>
      </c>
    </row>
    <row r="36" ht="26" customHeight="1">
      <c r="A36" s="49" t="inlineStr">
        <is>
          <t>Development &amp; Implementation</t>
        </is>
      </c>
      <c r="B36" s="50" t="inlineStr">
        <is>
          <t>Delivery Artifact Pipeline Phase 2</t>
        </is>
      </c>
      <c r="C36" s="50" t="inlineStr">
        <is>
          <t>Implement generation pipeline for Phase 2 artifacts: detailed design + implementation guide + Terraform automation scripts</t>
        </is>
      </c>
      <c r="D36" s="50" t="inlineStr">
        <is>
          <t>ML/AI Engineer</t>
        </is>
      </c>
      <c r="E36" s="51" t="n">
        <v>64</v>
      </c>
      <c r="F36" s="52" t="n">
        <v>1.3</v>
      </c>
      <c r="G36" s="51" t="n">
        <v>83</v>
      </c>
      <c r="H36" s="53" t="n">
        <v>275</v>
      </c>
      <c r="I36" s="53" t="n">
        <v>22825</v>
      </c>
      <c r="J36" s="50" t="inlineStr">
        <is>
          <t>Development &amp; Implementation Pre-Sales Artifact Pipeline Phase 1</t>
        </is>
      </c>
      <c r="K36" s="50" t="inlineStr">
        <is>
          <t>Target: delivered by 2026-12-15</t>
        </is>
      </c>
    </row>
    <row r="37" ht="26" customHeight="1">
      <c r="A37" s="44" t="inlineStr">
        <is>
          <t>Development &amp; Implementation</t>
        </is>
      </c>
      <c r="B37" s="45" t="inlineStr">
        <is>
          <t>CI/CD Pipeline Build</t>
        </is>
      </c>
      <c r="C37" s="45" t="inlineStr">
        <is>
          <t>Implement multi-environment CI/CD with automated unit and integration test gates and deployment to dev/staging/prod</t>
        </is>
      </c>
      <c r="D37" s="45" t="inlineStr">
        <is>
          <t>DevOps Engineer</t>
        </is>
      </c>
      <c r="E37" s="46" t="n">
        <v>48</v>
      </c>
      <c r="F37" s="47" t="n">
        <v>1.3</v>
      </c>
      <c r="G37" s="46" t="n">
        <v>62</v>
      </c>
      <c r="H37" s="48" t="n">
        <v>200</v>
      </c>
      <c r="I37" s="48" t="n">
        <v>12400</v>
      </c>
      <c r="J37" s="45" t="inlineStr">
        <is>
          <t>CI/CD Pipeline Design</t>
        </is>
      </c>
      <c r="K37" s="45" t="inlineStr">
        <is>
          <t>Required for phased and reproducible deployments</t>
        </is>
      </c>
    </row>
    <row r="38" ht="26" customHeight="1">
      <c r="A38" s="49" t="inlineStr">
        <is>
          <t>Development &amp; Implementation</t>
        </is>
      </c>
      <c r="B38" s="50" t="inlineStr">
        <is>
          <t>Security Hardening</t>
        </is>
      </c>
      <c r="C38" s="50" t="inlineStr">
        <is>
          <t>Implement IAM least-privilege policies and KMS encryption for S3/DynamoDB and WAF rules and enable GuardDuty and Security Hub</t>
        </is>
      </c>
      <c r="D38" s="50" t="inlineStr">
        <is>
          <t>Security Engineer</t>
        </is>
      </c>
      <c r="E38" s="51" t="n">
        <v>40</v>
      </c>
      <c r="F38" s="52" t="n">
        <v>1.3</v>
      </c>
      <c r="G38" s="51" t="n">
        <v>52</v>
      </c>
      <c r="H38" s="53" t="n">
        <v>225</v>
      </c>
      <c r="I38" s="53" t="n">
        <v>11700</v>
      </c>
      <c r="J38" s="50" t="inlineStr">
        <is>
          <t>Security Baseline Design</t>
        </is>
      </c>
      <c r="K38" s="50" t="inlineStr">
        <is>
          <t>SOC 2 evidence collection begins here</t>
        </is>
      </c>
    </row>
    <row r="39" ht="26" customHeight="1">
      <c r="A39" s="44" t="inlineStr">
        <is>
          <t>Development &amp; Implementation</t>
        </is>
      </c>
      <c r="B39" s="45" t="inlineStr">
        <is>
          <t>Monitoring &amp; Observability Build</t>
        </is>
      </c>
      <c r="C39" s="45" t="inlineStr">
        <is>
          <t>Implement CloudWatch dashboards and alarms and async job failure alerting and SLA availability and QA pass-rate dashboards</t>
        </is>
      </c>
      <c r="D39" s="45" t="inlineStr">
        <is>
          <t>Cloud Engineer</t>
        </is>
      </c>
      <c r="E39" s="46" t="n">
        <v>32</v>
      </c>
      <c r="F39" s="47" t="n">
        <v>1.3</v>
      </c>
      <c r="G39" s="46" t="n">
        <v>42</v>
      </c>
      <c r="H39" s="48" t="n">
        <v>200</v>
      </c>
      <c r="I39" s="48" t="n">
        <v>8400</v>
      </c>
      <c r="J39" s="45" t="inlineStr">
        <is>
          <t>Monitoring &amp; Observability Design</t>
        </is>
      </c>
      <c r="K39" s="45" t="inlineStr">
        <is>
          <t>Required for 99.9% SLA validation</t>
        </is>
      </c>
    </row>
    <row r="40" ht="26" customHeight="1">
      <c r="A40" s="49" t="inlineStr">
        <is>
          <t>Development &amp; Implementation</t>
        </is>
      </c>
      <c r="B40" s="50" t="inlineStr">
        <is>
          <t>Configuration &amp; Runbook Documentation</t>
        </is>
      </c>
      <c r="C40" s="50" t="inlineStr">
        <is>
          <t>Document all Lambda configurations and API contracts and DynamoDB schemas and environment variable management</t>
        </is>
      </c>
      <c r="D40" s="50" t="inlineStr">
        <is>
          <t>Technical Writer</t>
        </is>
      </c>
      <c r="E40" s="51" t="n">
        <v>32</v>
      </c>
      <c r="F40" s="52" t="n">
        <v>1.3</v>
      </c>
      <c r="G40" s="51" t="n">
        <v>42</v>
      </c>
      <c r="H40" s="53" t="n">
        <v>125</v>
      </c>
      <c r="I40" s="53" t="n">
        <v>5250</v>
      </c>
      <c r="J40" s="50" t="inlineStr">
        <is>
          <t>All Development tasks</t>
        </is>
      </c>
      <c r="K40" s="50" t="inlineStr">
        <is>
          <t>Input to SOC 2 documentation set</t>
        </is>
      </c>
    </row>
    <row r="41" ht="26" customHeight="1">
      <c r="A41" s="44" t="inlineStr">
        <is>
          <t>Testing &amp; Validation</t>
        </is>
      </c>
      <c r="B41" s="45" t="inlineStr">
        <is>
          <t>Test Plan Development</t>
        </is>
      </c>
      <c r="C41" s="45" t="inlineStr">
        <is>
          <t>Create comprehensive test plan covering functional / integration / performance / security and compliance validation</t>
        </is>
      </c>
      <c r="D41" s="45" t="inlineStr">
        <is>
          <t>QA Engineer</t>
        </is>
      </c>
      <c r="E41" s="46" t="n">
        <v>16</v>
      </c>
      <c r="F41" s="47" t="n">
        <v>1.2</v>
      </c>
      <c r="G41" s="46" t="n">
        <v>19</v>
      </c>
      <c r="H41" s="48" t="n">
        <v>150</v>
      </c>
      <c r="I41" s="48" t="n">
        <v>2850</v>
      </c>
      <c r="J41" s="45" t="inlineStr">
        <is>
          <t>All Development tasks</t>
        </is>
      </c>
      <c r="K41" s="45" t="inlineStr">
        <is>
          <t>Must include QA &gt;= 90% first-pass acceptance criteria</t>
        </is>
      </c>
    </row>
    <row r="42" ht="26" customHeight="1">
      <c r="A42" s="49" t="inlineStr">
        <is>
          <t>Testing &amp; Validation</t>
        </is>
      </c>
      <c r="B42" s="50" t="inlineStr">
        <is>
          <t>Functional Testing Phase 1 Artifacts</t>
        </is>
      </c>
      <c r="C42" s="50" t="inlineStr">
        <is>
          <t>Test generation pipelines for all Phase 1 artifact types against sample client briefs and validate output quality</t>
        </is>
      </c>
      <c r="D42" s="50" t="inlineStr">
        <is>
          <t>QA Engineer</t>
        </is>
      </c>
      <c r="E42" s="51" t="n">
        <v>40</v>
      </c>
      <c r="F42" s="52" t="n">
        <v>1.2</v>
      </c>
      <c r="G42" s="51" t="n">
        <v>48</v>
      </c>
      <c r="H42" s="53" t="n">
        <v>150</v>
      </c>
      <c r="I42" s="53" t="n">
        <v>7200</v>
      </c>
      <c r="J42" s="50" t="inlineStr">
        <is>
          <t>Development &amp; Implementation Pre-Sales Artifact Pipeline Phase 1</t>
        </is>
      </c>
      <c r="K42" s="50" t="inlineStr">
        <is>
          <t>Gate for Phase 1 go-live</t>
        </is>
      </c>
    </row>
    <row r="43" ht="26" customHeight="1">
      <c r="A43" s="44" t="inlineStr">
        <is>
          <t>Testing &amp; Validation</t>
        </is>
      </c>
      <c r="B43" s="45" t="inlineStr">
        <is>
          <t>Functional Testing Phase 2 Artifacts</t>
        </is>
      </c>
      <c r="C43" s="45" t="inlineStr">
        <is>
          <t>Test Delivery and Terraform automation artifact generation pipelines against sample briefs</t>
        </is>
      </c>
      <c r="D43" s="45" t="inlineStr">
        <is>
          <t>QA Engineer</t>
        </is>
      </c>
      <c r="E43" s="46" t="n">
        <v>32</v>
      </c>
      <c r="F43" s="47" t="n">
        <v>1.2</v>
      </c>
      <c r="G43" s="46" t="n">
        <v>38</v>
      </c>
      <c r="H43" s="48" t="n">
        <v>150</v>
      </c>
      <c r="I43" s="48" t="n">
        <v>5700</v>
      </c>
      <c r="J43" s="45" t="inlineStr">
        <is>
          <t>Development &amp; Implementation Delivery Artifact Pipeline Phase 2</t>
        </is>
      </c>
      <c r="K43" s="45" t="inlineStr">
        <is>
          <t>Gate for Phase 2 go-live</t>
        </is>
      </c>
    </row>
    <row r="44" ht="26" customHeight="1">
      <c r="A44" s="49" t="inlineStr">
        <is>
          <t>Testing &amp; Validation</t>
        </is>
      </c>
      <c r="B44" s="50" t="inlineStr">
        <is>
          <t>Integration Testing Okta Cognito</t>
        </is>
      </c>
      <c r="C44" s="50" t="inlineStr">
        <is>
          <t>Validate Okta to Cognito migration and test all auth flows and admin governance controls in staging</t>
        </is>
      </c>
      <c r="D44" s="50" t="inlineStr">
        <is>
          <t>Solutions Engineer</t>
        </is>
      </c>
      <c r="E44" s="51" t="n">
        <v>24</v>
      </c>
      <c r="F44" s="52" t="n">
        <v>1.2</v>
      </c>
      <c r="G44" s="51" t="n">
        <v>29</v>
      </c>
      <c r="H44" s="53" t="n">
        <v>200</v>
      </c>
      <c r="I44" s="53" t="n">
        <v>5800</v>
      </c>
      <c r="J44" s="50" t="inlineStr">
        <is>
          <t>Development &amp; Implementation Okta to Cognito User Migration</t>
        </is>
      </c>
      <c r="K44" s="50" t="inlineStr">
        <is>
          <t>Auth continuity is critical-path risk</t>
        </is>
      </c>
    </row>
    <row r="45" ht="26" customHeight="1">
      <c r="A45" s="44" t="inlineStr">
        <is>
          <t>Testing &amp; Validation</t>
        </is>
      </c>
      <c r="B45" s="45" t="inlineStr">
        <is>
          <t>Integration Testing Template Pipeline</t>
        </is>
      </c>
      <c r="C45" s="45" t="inlineStr">
        <is>
          <t>Test Word/Excel/PPT template ingestion and format-consistent output for all 7 artifact types</t>
        </is>
      </c>
      <c r="D45" s="45" t="inlineStr">
        <is>
          <t>Solutions Engineer</t>
        </is>
      </c>
      <c r="E45" s="46" t="n">
        <v>24</v>
      </c>
      <c r="F45" s="47" t="n">
        <v>1.2</v>
      </c>
      <c r="G45" s="46" t="n">
        <v>29</v>
      </c>
      <c r="H45" s="48" t="n">
        <v>200</v>
      </c>
      <c r="I45" s="48" t="n">
        <v>5800</v>
      </c>
      <c r="J45" s="45" t="inlineStr">
        <is>
          <t>Development &amp; Implementation Artifact Template Pipeline</t>
        </is>
      </c>
      <c r="K45" s="45" t="inlineStr">
        <is>
          <t>Validates Amatra branding preservation</t>
        </is>
      </c>
    </row>
    <row r="46" ht="26" customHeight="1">
      <c r="A46" s="49" t="inlineStr">
        <is>
          <t>Testing &amp; Validation</t>
        </is>
      </c>
      <c r="B46" s="50" t="inlineStr">
        <is>
          <t>Async Job Reliability Testing</t>
        </is>
      </c>
      <c r="C46" s="50" t="inlineStr">
        <is>
          <t>Load-test async generation jobs at concurrent volumes and validate 30-60 min job completion without dropping under stress</t>
        </is>
      </c>
      <c r="D46" s="50" t="inlineStr">
        <is>
          <t>Solutions Engineer</t>
        </is>
      </c>
      <c r="E46" s="51" t="n">
        <v>24</v>
      </c>
      <c r="F46" s="52" t="n">
        <v>1.2</v>
      </c>
      <c r="G46" s="51" t="n">
        <v>29</v>
      </c>
      <c r="H46" s="53" t="n">
        <v>200</v>
      </c>
      <c r="I46" s="53" t="n">
        <v>5800</v>
      </c>
      <c r="J46" s="50" t="inlineStr">
        <is>
          <t>Development &amp; Implementation Async Job Orchestration</t>
        </is>
      </c>
      <c r="K46" s="50" t="inlineStr">
        <is>
          <t>Validates core reliability SLA</t>
        </is>
      </c>
    </row>
    <row r="47" ht="26" customHeight="1">
      <c r="A47" s="44" t="inlineStr">
        <is>
          <t>Testing &amp; Validation</t>
        </is>
      </c>
      <c r="B47" s="45" t="inlineStr">
        <is>
          <t>Performance &amp; Scalability Testing</t>
        </is>
      </c>
      <c r="C47" s="45" t="inlineStr">
        <is>
          <t>Validate system under load and simulate 24 concurrent engagements per quarter and confirm API Gateway and Lambda scaling behaviour</t>
        </is>
      </c>
      <c r="D47" s="45" t="inlineStr">
        <is>
          <t>Solutions Engineer</t>
        </is>
      </c>
      <c r="E47" s="46" t="n">
        <v>16</v>
      </c>
      <c r="F47" s="47" t="n">
        <v>1.2</v>
      </c>
      <c r="G47" s="46" t="n">
        <v>19</v>
      </c>
      <c r="H47" s="48" t="n">
        <v>200</v>
      </c>
      <c r="I47" s="48" t="n">
        <v>3800</v>
      </c>
      <c r="J47" s="45" t="inlineStr">
        <is>
          <t>All Development tasks</t>
        </is>
      </c>
      <c r="K47" s="45" t="inlineStr">
        <is>
          <t>Validates tripled proposal throughput target</t>
        </is>
      </c>
    </row>
    <row r="48" ht="26" customHeight="1">
      <c r="A48" s="49" t="inlineStr">
        <is>
          <t>Testing &amp; Validation</t>
        </is>
      </c>
      <c r="B48" s="50" t="inlineStr">
        <is>
          <t>Security Testing</t>
        </is>
      </c>
      <c r="C48" s="50" t="inlineStr">
        <is>
          <t>Perform security validation: IAM policy review and KMS encryption verification and WAF rule testing and GuardDuty alert validation</t>
        </is>
      </c>
      <c r="D48" s="50" t="inlineStr">
        <is>
          <t>Security Engineer</t>
        </is>
      </c>
      <c r="E48" s="51" t="n">
        <v>24</v>
      </c>
      <c r="F48" s="52" t="n">
        <v>1.2</v>
      </c>
      <c r="G48" s="51" t="n">
        <v>29</v>
      </c>
      <c r="H48" s="53" t="n">
        <v>225</v>
      </c>
      <c r="I48" s="53" t="n">
        <v>6525</v>
      </c>
      <c r="J48" s="50" t="inlineStr">
        <is>
          <t>Development &amp; Implementation Security Hardening</t>
        </is>
      </c>
      <c r="K48" s="50" t="inlineStr">
        <is>
          <t>SOC 2 evidence artefact</t>
        </is>
      </c>
    </row>
    <row r="49" ht="26" customHeight="1">
      <c r="A49" s="44" t="inlineStr">
        <is>
          <t>Testing &amp; Validation</t>
        </is>
      </c>
      <c r="B49" s="45" t="inlineStr">
        <is>
          <t>Compliance Validation</t>
        </is>
      </c>
      <c r="C49" s="45" t="inlineStr">
        <is>
          <t>Validate SOC 2 Type II controls implementation and GDPR data flow controls and US data residency verification and produce audit evidence</t>
        </is>
      </c>
      <c r="D49" s="45" t="inlineStr">
        <is>
          <t>Security Engineer</t>
        </is>
      </c>
      <c r="E49" s="46" t="n">
        <v>24</v>
      </c>
      <c r="F49" s="47" t="n">
        <v>1.2</v>
      </c>
      <c r="G49" s="46" t="n">
        <v>29</v>
      </c>
      <c r="H49" s="48" t="n">
        <v>225</v>
      </c>
      <c r="I49" s="48" t="n">
        <v>6525</v>
      </c>
      <c r="J49" s="45" t="inlineStr">
        <is>
          <t>Testing &amp; Validation Security Testing</t>
        </is>
      </c>
      <c r="K49" s="45" t="inlineStr">
        <is>
          <t>Security &amp; Compliance Lead sign-off required</t>
        </is>
      </c>
    </row>
    <row r="50" ht="26" customHeight="1">
      <c r="A50" s="49" t="inlineStr">
        <is>
          <t>Testing &amp; Validation</t>
        </is>
      </c>
      <c r="B50" s="50" t="inlineStr">
        <is>
          <t>UAT Pre-Sales Consultants</t>
        </is>
      </c>
      <c r="C50" s="50" t="inlineStr">
        <is>
          <t>Coordinate UAT sessions with Head of Solutions and pre-sales consultants and validate artifact quality and usability</t>
        </is>
      </c>
      <c r="D50" s="50" t="inlineStr">
        <is>
          <t>Project Manager</t>
        </is>
      </c>
      <c r="E50" s="51" t="n">
        <v>16</v>
      </c>
      <c r="F50" s="52" t="n">
        <v>1.2</v>
      </c>
      <c r="G50" s="51" t="n">
        <v>19</v>
      </c>
      <c r="H50" s="53" t="n">
        <v>175</v>
      </c>
      <c r="I50" s="53" t="n">
        <v>3325</v>
      </c>
      <c r="J50" s="50" t="inlineStr">
        <is>
          <t>Testing &amp; Validation Functional Testing Phase 1 Artifacts</t>
        </is>
      </c>
      <c r="K50" s="50" t="inlineStr">
        <is>
          <t>Validates &gt;= 90% first-pass QA target</t>
        </is>
      </c>
    </row>
    <row r="51" ht="26" customHeight="1">
      <c r="A51" s="44" t="inlineStr">
        <is>
          <t>Testing &amp; Validation</t>
        </is>
      </c>
      <c r="B51" s="45" t="inlineStr">
        <is>
          <t>UAT Delivery Team</t>
        </is>
      </c>
      <c r="C51" s="45" t="inlineStr">
        <is>
          <t>Coordinate UAT with Delivery Consulting team for Phase 2 artifacts and Terraform automation</t>
        </is>
      </c>
      <c r="D51" s="45" t="inlineStr">
        <is>
          <t>Project Manager</t>
        </is>
      </c>
      <c r="E51" s="46" t="n">
        <v>12</v>
      </c>
      <c r="F51" s="47" t="n">
        <v>1.2</v>
      </c>
      <c r="G51" s="46" t="n">
        <v>14</v>
      </c>
      <c r="H51" s="48" t="n">
        <v>175</v>
      </c>
      <c r="I51" s="48" t="n">
        <v>2450</v>
      </c>
      <c r="J51" s="45" t="inlineStr">
        <is>
          <t>Testing &amp; Validation Functional Testing Phase 2 Artifacts</t>
        </is>
      </c>
      <c r="K51" s="45" t="inlineStr">
        <is>
          <t>Downstream consumer sign-off</t>
        </is>
      </c>
    </row>
    <row r="52" ht="26" customHeight="1">
      <c r="A52" s="49" t="inlineStr">
        <is>
          <t>Testing &amp; Validation</t>
        </is>
      </c>
      <c r="B52" s="50" t="inlineStr">
        <is>
          <t>Defect Resolution</t>
        </is>
      </c>
      <c r="C52" s="50" t="inlineStr">
        <is>
          <t>Triage and resolve defects identified during all testing streams and execute regression testing</t>
        </is>
      </c>
      <c r="D52" s="50" t="inlineStr">
        <is>
          <t>Solutions Engineer</t>
        </is>
      </c>
      <c r="E52" s="51" t="n">
        <v>40</v>
      </c>
      <c r="F52" s="52" t="n">
        <v>1.2</v>
      </c>
      <c r="G52" s="51" t="n">
        <v>48</v>
      </c>
      <c r="H52" s="53" t="n">
        <v>200</v>
      </c>
      <c r="I52" s="53" t="n">
        <v>9600</v>
      </c>
      <c r="J52" s="50" t="inlineStr">
        <is>
          <t>All Testing tasks</t>
        </is>
      </c>
      <c r="K52" s="50" t="inlineStr">
        <is>
          <t>10-15% defect-resolution buffer included</t>
        </is>
      </c>
    </row>
    <row r="53" ht="26" customHeight="1">
      <c r="A53" s="44" t="inlineStr">
        <is>
          <t>Testing &amp; Validation</t>
        </is>
      </c>
      <c r="B53" s="45" t="inlineStr">
        <is>
          <t>Test Results Report &amp; Sign-Off</t>
        </is>
      </c>
      <c r="C53" s="45" t="inlineStr">
        <is>
          <t>Document test results and produce sign-off report for CTO phase gate approval</t>
        </is>
      </c>
      <c r="D53" s="45" t="inlineStr">
        <is>
          <t>QA Engineer</t>
        </is>
      </c>
      <c r="E53" s="46" t="n">
        <v>8</v>
      </c>
      <c r="F53" s="47" t="n">
        <v>1.2</v>
      </c>
      <c r="G53" s="46" t="n">
        <v>10</v>
      </c>
      <c r="H53" s="48" t="n">
        <v>150</v>
      </c>
      <c r="I53" s="48" t="n">
        <v>1500</v>
      </c>
      <c r="J53" s="45" t="inlineStr">
        <is>
          <t>All Testing tasks</t>
        </is>
      </c>
      <c r="K53" s="45" t="inlineStr">
        <is>
          <t>Required for each phase gate</t>
        </is>
      </c>
    </row>
    <row r="54" ht="26" customHeight="1">
      <c r="A54" s="49" t="inlineStr">
        <is>
          <t>Deployment</t>
        </is>
      </c>
      <c r="B54" s="50" t="inlineStr">
        <is>
          <t>Go-Live Planning Phase 1 MVP</t>
        </is>
      </c>
      <c r="C54" s="50" t="inlineStr">
        <is>
          <t>Plan Phase 1 cutover approach and define rollback procedures and confirm 2026-09-30 production readiness checklist</t>
        </is>
      </c>
      <c r="D54" s="50" t="inlineStr">
        <is>
          <t>Project Manager</t>
        </is>
      </c>
      <c r="E54" s="51" t="n">
        <v>8</v>
      </c>
      <c r="F54" s="52" t="n">
        <v>1</v>
      </c>
      <c r="G54" s="51" t="n">
        <v>8</v>
      </c>
      <c r="H54" s="53" t="n">
        <v>175</v>
      </c>
      <c r="I54" s="53" t="n">
        <v>1400</v>
      </c>
      <c r="J54" s="50" t="inlineStr">
        <is>
          <t>Testing &amp; Validation UAT Pre-Sales Consultants</t>
        </is>
      </c>
      <c r="K54" s="50" t="inlineStr">
        <is>
          <t>CTO sign-off required before cutover</t>
        </is>
      </c>
    </row>
    <row r="55" ht="26" customHeight="1">
      <c r="A55" s="44" t="inlineStr">
        <is>
          <t>Deployment</t>
        </is>
      </c>
      <c r="B55" s="45" t="inlineStr">
        <is>
          <t>Production Deployment Phase 1 MVP</t>
        </is>
      </c>
      <c r="C55" s="45" t="inlineStr">
        <is>
          <t>Deploy Phase 1 generation platform to production (us-west-2) and validate all endpoints and async job flows</t>
        </is>
      </c>
      <c r="D55" s="45" t="inlineStr">
        <is>
          <t>Solutions Engineer</t>
        </is>
      </c>
      <c r="E55" s="46" t="n">
        <v>16</v>
      </c>
      <c r="F55" s="47" t="n">
        <v>1</v>
      </c>
      <c r="G55" s="46" t="n">
        <v>16</v>
      </c>
      <c r="H55" s="48" t="n">
        <v>200</v>
      </c>
      <c r="I55" s="48" t="n">
        <v>3200</v>
      </c>
      <c r="J55" s="45" t="inlineStr">
        <is>
          <t>Deployment Go-Live Planning Phase 1 MVP</t>
        </is>
      </c>
      <c r="K55" s="45" t="inlineStr">
        <is>
          <t>Phase 1 deadline: 2026-09-30</t>
        </is>
      </c>
    </row>
    <row r="56" ht="26" customHeight="1">
      <c r="A56" s="49" t="inlineStr">
        <is>
          <t>Deployment</t>
        </is>
      </c>
      <c r="B56" s="50" t="inlineStr">
        <is>
          <t>Production Deployment Phase 2</t>
        </is>
      </c>
      <c r="C56" s="50" t="inlineStr">
        <is>
          <t>Deploy Phase 2 delivery artifact and Terraform automation pipelines to production</t>
        </is>
      </c>
      <c r="D56" s="50" t="inlineStr">
        <is>
          <t>Solutions Engineer</t>
        </is>
      </c>
      <c r="E56" s="51" t="n">
        <v>16</v>
      </c>
      <c r="F56" s="52" t="n">
        <v>1</v>
      </c>
      <c r="G56" s="51" t="n">
        <v>16</v>
      </c>
      <c r="H56" s="53" t="n">
        <v>200</v>
      </c>
      <c r="I56" s="53" t="n">
        <v>3200</v>
      </c>
      <c r="J56" s="50" t="inlineStr">
        <is>
          <t>Deployment Production Deployment Phase 1 MVP</t>
        </is>
      </c>
      <c r="K56" s="50" t="inlineStr">
        <is>
          <t>Phase 2 deadline: 2026-12-15</t>
        </is>
      </c>
    </row>
    <row r="57" ht="26" customHeight="1">
      <c r="A57" s="44" t="inlineStr">
        <is>
          <t>Deployment</t>
        </is>
      </c>
      <c r="B57" s="45" t="inlineStr">
        <is>
          <t>GA Rollout Planning</t>
        </is>
      </c>
      <c r="C57" s="45" t="inlineStr">
        <is>
          <t>Plan General Availability rollout to all ~120 internal users in Q1 2027 with communications and onboarding plan</t>
        </is>
      </c>
      <c r="D57" s="45" t="inlineStr">
        <is>
          <t>Project Manager</t>
        </is>
      </c>
      <c r="E57" s="46" t="n">
        <v>8</v>
      </c>
      <c r="F57" s="47" t="n">
        <v>1</v>
      </c>
      <c r="G57" s="46" t="n">
        <v>8</v>
      </c>
      <c r="H57" s="48" t="n">
        <v>175</v>
      </c>
      <c r="I57" s="48" t="n">
        <v>1400</v>
      </c>
      <c r="J57" s="45" t="inlineStr">
        <is>
          <t>Deployment Production Deployment Phase 2</t>
        </is>
      </c>
      <c r="K57" s="45" t="inlineStr">
        <is>
          <t>Must complete before 2027-01-31 client renewal</t>
        </is>
      </c>
    </row>
    <row r="58" ht="26" customHeight="1">
      <c r="A58" s="49" t="inlineStr">
        <is>
          <t>Deployment</t>
        </is>
      </c>
      <c r="B58" s="50" t="inlineStr">
        <is>
          <t>Hypercare Support Phase 1 (8 weeks)</t>
        </is>
      </c>
      <c r="C58" s="50" t="inlineStr">
        <is>
          <t>Provide 8-week post-go-live hypercare for Phase 1 MVP with triage and performance tuning and escalation support</t>
        </is>
      </c>
      <c r="D58" s="50" t="inlineStr">
        <is>
          <t>Support Engineer</t>
        </is>
      </c>
      <c r="E58" s="51" t="n">
        <v>80</v>
      </c>
      <c r="F58" s="52" t="n">
        <v>1</v>
      </c>
      <c r="G58" s="51" t="n">
        <v>80</v>
      </c>
      <c r="H58" s="53" t="n">
        <v>150</v>
      </c>
      <c r="I58" s="53" t="n">
        <v>12000</v>
      </c>
      <c r="J58" s="50" t="inlineStr">
        <is>
          <t>Deployment Production Deployment Phase 1 MVP</t>
        </is>
      </c>
      <c r="K58" s="50" t="inlineStr">
        <is>
          <t>Large complexity = 8-week hypercare per guidance</t>
        </is>
      </c>
    </row>
    <row r="59" ht="26" customHeight="1">
      <c r="A59" s="44" t="inlineStr">
        <is>
          <t>Deployment</t>
        </is>
      </c>
      <c r="B59" s="45" t="inlineStr">
        <is>
          <t>Hypercare Support Phase 2 (4 weeks)</t>
        </is>
      </c>
      <c r="C59" s="45" t="inlineStr">
        <is>
          <t>Provide 4-week post-go-live hypercare for Phase 2 delivery pipeline with triage and issue resolution</t>
        </is>
      </c>
      <c r="D59" s="45" t="inlineStr">
        <is>
          <t>Support Engineer</t>
        </is>
      </c>
      <c r="E59" s="46" t="n">
        <v>40</v>
      </c>
      <c r="F59" s="47" t="n">
        <v>1</v>
      </c>
      <c r="G59" s="46" t="n">
        <v>40</v>
      </c>
      <c r="H59" s="48" t="n">
        <v>150</v>
      </c>
      <c r="I59" s="48" t="n">
        <v>6000</v>
      </c>
      <c r="J59" s="45" t="inlineStr">
        <is>
          <t>Deployment Production Deployment Phase 2</t>
        </is>
      </c>
      <c r="K59" s="45" t="inlineStr">
        <is>
          <t>Phase 2 additional support period</t>
        </is>
      </c>
    </row>
    <row r="60" ht="26" customHeight="1">
      <c r="A60" s="49" t="inlineStr">
        <is>
          <t>Deployment</t>
        </is>
      </c>
      <c r="B60" s="50" t="inlineStr">
        <is>
          <t>Optimization Recommendations</t>
        </is>
      </c>
      <c r="C60" s="50" t="inlineStr">
        <is>
          <t>Document AI prompt optimization opportunities and Lambda cold-start tuning and DynamoDB capacity planning recommendations</t>
        </is>
      </c>
      <c r="D60" s="50" t="inlineStr">
        <is>
          <t>Solution Architect</t>
        </is>
      </c>
      <c r="E60" s="51" t="n">
        <v>16</v>
      </c>
      <c r="F60" s="52" t="n">
        <v>1</v>
      </c>
      <c r="G60" s="51" t="n">
        <v>16</v>
      </c>
      <c r="H60" s="53" t="n">
        <v>225</v>
      </c>
      <c r="I60" s="53" t="n">
        <v>3600</v>
      </c>
      <c r="J60" s="50" t="inlineStr">
        <is>
          <t>Deployment Hypercare Support Phase 1 (8 weeks)</t>
        </is>
      </c>
      <c r="K60" s="50" t="inlineStr">
        <is>
          <t>Input to post-GA steady-state operations</t>
        </is>
      </c>
    </row>
    <row r="61" ht="26" customHeight="1">
      <c r="A61" s="44" t="inlineStr">
        <is>
          <t>Deployment</t>
        </is>
      </c>
      <c r="B61" s="45" t="inlineStr">
        <is>
          <t>Project Closeout</t>
        </is>
      </c>
      <c r="C61" s="45" t="inlineStr">
        <is>
          <t>Project retrospective and lessons learned and final artifact delivery and transition to steady-state operations team</t>
        </is>
      </c>
      <c r="D61" s="45" t="inlineStr">
        <is>
          <t>Project Manager</t>
        </is>
      </c>
      <c r="E61" s="46" t="n">
        <v>8</v>
      </c>
      <c r="F61" s="47" t="n">
        <v>1</v>
      </c>
      <c r="G61" s="46" t="n">
        <v>8</v>
      </c>
      <c r="H61" s="48" t="n">
        <v>175</v>
      </c>
      <c r="I61" s="48" t="n">
        <v>1400</v>
      </c>
      <c r="J61" s="45" t="inlineStr">
        <is>
          <t>All Deployment tasks</t>
        </is>
      </c>
      <c r="K61" s="45" t="inlineStr">
        <is>
          <t>Formal engagement close with CTO</t>
        </is>
      </c>
    </row>
    <row r="62" ht="26" customHeight="1">
      <c r="A62" s="49" t="inlineStr">
        <is>
          <t>Training &amp; Enablement</t>
        </is>
      </c>
      <c r="B62" s="50" t="inlineStr">
        <is>
          <t>Training Material Development</t>
        </is>
      </c>
      <c r="C62" s="50" t="inlineStr">
        <is>
          <t>Create user guides for pre-sales consultants covering brief submission and artifact retrieval and quality review workflows</t>
        </is>
      </c>
      <c r="D62" s="50" t="inlineStr">
        <is>
          <t>Technical Writer</t>
        </is>
      </c>
      <c r="E62" s="51" t="n">
        <v>32</v>
      </c>
      <c r="F62" s="52" t="n">
        <v>1</v>
      </c>
      <c r="G62" s="51" t="n">
        <v>32</v>
      </c>
      <c r="H62" s="53" t="n">
        <v>125</v>
      </c>
      <c r="I62" s="53" t="n">
        <v>4000</v>
      </c>
      <c r="J62" s="50" t="inlineStr">
        <is>
          <t>Deployment Production Deployment Phase 1 MVP</t>
        </is>
      </c>
      <c r="K62" s="50" t="inlineStr">
        <is>
          <t>Materials must cover all 7 artifact types</t>
        </is>
      </c>
    </row>
    <row r="63" ht="26" customHeight="1">
      <c r="A63" s="44" t="inlineStr">
        <is>
          <t>Training &amp; Enablement</t>
        </is>
      </c>
      <c r="B63" s="45" t="inlineStr">
        <is>
          <t>Administrator Training</t>
        </is>
      </c>
      <c r="C63" s="45" t="inlineStr">
        <is>
          <t>Train VP Engineering team on platform administration: Cognito user management and usage limit controls and CloudWatch monitoring</t>
        </is>
      </c>
      <c r="D63" s="45" t="inlineStr">
        <is>
          <t>Trainer</t>
        </is>
      </c>
      <c r="E63" s="46" t="n">
        <v>16</v>
      </c>
      <c r="F63" s="47" t="n">
        <v>1</v>
      </c>
      <c r="G63" s="46" t="n">
        <v>16</v>
      </c>
      <c r="H63" s="48" t="n">
        <v>150</v>
      </c>
      <c r="I63" s="48" t="n">
        <v>2400</v>
      </c>
      <c r="J63" s="45" t="inlineStr">
        <is>
          <t>Deployment Production Deployment Phase 1 MVP</t>
        </is>
      </c>
      <c r="K63" s="45" t="inlineStr">
        <is>
          <t>Cognito admin group governance</t>
        </is>
      </c>
    </row>
    <row r="64" ht="26" customHeight="1">
      <c r="A64" s="49" t="inlineStr">
        <is>
          <t>Training &amp; Enablement</t>
        </is>
      </c>
      <c r="B64" s="50" t="inlineStr">
        <is>
          <t>Pre-Sales Consultant Training</t>
        </is>
      </c>
      <c r="C64" s="50" t="inlineStr">
        <is>
          <t>Conduct hands-on training sessions for pre-sales team on brief submission workflow and artifact review</t>
        </is>
      </c>
      <c r="D64" s="50" t="inlineStr">
        <is>
          <t>Trainer</t>
        </is>
      </c>
      <c r="E64" s="51" t="n">
        <v>24</v>
      </c>
      <c r="F64" s="52" t="n">
        <v>1</v>
      </c>
      <c r="G64" s="51" t="n">
        <v>24</v>
      </c>
      <c r="H64" s="53" t="n">
        <v>150</v>
      </c>
      <c r="I64" s="53" t="n">
        <v>3600</v>
      </c>
      <c r="J64" s="50" t="inlineStr">
        <is>
          <t>Training &amp; Enablement Training Material Development</t>
        </is>
      </c>
      <c r="K64" s="50" t="inlineStr">
        <is>
          <t>Target: all consultants trained before GA</t>
        </is>
      </c>
    </row>
    <row r="65" ht="26" customHeight="1">
      <c r="A65" s="44" t="inlineStr">
        <is>
          <t>Training &amp; Enablement</t>
        </is>
      </c>
      <c r="B65" s="45" t="inlineStr">
        <is>
          <t>Delivery Team Enablement</t>
        </is>
      </c>
      <c r="C65" s="45" t="inlineStr">
        <is>
          <t>Enable Delivery Consulting team on Phase 2 artifacts and Terraform automation outputs</t>
        </is>
      </c>
      <c r="D65" s="45" t="inlineStr">
        <is>
          <t>Trainer</t>
        </is>
      </c>
      <c r="E65" s="46" t="n">
        <v>16</v>
      </c>
      <c r="F65" s="47" t="n">
        <v>1</v>
      </c>
      <c r="G65" s="46" t="n">
        <v>16</v>
      </c>
      <c r="H65" s="48" t="n">
        <v>150</v>
      </c>
      <c r="I65" s="48" t="n">
        <v>2400</v>
      </c>
      <c r="J65" s="45" t="inlineStr">
        <is>
          <t>Deployment Production Deployment Phase 2</t>
        </is>
      </c>
      <c r="K65" s="45" t="inlineStr">
        <is>
          <t>Enables 40% consulting-hours-reduction target</t>
        </is>
      </c>
    </row>
    <row r="66" ht="26" customHeight="1">
      <c r="A66" s="49" t="inlineStr">
        <is>
          <t>Training &amp; Enablement</t>
        </is>
      </c>
      <c r="B66" s="50" t="inlineStr">
        <is>
          <t>Train-the-Trainer</t>
        </is>
      </c>
      <c r="C66" s="50" t="inlineStr">
        <is>
          <t>Enable Head of Solutions to onboard future pre-sales hires independently</t>
        </is>
      </c>
      <c r="D66" s="50" t="inlineStr">
        <is>
          <t>Trainer</t>
        </is>
      </c>
      <c r="E66" s="51" t="n">
        <v>8</v>
      </c>
      <c r="F66" s="52" t="n">
        <v>1</v>
      </c>
      <c r="G66" s="51" t="n">
        <v>8</v>
      </c>
      <c r="H66" s="53" t="n">
        <v>150</v>
      </c>
      <c r="I66" s="53" t="n">
        <v>1200</v>
      </c>
      <c r="J66" s="50" t="inlineStr">
        <is>
          <t>Training &amp; Enablement Pre-Sales Consultant Training</t>
        </is>
      </c>
      <c r="K66" s="50" t="inlineStr">
        <is>
          <t>Reduces long-term dependency on external support</t>
        </is>
      </c>
    </row>
    <row r="67" ht="26" customHeight="1">
      <c r="A67" s="44" t="inlineStr">
        <is>
          <t>Management</t>
        </is>
      </c>
      <c r="B67" s="45" t="inlineStr">
        <is>
          <t>Technical Leadership</t>
        </is>
      </c>
      <c r="C67" s="45" t="inlineStr">
        <is>
          <t>Quarterback technical oversight across all phases; AWS architecture governance and quality review</t>
        </is>
      </c>
      <c r="D67" s="45" t="inlineStr">
        <is>
          <t>Solution Architect</t>
        </is>
      </c>
      <c r="E67" s="54">
        <f>ROUND(SUM($G$16:$G$94)*0.10,0)</f>
        <v/>
      </c>
      <c r="F67" s="47" t="n">
        <v>1</v>
      </c>
      <c r="G67" s="54">
        <f>ROUND(SUM($G$16:$G$94)*0.10,0)</f>
        <v/>
      </c>
      <c r="H67" s="48" t="n">
        <v>225</v>
      </c>
      <c r="I67" s="54">
        <f>TEXT(ROUND(SUM($G$16:$G$94)*0.10,0)*225,"$#,##0")</f>
        <v/>
      </c>
      <c r="J67" s="45" t="inlineStr"/>
      <c r="K67" s="45" t="inlineStr">
        <is>
          <t>10% of engineering task hours</t>
        </is>
      </c>
    </row>
    <row r="68" ht="26" customHeight="1">
      <c r="A68" s="49" t="inlineStr">
        <is>
          <t>Management</t>
        </is>
      </c>
      <c r="B68" s="50" t="inlineStr">
        <is>
          <t>Project Management</t>
        </is>
      </c>
      <c r="C68" s="50" t="inlineStr">
        <is>
          <t>End-to-end project coordination and stakeholder reporting to CTO and VP Engineering and risk and issue management</t>
        </is>
      </c>
      <c r="D68" s="50" t="inlineStr">
        <is>
          <t>Project Manager</t>
        </is>
      </c>
      <c r="E68" s="55">
        <f>ROUND(SUM($G$16:$G$94)*0.10,0)</f>
        <v/>
      </c>
      <c r="F68" s="52" t="n">
        <v>1</v>
      </c>
      <c r="G68" s="55">
        <f>ROUND(SUM($G$16:$G$94)*0.10,0)</f>
        <v/>
      </c>
      <c r="H68" s="53" t="n">
        <v>175</v>
      </c>
      <c r="I68" s="55">
        <f>TEXT(ROUND(SUM($G$16:$G$94)*0.10,0)*175,"$#,##0")</f>
        <v/>
      </c>
      <c r="J68" s="50" t="inlineStr"/>
      <c r="K68" s="50" t="inlineStr">
        <is>
          <t>10% of engineering task hours</t>
        </is>
      </c>
    </row>
    <row r="69" ht="26" customHeight="1">
      <c r="A69" s="56" t="inlineStr"/>
      <c r="B69" s="56" t="inlineStr"/>
      <c r="C69" s="56" t="inlineStr"/>
      <c r="D69" s="56" t="inlineStr"/>
      <c r="E69" s="56" t="inlineStr"/>
      <c r="F69" s="57" t="inlineStr">
        <is>
          <t>TOTAL HOURS</t>
        </is>
      </c>
      <c r="G69" s="57">
        <f>SUM($G$16:$G$96)</f>
        <v/>
      </c>
      <c r="H69" s="57" t="inlineStr">
        <is>
          <t>TOTAL COST</t>
        </is>
      </c>
      <c r="I69" s="57">
        <f>TEXT(SUMPRODUCT($G$16:$G$96,$H$16:$H$96),"$#,##0")</f>
        <v/>
      </c>
      <c r="J69" s="56" t="inlineStr"/>
      <c r="K69" s="56" t="inlineStr"/>
    </row>
  </sheetData>
  <autoFilter ref="A2:K69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00" customWidth="1" min="3" max="3"/>
  </cols>
  <sheetData>
    <row r="1" ht="32" customHeight="1">
      <c r="A1" s="34" t="inlineStr">
        <is>
          <t>CREDITS</t>
        </is>
      </c>
    </row>
    <row r="2" ht="32" customHeight="1">
      <c r="A2" s="35" t="inlineStr">
        <is>
          <t>Credit Type</t>
        </is>
      </c>
      <c r="B2" s="35" t="inlineStr">
        <is>
          <t>Credit Amount</t>
        </is>
      </c>
      <c r="C2" s="35" t="inlineStr">
        <is>
          <t>Credit Comments</t>
        </is>
      </c>
    </row>
    <row r="3" ht="26" customHeight="1">
      <c r="A3" s="36" t="inlineStr">
        <is>
          <t>AWS Partner Services Credit</t>
        </is>
      </c>
      <c r="B3" s="58" t="n">
        <v>-15000</v>
      </c>
      <c r="C3" s="37" t="inlineStr">
        <is>
          <t>AWS Partner Network (APN) Advanced Tier credit applied to professional services for solution architecture and implementation of AWS-native platform (Bedrock, Lambda, API Gateway, DynamoDB, S3, Cognito)</t>
        </is>
      </c>
    </row>
    <row r="4" ht="26" customHeight="1">
      <c r="A4" s="39" t="inlineStr">
        <is>
          <t>AWS AI/ML Specialization Credit</t>
        </is>
      </c>
      <c r="B4" s="59" t="n">
        <v>-5000</v>
      </c>
      <c r="C4" s="40" t="inlineStr">
        <is>
          <t>AWS Generative AI competency partner credit for Amazon Bedrock implementation and Claude model integration; applicable to APN partners with validated AI/ML practice</t>
        </is>
      </c>
    </row>
    <row r="5" ht="26" customHeight="1">
      <c r="A5" s="36" t="inlineStr">
        <is>
          <t>Implementation Volume Discount</t>
        </is>
      </c>
      <c r="B5" s="58" t="n">
        <v>-10000</v>
      </c>
      <c r="C5" s="37" t="inlineStr">
        <is>
          <t>Strategic engagement discount for multi-phase engagement (Phase 1 MVP + Phase 2 + GA rollout) totalling Year 1 build commitment of $300K-$450K</t>
        </is>
      </c>
    </row>
    <row r="6" ht="26" customHeight="1">
      <c r="A6" s="39" t="inlineStr">
        <is>
          <t>New Workload Incentive</t>
        </is>
      </c>
      <c r="B6" s="59" t="n">
        <v>-5000</v>
      </c>
      <c r="C6" s="40" t="inlineStr">
        <is>
          <t>AWS new workload launch incentive for greenfield serverless platform on AWS with net-new Bedrock consumption commitment</t>
        </is>
      </c>
    </row>
    <row r="7" ht="26" customHeight="1">
      <c r="A7" s="60" t="inlineStr">
        <is>
          <t>TOTAL</t>
        </is>
      </c>
      <c r="B7" s="61">
        <f>SUMPRODUCT($G$16:$G$96,$H$16:$H$96)-35000</f>
        <v/>
      </c>
      <c r="C7" s="62" t="inlineStr">
        <is>
          <t>Total professional services cost minus all AWS Partner and engagement credits applied in Year 1 only; infrastructure credits (Reserved Instances and Savings Plans) are in infrastructure-costs.csv</t>
        </is>
      </c>
    </row>
  </sheetData>
  <autoFilter ref="A2:C7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2026-06-10T00:01:38Z</dcterms:modified>
  <cp:lastModifiedBy>Kishan Siram</cp:lastModifiedBy>
</cp:coreProperties>
</file>